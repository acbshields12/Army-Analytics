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Army Analytics\"/>
    </mc:Choice>
  </mc:AlternateContent>
  <xr:revisionPtr revIDLastSave="0" documentId="13_ncr:1_{BAF9FF7A-DF09-411D-AC71-0E8517926F57}" xr6:coauthVersionLast="47" xr6:coauthVersionMax="47" xr10:uidLastSave="{00000000-0000-0000-0000-000000000000}"/>
  <bookViews>
    <workbookView xWindow="-19310" yWindow="3580" windowWidth="19420" windowHeight="11020" activeTab="1" xr2:uid="{00000000-000D-0000-FFFF-FFFF00000000}"/>
  </bookViews>
  <sheets>
    <sheet name="raw_data" sheetId="1" r:id="rId1"/>
    <sheet name="cleaned" sheetId="5" r:id="rId2"/>
    <sheet name="QA 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2" i="5" l="1"/>
  <c r="BH2" i="5" a="1"/>
  <c r="BH2" i="5" s="1"/>
  <c r="BI2" i="5" a="1"/>
  <c r="BI2" i="5" s="1"/>
  <c r="BJ2" i="5" a="1"/>
  <c r="BJ2" i="5" s="1"/>
  <c r="BK2" i="5" a="1"/>
  <c r="BK2" i="5" s="1"/>
  <c r="BL2" i="5"/>
  <c r="BG3" i="5"/>
  <c r="BH3" i="5" a="1"/>
  <c r="BH3" i="5" s="1"/>
  <c r="BI3" i="5" a="1"/>
  <c r="BI3" i="5" s="1"/>
  <c r="BJ3" i="5" a="1"/>
  <c r="BJ3" i="5" s="1"/>
  <c r="BK3" i="5" a="1"/>
  <c r="BK3" i="5" s="1"/>
  <c r="BL3" i="5"/>
  <c r="BG4" i="5"/>
  <c r="BH4" i="5" a="1"/>
  <c r="BH4" i="5" s="1"/>
  <c r="BI4" i="5" a="1"/>
  <c r="BI4" i="5" s="1"/>
  <c r="BJ4" i="5" a="1"/>
  <c r="BJ4" i="5" s="1"/>
  <c r="BK4" i="5" a="1"/>
  <c r="BK4" i="5" s="1"/>
  <c r="BL4" i="5"/>
  <c r="BG5" i="5"/>
  <c r="BH5" i="5" a="1"/>
  <c r="BH5" i="5" s="1"/>
  <c r="BI5" i="5" a="1"/>
  <c r="BI5" i="5" s="1"/>
  <c r="BJ5" i="5" a="1"/>
  <c r="BJ5" i="5" s="1"/>
  <c r="BK5" i="5" a="1"/>
  <c r="BK5" i="5" s="1"/>
  <c r="BL5" i="5"/>
  <c r="BG6" i="5"/>
  <c r="BH6" i="5" a="1"/>
  <c r="BH6" i="5" s="1"/>
  <c r="BI6" i="5" a="1"/>
  <c r="BI6" i="5" s="1"/>
  <c r="BJ6" i="5" a="1"/>
  <c r="BJ6" i="5" s="1"/>
  <c r="BK6" i="5" a="1"/>
  <c r="BK6" i="5" s="1"/>
  <c r="BL6" i="5"/>
  <c r="BG7" i="5"/>
  <c r="BH7" i="5" a="1"/>
  <c r="BH7" i="5" s="1"/>
  <c r="BI7" i="5" a="1"/>
  <c r="BI7" i="5"/>
  <c r="BJ7" i="5" a="1"/>
  <c r="BJ7" i="5" s="1"/>
  <c r="BK7" i="5" a="1"/>
  <c r="BK7" i="5" s="1"/>
  <c r="BL7" i="5"/>
  <c r="BG8" i="5"/>
  <c r="BH8" i="5" a="1"/>
  <c r="BH8" i="5" s="1"/>
  <c r="BI8" i="5" a="1"/>
  <c r="BI8" i="5" s="1"/>
  <c r="BJ8" i="5" a="1"/>
  <c r="BJ8" i="5"/>
  <c r="BK8" i="5" a="1"/>
  <c r="BK8" i="5" s="1"/>
  <c r="BL8" i="5"/>
  <c r="BG9" i="5"/>
  <c r="BH9" i="5" a="1"/>
  <c r="BH9" i="5" s="1"/>
  <c r="BI9" i="5" a="1"/>
  <c r="BI9" i="5" s="1"/>
  <c r="BJ9" i="5" a="1"/>
  <c r="BJ9" i="5" s="1"/>
  <c r="BK9" i="5" a="1"/>
  <c r="BK9" i="5" s="1"/>
  <c r="BL9" i="5"/>
  <c r="BG10" i="5"/>
  <c r="BH10" i="5" a="1"/>
  <c r="BH10" i="5" s="1"/>
  <c r="BI10" i="5" a="1"/>
  <c r="BI10" i="5" s="1"/>
  <c r="BJ10" i="5" a="1"/>
  <c r="BJ10" i="5" s="1"/>
  <c r="BK10" i="5" a="1"/>
  <c r="BK10" i="5" s="1"/>
  <c r="BL10" i="5"/>
  <c r="BG11" i="5"/>
  <c r="BH11" i="5" a="1"/>
  <c r="BH11" i="5" s="1"/>
  <c r="BI11" i="5" a="1"/>
  <c r="BI11" i="5" s="1"/>
  <c r="BJ11" i="5" a="1"/>
  <c r="BJ11" i="5" s="1"/>
  <c r="BK11" i="5" a="1"/>
  <c r="BK11" i="5" s="1"/>
  <c r="BL11" i="5"/>
  <c r="BG12" i="5"/>
  <c r="BH12" i="5" a="1"/>
  <c r="BH12" i="5" s="1"/>
  <c r="BI12" i="5" a="1"/>
  <c r="BI12" i="5" s="1"/>
  <c r="BJ12" i="5" a="1"/>
  <c r="BJ12" i="5" s="1"/>
  <c r="BK12" i="5" a="1"/>
  <c r="BK12" i="5" s="1"/>
  <c r="BL12" i="5"/>
  <c r="BG13" i="5"/>
  <c r="BH13" i="5" a="1"/>
  <c r="BH13" i="5" s="1"/>
  <c r="BI13" i="5" a="1"/>
  <c r="BI13" i="5" s="1"/>
  <c r="BJ13" i="5" a="1"/>
  <c r="BJ13" i="5" s="1"/>
  <c r="BK13" i="5" a="1"/>
  <c r="BK13" i="5" s="1"/>
  <c r="BL13" i="5"/>
  <c r="BG14" i="5"/>
  <c r="BH14" i="5" a="1"/>
  <c r="BH14" i="5" s="1"/>
  <c r="BI14" i="5" a="1"/>
  <c r="BI14" i="5" s="1"/>
  <c r="BJ14" i="5" a="1"/>
  <c r="BJ14" i="5" s="1"/>
  <c r="BK14" i="5" a="1"/>
  <c r="BK14" i="5" s="1"/>
  <c r="BL14" i="5"/>
  <c r="BG15" i="5"/>
  <c r="BH15" i="5" a="1"/>
  <c r="BH15" i="5" s="1"/>
  <c r="BI15" i="5" a="1"/>
  <c r="BI15" i="5"/>
  <c r="BJ15" i="5" a="1"/>
  <c r="BJ15" i="5" s="1"/>
  <c r="BK15" i="5" a="1"/>
  <c r="BK15" i="5" s="1"/>
  <c r="BL15" i="5"/>
  <c r="BG16" i="5"/>
  <c r="BH16" i="5" a="1"/>
  <c r="BH16" i="5" s="1"/>
  <c r="BI16" i="5" a="1"/>
  <c r="BI16" i="5" s="1"/>
  <c r="BJ16" i="5" a="1"/>
  <c r="BJ16" i="5"/>
  <c r="BK16" i="5" a="1"/>
  <c r="BK16" i="5" s="1"/>
  <c r="BL16" i="5"/>
  <c r="BG17" i="5"/>
  <c r="BH17" i="5" a="1"/>
  <c r="BH17" i="5" s="1"/>
  <c r="BI17" i="5" a="1"/>
  <c r="BI17" i="5" s="1"/>
  <c r="BJ17" i="5" a="1"/>
  <c r="BJ17" i="5" s="1"/>
  <c r="BK17" i="5" a="1"/>
  <c r="BK17" i="5" s="1"/>
  <c r="BL17" i="5"/>
  <c r="BG18" i="5"/>
  <c r="BH18" i="5" a="1"/>
  <c r="BH18" i="5" s="1"/>
  <c r="BI18" i="5" a="1"/>
  <c r="BI18" i="5" s="1"/>
  <c r="BJ18" i="5" a="1"/>
  <c r="BJ18" i="5" s="1"/>
  <c r="BK18" i="5" a="1"/>
  <c r="BK18" i="5" s="1"/>
  <c r="BL18" i="5"/>
  <c r="BG19" i="5"/>
  <c r="BH19" i="5" a="1"/>
  <c r="BH19" i="5" s="1"/>
  <c r="BI19" i="5" a="1"/>
  <c r="BI19" i="5" s="1"/>
  <c r="BJ19" i="5" a="1"/>
  <c r="BJ19" i="5" s="1"/>
  <c r="BK19" i="5" a="1"/>
  <c r="BK19" i="5" s="1"/>
  <c r="BL19" i="5"/>
  <c r="BG20" i="5"/>
  <c r="BH20" i="5" a="1"/>
  <c r="BH20" i="5" s="1"/>
  <c r="BI20" i="5" a="1"/>
  <c r="BI20" i="5" s="1"/>
  <c r="BJ20" i="5" a="1"/>
  <c r="BJ20" i="5" s="1"/>
  <c r="BK20" i="5" a="1"/>
  <c r="BK20" i="5" s="1"/>
  <c r="BL20" i="5"/>
  <c r="BG21" i="5"/>
  <c r="BH21" i="5" a="1"/>
  <c r="BH21" i="5" s="1"/>
  <c r="BI21" i="5" a="1"/>
  <c r="BI21" i="5" s="1"/>
  <c r="BJ21" i="5" a="1"/>
  <c r="BJ21" i="5" s="1"/>
  <c r="BK21" i="5" a="1"/>
  <c r="BK21" i="5" s="1"/>
  <c r="BL21" i="5"/>
  <c r="BG22" i="5"/>
  <c r="BH22" i="5" a="1"/>
  <c r="BH22" i="5" s="1"/>
  <c r="BI22" i="5" a="1"/>
  <c r="BI22" i="5" s="1"/>
  <c r="BJ22" i="5" a="1"/>
  <c r="BJ22" i="5" s="1"/>
  <c r="BK22" i="5" a="1"/>
  <c r="BK22" i="5" s="1"/>
  <c r="BL22" i="5"/>
  <c r="BG23" i="5"/>
  <c r="BH23" i="5" a="1"/>
  <c r="BH23" i="5" s="1"/>
  <c r="BI23" i="5" a="1"/>
  <c r="BI23" i="5" s="1"/>
  <c r="BJ23" i="5" a="1"/>
  <c r="BJ23" i="5" s="1"/>
  <c r="BK23" i="5" a="1"/>
  <c r="BK23" i="5" s="1"/>
  <c r="BL23" i="5"/>
  <c r="BG24" i="5"/>
  <c r="BH24" i="5" a="1"/>
  <c r="BH24" i="5" s="1"/>
  <c r="BI24" i="5" a="1"/>
  <c r="BI24" i="5" s="1"/>
  <c r="BJ24" i="5" a="1"/>
  <c r="BJ24" i="5" s="1"/>
  <c r="BK24" i="5" a="1"/>
  <c r="BK24" i="5" s="1"/>
  <c r="BL24" i="5"/>
  <c r="BG25" i="5"/>
  <c r="BH25" i="5" a="1"/>
  <c r="BH25" i="5" s="1"/>
  <c r="BI25" i="5" a="1"/>
  <c r="BI25" i="5" s="1"/>
  <c r="BJ25" i="5" a="1"/>
  <c r="BJ25" i="5" s="1"/>
  <c r="BK25" i="5" a="1"/>
  <c r="BK25" i="5" s="1"/>
  <c r="BL25" i="5"/>
  <c r="BG26" i="5"/>
  <c r="BH26" i="5" a="1"/>
  <c r="BH26" i="5" s="1"/>
  <c r="BI26" i="5" a="1"/>
  <c r="BI26" i="5" s="1"/>
  <c r="BJ26" i="5" a="1"/>
  <c r="BJ26" i="5" s="1"/>
  <c r="BK26" i="5" a="1"/>
  <c r="BK26" i="5" s="1"/>
  <c r="BL26" i="5"/>
  <c r="BG27" i="5"/>
  <c r="BH27" i="5" a="1"/>
  <c r="BH27" i="5" s="1"/>
  <c r="BI27" i="5" a="1"/>
  <c r="BI27" i="5" s="1"/>
  <c r="BJ27" i="5" a="1"/>
  <c r="BJ27" i="5" s="1"/>
  <c r="BK27" i="5" a="1"/>
  <c r="BK27" i="5" s="1"/>
  <c r="BL27" i="5"/>
  <c r="BG28" i="5"/>
  <c r="BH28" i="5" a="1"/>
  <c r="BH28" i="5" s="1"/>
  <c r="BI28" i="5" a="1"/>
  <c r="BI28" i="5" s="1"/>
  <c r="BJ28" i="5" a="1"/>
  <c r="BJ28" i="5" s="1"/>
  <c r="BK28" i="5" a="1"/>
  <c r="BK28" i="5" s="1"/>
  <c r="BL28" i="5"/>
  <c r="BG29" i="5"/>
  <c r="BH29" i="5" a="1"/>
  <c r="BH29" i="5" s="1"/>
  <c r="BI29" i="5" a="1"/>
  <c r="BI29" i="5" s="1"/>
  <c r="BJ29" i="5" a="1"/>
  <c r="BJ29" i="5" s="1"/>
  <c r="BK29" i="5" a="1"/>
  <c r="BK29" i="5" s="1"/>
  <c r="BL29" i="5"/>
  <c r="BG30" i="5"/>
  <c r="BH30" i="5" a="1"/>
  <c r="BH30" i="5" s="1"/>
  <c r="BI30" i="5" a="1"/>
  <c r="BI30" i="5" s="1"/>
  <c r="BJ30" i="5" a="1"/>
  <c r="BJ30" i="5" s="1"/>
  <c r="BK30" i="5" a="1"/>
  <c r="BK30" i="5" s="1"/>
  <c r="BL30" i="5"/>
  <c r="BG31" i="5"/>
  <c r="BH31" i="5" a="1"/>
  <c r="BH31" i="5" s="1"/>
  <c r="BI31" i="5" a="1"/>
  <c r="BI31" i="5" s="1"/>
  <c r="BJ31" i="5" a="1"/>
  <c r="BJ31" i="5" s="1"/>
  <c r="BK31" i="5" a="1"/>
  <c r="BK31" i="5" s="1"/>
  <c r="BL31" i="5"/>
  <c r="BG32" i="5"/>
  <c r="BH32" i="5" a="1"/>
  <c r="BH32" i="5" s="1"/>
  <c r="BI32" i="5" a="1"/>
  <c r="BI32" i="5" s="1"/>
  <c r="BJ32" i="5" a="1"/>
  <c r="BJ32" i="5" s="1"/>
  <c r="BK32" i="5" a="1"/>
  <c r="BK32" i="5" s="1"/>
  <c r="BL32" i="5"/>
  <c r="BG33" i="5"/>
  <c r="BH33" i="5" a="1"/>
  <c r="BH33" i="5" s="1"/>
  <c r="BI33" i="5" a="1"/>
  <c r="BI33" i="5" s="1"/>
  <c r="BJ33" i="5" a="1"/>
  <c r="BJ33" i="5" s="1"/>
  <c r="BK33" i="5" a="1"/>
  <c r="BK33" i="5" s="1"/>
  <c r="BL33" i="5"/>
  <c r="BG34" i="5"/>
  <c r="BH34" i="5" a="1"/>
  <c r="BH34" i="5" s="1"/>
  <c r="BI34" i="5" a="1"/>
  <c r="BI34" i="5" s="1"/>
  <c r="BJ34" i="5" a="1"/>
  <c r="BJ34" i="5" s="1"/>
  <c r="BK34" i="5" a="1"/>
  <c r="BK34" i="5" s="1"/>
  <c r="BL34" i="5"/>
  <c r="BG35" i="5"/>
  <c r="BH35" i="5" a="1"/>
  <c r="BH35" i="5" s="1"/>
  <c r="BI35" i="5" a="1"/>
  <c r="BI35" i="5" s="1"/>
  <c r="BJ35" i="5" a="1"/>
  <c r="BJ35" i="5" s="1"/>
  <c r="BK35" i="5" a="1"/>
  <c r="BK35" i="5" s="1"/>
  <c r="BL35" i="5"/>
  <c r="BG36" i="5"/>
  <c r="BH36" i="5" a="1"/>
  <c r="BH36" i="5" s="1"/>
  <c r="BI36" i="5" a="1"/>
  <c r="BI36" i="5" s="1"/>
  <c r="BJ36" i="5" a="1"/>
  <c r="BJ36" i="5" s="1"/>
  <c r="BK36" i="5" a="1"/>
  <c r="BK36" i="5" s="1"/>
  <c r="BL36" i="5"/>
  <c r="BG37" i="5"/>
  <c r="BH37" i="5" a="1"/>
  <c r="BH37" i="5" s="1"/>
  <c r="BI37" i="5" a="1"/>
  <c r="BI37" i="5" s="1"/>
  <c r="BJ37" i="5" a="1"/>
  <c r="BJ37" i="5" s="1"/>
  <c r="BK37" i="5" a="1"/>
  <c r="BK37" i="5" s="1"/>
  <c r="BL37" i="5"/>
  <c r="BG38" i="5"/>
  <c r="BH38" i="5" a="1"/>
  <c r="BH38" i="5" s="1"/>
  <c r="BI38" i="5" a="1"/>
  <c r="BI38" i="5" s="1"/>
  <c r="BJ38" i="5" a="1"/>
  <c r="BJ38" i="5" s="1"/>
  <c r="BK38" i="5" a="1"/>
  <c r="BK38" i="5" s="1"/>
  <c r="BL38" i="5"/>
  <c r="BG39" i="5"/>
  <c r="BH39" i="5" a="1"/>
  <c r="BH39" i="5" s="1"/>
  <c r="BI39" i="5" a="1"/>
  <c r="BI39" i="5" s="1"/>
  <c r="BJ39" i="5" a="1"/>
  <c r="BJ39" i="5" s="1"/>
  <c r="BK39" i="5" a="1"/>
  <c r="BK39" i="5" s="1"/>
  <c r="BL39" i="5"/>
  <c r="BG40" i="5"/>
  <c r="BH40" i="5" a="1"/>
  <c r="BH40" i="5" s="1"/>
  <c r="BI40" i="5" a="1"/>
  <c r="BI40" i="5" s="1"/>
  <c r="BJ40" i="5" a="1"/>
  <c r="BJ40" i="5" s="1"/>
  <c r="BK40" i="5" a="1"/>
  <c r="BK40" i="5" s="1"/>
  <c r="BL40" i="5"/>
  <c r="BG41" i="5"/>
  <c r="BH41" i="5" a="1"/>
  <c r="BH41" i="5" s="1"/>
  <c r="BI41" i="5" a="1"/>
  <c r="BI41" i="5" s="1"/>
  <c r="BJ41" i="5" a="1"/>
  <c r="BJ41" i="5" s="1"/>
  <c r="BK41" i="5" a="1"/>
  <c r="BK41" i="5" s="1"/>
  <c r="BL41" i="5"/>
  <c r="BG42" i="5"/>
  <c r="BH42" i="5" a="1"/>
  <c r="BH42" i="5" s="1"/>
  <c r="BI42" i="5" a="1"/>
  <c r="BI42" i="5" s="1"/>
  <c r="BJ42" i="5" a="1"/>
  <c r="BJ42" i="5" s="1"/>
  <c r="BK42" i="5" a="1"/>
  <c r="BK42" i="5" s="1"/>
  <c r="BL42" i="5"/>
  <c r="BG43" i="5"/>
  <c r="BH43" i="5" a="1"/>
  <c r="BH43" i="5" s="1"/>
  <c r="BI43" i="5" a="1"/>
  <c r="BI43" i="5" s="1"/>
  <c r="BJ43" i="5" a="1"/>
  <c r="BJ43" i="5" s="1"/>
  <c r="BK43" i="5" a="1"/>
  <c r="BK43" i="5" s="1"/>
  <c r="BL43" i="5"/>
  <c r="BG44" i="5"/>
  <c r="BH44" i="5" a="1"/>
  <c r="BH44" i="5" s="1"/>
  <c r="BI44" i="5" a="1"/>
  <c r="BI44" i="5" s="1"/>
  <c r="BJ44" i="5" a="1"/>
  <c r="BJ44" i="5" s="1"/>
  <c r="BK44" i="5" a="1"/>
  <c r="BK44" i="5"/>
  <c r="BL44" i="5"/>
  <c r="BG45" i="5"/>
  <c r="BH45" i="5" a="1"/>
  <c r="BH45" i="5" s="1"/>
  <c r="BI45" i="5" a="1"/>
  <c r="BI45" i="5" s="1"/>
  <c r="BJ45" i="5" a="1"/>
  <c r="BJ45" i="5" s="1"/>
  <c r="BK45" i="5" a="1"/>
  <c r="BK45" i="5" s="1"/>
  <c r="BL45" i="5"/>
  <c r="BG46" i="5"/>
  <c r="BH46" i="5" a="1"/>
  <c r="BH46" i="5" s="1"/>
  <c r="BI46" i="5" a="1"/>
  <c r="BI46" i="5" s="1"/>
  <c r="BJ46" i="5" a="1"/>
  <c r="BJ46" i="5" s="1"/>
  <c r="BK46" i="5" a="1"/>
  <c r="BK46" i="5" s="1"/>
  <c r="BL46" i="5"/>
  <c r="BG47" i="5"/>
  <c r="BH47" i="5" a="1"/>
  <c r="BH47" i="5" s="1"/>
  <c r="BI47" i="5" a="1"/>
  <c r="BI47" i="5" s="1"/>
  <c r="BJ47" i="5" a="1"/>
  <c r="BJ47" i="5" s="1"/>
  <c r="BK47" i="5" a="1"/>
  <c r="BK47" i="5" s="1"/>
  <c r="BL47" i="5"/>
  <c r="BG48" i="5"/>
  <c r="BH48" i="5" a="1"/>
  <c r="BH48" i="5" s="1"/>
  <c r="BI48" i="5" a="1"/>
  <c r="BI48" i="5"/>
  <c r="BJ48" i="5" a="1"/>
  <c r="BJ48" i="5" s="1"/>
  <c r="BK48" i="5" a="1"/>
  <c r="BK48" i="5" s="1"/>
  <c r="BL48" i="5"/>
  <c r="BG49" i="5"/>
  <c r="BH49" i="5" a="1"/>
  <c r="BH49" i="5" s="1"/>
  <c r="BI49" i="5" a="1"/>
  <c r="BI49" i="5" s="1"/>
  <c r="BJ49" i="5" a="1"/>
  <c r="BJ49" i="5" s="1"/>
  <c r="BK49" i="5" a="1"/>
  <c r="BK49" i="5" s="1"/>
  <c r="BL49" i="5"/>
  <c r="BG50" i="5"/>
  <c r="BH50" i="5" a="1"/>
  <c r="BH50" i="5" s="1"/>
  <c r="BI50" i="5" a="1"/>
  <c r="BI50" i="5" s="1"/>
  <c r="BJ50" i="5" a="1"/>
  <c r="BJ50" i="5" s="1"/>
  <c r="BK50" i="5" a="1"/>
  <c r="BK50" i="5" s="1"/>
  <c r="BL50" i="5"/>
  <c r="BG51" i="5"/>
  <c r="BH51" i="5" a="1"/>
  <c r="BH51" i="5" s="1"/>
  <c r="BI51" i="5" a="1"/>
  <c r="BI51" i="5" s="1"/>
  <c r="BJ51" i="5" a="1"/>
  <c r="BJ51" i="5" s="1"/>
  <c r="BK51" i="5" a="1"/>
  <c r="BK51" i="5" s="1"/>
  <c r="BL51" i="5"/>
  <c r="BG52" i="5"/>
  <c r="BH52" i="5" a="1"/>
  <c r="BH52" i="5" s="1"/>
  <c r="BI52" i="5" a="1"/>
  <c r="BI52" i="5" s="1"/>
  <c r="BJ52" i="5" a="1"/>
  <c r="BJ52" i="5" s="1"/>
  <c r="BK52" i="5" a="1"/>
  <c r="BK52" i="5" s="1"/>
  <c r="BL52" i="5"/>
  <c r="BG53" i="5"/>
  <c r="BH53" i="5" a="1"/>
  <c r="BH53" i="5" s="1"/>
  <c r="BI53" i="5" a="1"/>
  <c r="BI53" i="5" s="1"/>
  <c r="BJ53" i="5" a="1"/>
  <c r="BJ53" i="5" s="1"/>
  <c r="BK53" i="5" a="1"/>
  <c r="BK53" i="5" s="1"/>
  <c r="BL53" i="5"/>
  <c r="BG54" i="5"/>
  <c r="BH54" i="5" a="1"/>
  <c r="BH54" i="5" s="1"/>
  <c r="BI54" i="5" a="1"/>
  <c r="BI54" i="5" s="1"/>
  <c r="BJ54" i="5" a="1"/>
  <c r="BJ54" i="5" s="1"/>
  <c r="BK54" i="5" a="1"/>
  <c r="BK54" i="5" s="1"/>
  <c r="BL54" i="5"/>
  <c r="BG55" i="5"/>
  <c r="BH55" i="5" a="1"/>
  <c r="BH55" i="5" s="1"/>
  <c r="BI55" i="5" a="1"/>
  <c r="BI55" i="5" s="1"/>
  <c r="BJ55" i="5" a="1"/>
  <c r="BJ55" i="5" s="1"/>
  <c r="BK55" i="5" a="1"/>
  <c r="BK55" i="5" s="1"/>
  <c r="BL55" i="5"/>
  <c r="BG56" i="5"/>
  <c r="BH56" i="5" a="1"/>
  <c r="BH56" i="5" s="1"/>
  <c r="BI56" i="5" a="1"/>
  <c r="BI56" i="5"/>
  <c r="BJ56" i="5" a="1"/>
  <c r="BJ56" i="5" s="1"/>
  <c r="BK56" i="5" a="1"/>
  <c r="BK56" i="5" s="1"/>
  <c r="BL56" i="5"/>
  <c r="BG57" i="5"/>
  <c r="BH57" i="5" a="1"/>
  <c r="BH57" i="5" s="1"/>
  <c r="BI57" i="5" a="1"/>
  <c r="BI57" i="5" s="1"/>
  <c r="BJ57" i="5" a="1"/>
  <c r="BJ57" i="5" s="1"/>
  <c r="BK57" i="5" a="1"/>
  <c r="BK57" i="5" s="1"/>
  <c r="BL57" i="5"/>
  <c r="BG58" i="5"/>
  <c r="BH58" i="5" a="1"/>
  <c r="BH58" i="5" s="1"/>
  <c r="BI58" i="5" a="1"/>
  <c r="BI58" i="5" s="1"/>
  <c r="BJ58" i="5" a="1"/>
  <c r="BJ58" i="5" s="1"/>
  <c r="BK58" i="5" a="1"/>
  <c r="BK58" i="5" s="1"/>
  <c r="BL58" i="5"/>
  <c r="BG59" i="5"/>
  <c r="BH59" i="5" a="1"/>
  <c r="BH59" i="5" s="1"/>
  <c r="BI59" i="5" a="1"/>
  <c r="BI59" i="5" s="1"/>
  <c r="BJ59" i="5" a="1"/>
  <c r="BJ59" i="5" s="1"/>
  <c r="BK59" i="5" a="1"/>
  <c r="BK59" i="5" s="1"/>
  <c r="BL59" i="5"/>
  <c r="BG60" i="5"/>
  <c r="BH60" i="5" a="1"/>
  <c r="BH60" i="5" s="1"/>
  <c r="BI60" i="5" a="1"/>
  <c r="BI60" i="5" s="1"/>
  <c r="BJ60" i="5" a="1"/>
  <c r="BJ60" i="5" s="1"/>
  <c r="BK60" i="5" a="1"/>
  <c r="BK60" i="5" s="1"/>
  <c r="BL60" i="5"/>
  <c r="BG61" i="5"/>
  <c r="BH61" i="5" a="1"/>
  <c r="BH61" i="5" s="1"/>
  <c r="BI61" i="5" a="1"/>
  <c r="BI61" i="5" s="1"/>
  <c r="BJ61" i="5" a="1"/>
  <c r="BJ61" i="5" s="1"/>
  <c r="BK61" i="5" a="1"/>
  <c r="BK61" i="5" s="1"/>
  <c r="BL61" i="5"/>
  <c r="BG62" i="5"/>
  <c r="BH62" i="5" a="1"/>
  <c r="BH62" i="5" s="1"/>
  <c r="BI62" i="5" a="1"/>
  <c r="BI62" i="5" s="1"/>
  <c r="BJ62" i="5" a="1"/>
  <c r="BJ62" i="5" s="1"/>
  <c r="BK62" i="5" a="1"/>
  <c r="BK62" i="5" s="1"/>
  <c r="BL62" i="5"/>
  <c r="BG63" i="5"/>
  <c r="BH63" i="5" a="1"/>
  <c r="BH63" i="5" s="1"/>
  <c r="BI63" i="5" a="1"/>
  <c r="BI63" i="5" s="1"/>
  <c r="BJ63" i="5" a="1"/>
  <c r="BJ63" i="5" s="1"/>
  <c r="BK63" i="5" a="1"/>
  <c r="BK63" i="5" s="1"/>
  <c r="BL63" i="5"/>
  <c r="BG64" i="5"/>
  <c r="BH64" i="5" a="1"/>
  <c r="BH64" i="5" s="1"/>
  <c r="BI64" i="5" a="1"/>
  <c r="BI64" i="5" s="1"/>
  <c r="BJ64" i="5" a="1"/>
  <c r="BJ64" i="5" s="1"/>
  <c r="BK64" i="5" a="1"/>
  <c r="BK64" i="5" s="1"/>
  <c r="BL64" i="5"/>
  <c r="BG65" i="5"/>
  <c r="BH65" i="5" a="1"/>
  <c r="BH65" i="5" s="1"/>
  <c r="BI65" i="5" a="1"/>
  <c r="BI65" i="5" s="1"/>
  <c r="BJ65" i="5" a="1"/>
  <c r="BJ65" i="5" s="1"/>
  <c r="BK65" i="5" a="1"/>
  <c r="BK65" i="5" s="1"/>
  <c r="BL65" i="5"/>
  <c r="BG66" i="5"/>
  <c r="BH66" i="5" a="1"/>
  <c r="BH66" i="5" s="1"/>
  <c r="BI66" i="5" a="1"/>
  <c r="BI66" i="5" s="1"/>
  <c r="BJ66" i="5" a="1"/>
  <c r="BJ66" i="5" s="1"/>
  <c r="BK66" i="5" a="1"/>
  <c r="BK66" i="5" s="1"/>
  <c r="BL66" i="5"/>
  <c r="BG67" i="5"/>
  <c r="BH67" i="5" a="1"/>
  <c r="BH67" i="5" s="1"/>
  <c r="BI67" i="5" a="1"/>
  <c r="BI67" i="5" s="1"/>
  <c r="BJ67" i="5" a="1"/>
  <c r="BJ67" i="5" s="1"/>
  <c r="BK67" i="5" a="1"/>
  <c r="BK67" i="5" s="1"/>
  <c r="BL67" i="5"/>
  <c r="BG68" i="5"/>
  <c r="BH68" i="5" a="1"/>
  <c r="BH68" i="5" s="1"/>
  <c r="BI68" i="5" a="1"/>
  <c r="BI68" i="5" s="1"/>
  <c r="BJ68" i="5" a="1"/>
  <c r="BJ68" i="5" s="1"/>
  <c r="BK68" i="5" a="1"/>
  <c r="BK68" i="5" s="1"/>
  <c r="BL68" i="5"/>
  <c r="BG69" i="5"/>
  <c r="BH69" i="5" a="1"/>
  <c r="BH69" i="5" s="1"/>
  <c r="BI69" i="5" a="1"/>
  <c r="BI69" i="5" s="1"/>
  <c r="BJ69" i="5" a="1"/>
  <c r="BJ69" i="5" s="1"/>
  <c r="BK69" i="5" a="1"/>
  <c r="BK69" i="5" s="1"/>
  <c r="BL69" i="5"/>
  <c r="BG70" i="5"/>
  <c r="BH70" i="5" a="1"/>
  <c r="BH70" i="5" s="1"/>
  <c r="BI70" i="5" a="1"/>
  <c r="BI70" i="5" s="1"/>
  <c r="BJ70" i="5" a="1"/>
  <c r="BJ70" i="5" s="1"/>
  <c r="BK70" i="5" a="1"/>
  <c r="BK70" i="5" s="1"/>
  <c r="BL70" i="5"/>
  <c r="BG71" i="5"/>
  <c r="BH71" i="5" a="1"/>
  <c r="BH71" i="5" s="1"/>
  <c r="BI71" i="5" a="1"/>
  <c r="BI71" i="5" s="1"/>
  <c r="BJ71" i="5" a="1"/>
  <c r="BJ71" i="5" s="1"/>
  <c r="BK71" i="5" a="1"/>
  <c r="BK71" i="5" s="1"/>
  <c r="BL71" i="5"/>
  <c r="BG72" i="5"/>
  <c r="BH72" i="5" a="1"/>
  <c r="BH72" i="5" s="1"/>
  <c r="BI72" i="5" a="1"/>
  <c r="BI72" i="5" s="1"/>
  <c r="BJ72" i="5" a="1"/>
  <c r="BJ72" i="5" s="1"/>
  <c r="BK72" i="5" a="1"/>
  <c r="BK72" i="5" s="1"/>
  <c r="BL72" i="5"/>
  <c r="BG73" i="5"/>
  <c r="BH73" i="5" a="1"/>
  <c r="BH73" i="5" s="1"/>
  <c r="BI73" i="5" a="1"/>
  <c r="BI73" i="5" s="1"/>
  <c r="BJ73" i="5" a="1"/>
  <c r="BJ73" i="5" s="1"/>
  <c r="BK73" i="5" a="1"/>
  <c r="BK73" i="5" s="1"/>
  <c r="BL73" i="5"/>
  <c r="BG74" i="5"/>
  <c r="BH74" i="5" a="1"/>
  <c r="BH74" i="5" s="1"/>
  <c r="BI74" i="5" a="1"/>
  <c r="BI74" i="5" s="1"/>
  <c r="BJ74" i="5" a="1"/>
  <c r="BJ74" i="5" s="1"/>
  <c r="BK74" i="5" a="1"/>
  <c r="BK74" i="5" s="1"/>
  <c r="BL74" i="5"/>
  <c r="BG75" i="5"/>
  <c r="BH75" i="5" a="1"/>
  <c r="BH75" i="5" s="1"/>
  <c r="BI75" i="5" a="1"/>
  <c r="BI75" i="5" s="1"/>
  <c r="BJ75" i="5" a="1"/>
  <c r="BJ75" i="5" s="1"/>
  <c r="BK75" i="5" a="1"/>
  <c r="BK75" i="5" s="1"/>
  <c r="BL75" i="5"/>
  <c r="BG76" i="5"/>
  <c r="BH76" i="5" a="1"/>
  <c r="BH76" i="5" s="1"/>
  <c r="BI76" i="5" a="1"/>
  <c r="BI76" i="5" s="1"/>
  <c r="BJ76" i="5" a="1"/>
  <c r="BJ76" i="5" s="1"/>
  <c r="BK76" i="5" a="1"/>
  <c r="BK76" i="5" s="1"/>
  <c r="BL76" i="5"/>
  <c r="BG77" i="5"/>
  <c r="BH77" i="5" a="1"/>
  <c r="BH77" i="5" s="1"/>
  <c r="BI77" i="5" a="1"/>
  <c r="BI77" i="5" s="1"/>
  <c r="BJ77" i="5" a="1"/>
  <c r="BJ77" i="5" s="1"/>
  <c r="BK77" i="5" a="1"/>
  <c r="BK77" i="5" s="1"/>
  <c r="BL77" i="5"/>
  <c r="BG78" i="5"/>
  <c r="BH78" i="5" a="1"/>
  <c r="BH78" i="5" s="1"/>
  <c r="BI78" i="5" a="1"/>
  <c r="BI78" i="5" s="1"/>
  <c r="BJ78" i="5" a="1"/>
  <c r="BJ78" i="5" s="1"/>
  <c r="BK78" i="5" a="1"/>
  <c r="BK78" i="5" s="1"/>
  <c r="BL78" i="5"/>
  <c r="BG79" i="5"/>
  <c r="BH79" i="5" a="1"/>
  <c r="BH79" i="5" s="1"/>
  <c r="BI79" i="5" a="1"/>
  <c r="BI79" i="5" s="1"/>
  <c r="BJ79" i="5" a="1"/>
  <c r="BJ79" i="5" s="1"/>
  <c r="BK79" i="5" a="1"/>
  <c r="BK79" i="5" s="1"/>
  <c r="BL79" i="5"/>
  <c r="BG80" i="5"/>
  <c r="BH80" i="5" a="1"/>
  <c r="BH80" i="5" s="1"/>
  <c r="BI80" i="5" a="1"/>
  <c r="BI80" i="5" s="1"/>
  <c r="BJ80" i="5" a="1"/>
  <c r="BJ80" i="5" s="1"/>
  <c r="BK80" i="5" a="1"/>
  <c r="BK80" i="5" s="1"/>
  <c r="BL80" i="5"/>
  <c r="BG81" i="5"/>
  <c r="BH81" i="5" a="1"/>
  <c r="BH81" i="5" s="1"/>
  <c r="BI81" i="5" a="1"/>
  <c r="BI81" i="5" s="1"/>
  <c r="BJ81" i="5" a="1"/>
  <c r="BJ81" i="5" s="1"/>
  <c r="BK81" i="5" a="1"/>
  <c r="BK81" i="5" s="1"/>
  <c r="BL81" i="5"/>
  <c r="BG82" i="5"/>
  <c r="BH82" i="5" a="1"/>
  <c r="BH82" i="5" s="1"/>
  <c r="BI82" i="5" a="1"/>
  <c r="BI82" i="5" s="1"/>
  <c r="BJ82" i="5" a="1"/>
  <c r="BJ82" i="5" s="1"/>
  <c r="BK82" i="5" a="1"/>
  <c r="BK82" i="5" s="1"/>
  <c r="BL82" i="5"/>
  <c r="BG83" i="5"/>
  <c r="BH83" i="5" a="1"/>
  <c r="BH83" i="5" s="1"/>
  <c r="BI83" i="5" a="1"/>
  <c r="BI83" i="5" s="1"/>
  <c r="BJ83" i="5" a="1"/>
  <c r="BJ83" i="5" s="1"/>
  <c r="BK83" i="5" a="1"/>
  <c r="BK83" i="5" s="1"/>
  <c r="BL83" i="5"/>
  <c r="BG84" i="5"/>
  <c r="BH84" i="5" a="1"/>
  <c r="BH84" i="5" s="1"/>
  <c r="BI84" i="5" a="1"/>
  <c r="BI84" i="5" s="1"/>
  <c r="BJ84" i="5" a="1"/>
  <c r="BJ84" i="5" s="1"/>
  <c r="BK84" i="5" a="1"/>
  <c r="BK84" i="5" s="1"/>
  <c r="BL84" i="5"/>
  <c r="BG85" i="5"/>
  <c r="BH85" i="5" a="1"/>
  <c r="BH85" i="5" s="1"/>
  <c r="BI85" i="5" a="1"/>
  <c r="BI85" i="5" s="1"/>
  <c r="BJ85" i="5" a="1"/>
  <c r="BJ85" i="5" s="1"/>
  <c r="BK85" i="5" a="1"/>
  <c r="BK85" i="5" s="1"/>
  <c r="BL85" i="5"/>
  <c r="BG86" i="5"/>
  <c r="BH86" i="5" a="1"/>
  <c r="BH86" i="5" s="1"/>
  <c r="BI86" i="5" a="1"/>
  <c r="BI86" i="5" s="1"/>
  <c r="BJ86" i="5" a="1"/>
  <c r="BJ86" i="5" s="1"/>
  <c r="BK86" i="5" a="1"/>
  <c r="BK86" i="5" s="1"/>
  <c r="BL86" i="5"/>
  <c r="BG87" i="5"/>
  <c r="BH87" i="5" a="1"/>
  <c r="BH87" i="5" s="1"/>
  <c r="BI87" i="5" a="1"/>
  <c r="BI87" i="5" s="1"/>
  <c r="BJ87" i="5" a="1"/>
  <c r="BJ87" i="5" s="1"/>
  <c r="BK87" i="5" a="1"/>
  <c r="BK87" i="5" s="1"/>
  <c r="BL87" i="5"/>
  <c r="BG88" i="5"/>
  <c r="BH88" i="5" a="1"/>
  <c r="BH88" i="5" s="1"/>
  <c r="BI88" i="5" a="1"/>
  <c r="BI88" i="5" s="1"/>
  <c r="BJ88" i="5" a="1"/>
  <c r="BJ88" i="5" s="1"/>
  <c r="BK88" i="5" a="1"/>
  <c r="BK88" i="5" s="1"/>
  <c r="BL88" i="5"/>
  <c r="BG89" i="5"/>
  <c r="BH89" i="5" a="1"/>
  <c r="BH89" i="5" s="1"/>
  <c r="BI89" i="5" a="1"/>
  <c r="BI89" i="5" s="1"/>
  <c r="BJ89" i="5" a="1"/>
  <c r="BJ89" i="5" s="1"/>
  <c r="BK89" i="5" a="1"/>
  <c r="BK89" i="5" s="1"/>
  <c r="BL89" i="5"/>
  <c r="BG90" i="5"/>
  <c r="BH90" i="5" a="1"/>
  <c r="BH90" i="5" s="1"/>
  <c r="BI90" i="5" a="1"/>
  <c r="BI90" i="5"/>
  <c r="BJ90" i="5" a="1"/>
  <c r="BJ90" i="5" s="1"/>
  <c r="BK90" i="5" a="1"/>
  <c r="BK90" i="5" s="1"/>
  <c r="BL90" i="5"/>
  <c r="BG91" i="5"/>
  <c r="BH91" i="5" a="1"/>
  <c r="BH91" i="5" s="1"/>
  <c r="BI91" i="5" a="1"/>
  <c r="BI91" i="5" s="1"/>
  <c r="BJ91" i="5" a="1"/>
  <c r="BJ91" i="5"/>
  <c r="BK91" i="5" a="1"/>
  <c r="BK91" i="5" s="1"/>
  <c r="BL91" i="5"/>
  <c r="BG92" i="5"/>
  <c r="BH92" i="5" a="1"/>
  <c r="BH92" i="5" s="1"/>
  <c r="BI92" i="5" a="1"/>
  <c r="BI92" i="5" s="1"/>
  <c r="BJ92" i="5" a="1"/>
  <c r="BJ92" i="5" s="1"/>
  <c r="BK92" i="5" a="1"/>
  <c r="BK92" i="5" s="1"/>
  <c r="BL92" i="5"/>
  <c r="BG93" i="5"/>
  <c r="BH93" i="5" a="1"/>
  <c r="BH93" i="5" s="1"/>
  <c r="BI93" i="5" a="1"/>
  <c r="BI93" i="5" s="1"/>
  <c r="BJ93" i="5" a="1"/>
  <c r="BJ93" i="5" s="1"/>
  <c r="BK93" i="5" a="1"/>
  <c r="BK93" i="5" s="1"/>
  <c r="BL93" i="5"/>
  <c r="BG94" i="5"/>
  <c r="BH94" i="5" a="1"/>
  <c r="BH94" i="5" s="1"/>
  <c r="BI94" i="5" a="1"/>
  <c r="BI94" i="5" s="1"/>
  <c r="BJ94" i="5" a="1"/>
  <c r="BJ94" i="5" s="1"/>
  <c r="BK94" i="5" a="1"/>
  <c r="BK94" i="5" s="1"/>
  <c r="BL94" i="5"/>
  <c r="BG95" i="5"/>
  <c r="BH95" i="5" a="1"/>
  <c r="BH95" i="5" s="1"/>
  <c r="BI95" i="5" a="1"/>
  <c r="BI95" i="5" s="1"/>
  <c r="BJ95" i="5" a="1"/>
  <c r="BJ95" i="5" s="1"/>
  <c r="BK95" i="5" a="1"/>
  <c r="BK95" i="5" s="1"/>
  <c r="BL95" i="5"/>
  <c r="BG96" i="5"/>
  <c r="BH96" i="5" a="1"/>
  <c r="BH96" i="5" s="1"/>
  <c r="BI96" i="5" a="1"/>
  <c r="BI96" i="5" s="1"/>
  <c r="BJ96" i="5" a="1"/>
  <c r="BJ96" i="5" s="1"/>
  <c r="BK96" i="5" a="1"/>
  <c r="BK96" i="5" s="1"/>
  <c r="BL96" i="5"/>
  <c r="BG97" i="5"/>
  <c r="BH97" i="5" a="1"/>
  <c r="BH97" i="5" s="1"/>
  <c r="BI97" i="5" a="1"/>
  <c r="BI97" i="5" s="1"/>
  <c r="BJ97" i="5" a="1"/>
  <c r="BJ97" i="5" s="1"/>
  <c r="BK97" i="5" a="1"/>
  <c r="BK97" i="5" s="1"/>
  <c r="BL97" i="5"/>
  <c r="BG98" i="5"/>
  <c r="BH98" i="5" a="1"/>
  <c r="BH98" i="5" s="1"/>
  <c r="BI98" i="5" a="1"/>
  <c r="BI98" i="5" s="1"/>
  <c r="BJ98" i="5" a="1"/>
  <c r="BJ98" i="5" s="1"/>
  <c r="BK98" i="5" a="1"/>
  <c r="BK98" i="5" s="1"/>
  <c r="BL98" i="5"/>
  <c r="BG99" i="5"/>
  <c r="BH99" i="5" a="1"/>
  <c r="BH99" i="5" s="1"/>
  <c r="BI99" i="5" a="1"/>
  <c r="BI99" i="5" s="1"/>
  <c r="BJ99" i="5" a="1"/>
  <c r="BJ99" i="5" s="1"/>
  <c r="BK99" i="5" a="1"/>
  <c r="BK99" i="5" s="1"/>
  <c r="BL99" i="5"/>
  <c r="BG100" i="5"/>
  <c r="BH100" i="5" a="1"/>
  <c r="BH100" i="5" s="1"/>
  <c r="BI100" i="5" a="1"/>
  <c r="BI100" i="5" s="1"/>
  <c r="BJ100" i="5" a="1"/>
  <c r="BJ100" i="5" s="1"/>
  <c r="BK100" i="5" a="1"/>
  <c r="BK100" i="5" s="1"/>
  <c r="BL100" i="5"/>
  <c r="BG101" i="5"/>
  <c r="BH101" i="5" a="1"/>
  <c r="BH101" i="5" s="1"/>
  <c r="BI101" i="5" a="1"/>
  <c r="BI101" i="5" s="1"/>
  <c r="BJ101" i="5" a="1"/>
  <c r="BJ101" i="5" s="1"/>
  <c r="BK101" i="5" a="1"/>
  <c r="BK101" i="5" s="1"/>
  <c r="BL101" i="5"/>
  <c r="BG102" i="5"/>
  <c r="BH102" i="5" a="1"/>
  <c r="BH102" i="5" s="1"/>
  <c r="BI102" i="5" a="1"/>
  <c r="BI102" i="5" s="1"/>
  <c r="BJ102" i="5" a="1"/>
  <c r="BJ102" i="5" s="1"/>
  <c r="BK102" i="5" a="1"/>
  <c r="BK102" i="5" s="1"/>
  <c r="BL102" i="5"/>
  <c r="BG103" i="5"/>
  <c r="BH103" i="5" a="1"/>
  <c r="BH103" i="5" s="1"/>
  <c r="BI103" i="5" a="1"/>
  <c r="BI103" i="5" s="1"/>
  <c r="BJ103" i="5" a="1"/>
  <c r="BJ103" i="5" s="1"/>
  <c r="BK103" i="5" a="1"/>
  <c r="BK103" i="5" s="1"/>
  <c r="BL103" i="5"/>
  <c r="BG104" i="5"/>
  <c r="BH104" i="5" a="1"/>
  <c r="BH104" i="5" s="1"/>
  <c r="BI104" i="5" a="1"/>
  <c r="BI104" i="5" s="1"/>
  <c r="BJ104" i="5" a="1"/>
  <c r="BJ104" i="5" s="1"/>
  <c r="BK104" i="5" a="1"/>
  <c r="BK104" i="5" s="1"/>
  <c r="BL104" i="5"/>
  <c r="BG105" i="5"/>
  <c r="BH105" i="5" a="1"/>
  <c r="BH105" i="5" s="1"/>
  <c r="BI105" i="5" a="1"/>
  <c r="BI105" i="5" s="1"/>
  <c r="BJ105" i="5" a="1"/>
  <c r="BJ105" i="5" s="1"/>
  <c r="BK105" i="5" a="1"/>
  <c r="BK105" i="5" s="1"/>
  <c r="BL105" i="5"/>
  <c r="BG106" i="5"/>
  <c r="BH106" i="5" a="1"/>
  <c r="BH106" i="5" s="1"/>
  <c r="BI106" i="5" a="1"/>
  <c r="BI106" i="5" s="1"/>
  <c r="BJ106" i="5" a="1"/>
  <c r="BJ106" i="5" s="1"/>
  <c r="BK106" i="5" a="1"/>
  <c r="BK106" i="5" s="1"/>
  <c r="BL106" i="5"/>
  <c r="BG107" i="5"/>
  <c r="BH107" i="5" a="1"/>
  <c r="BH107" i="5" s="1"/>
  <c r="BI107" i="5" a="1"/>
  <c r="BI107" i="5" s="1"/>
  <c r="BJ107" i="5" a="1"/>
  <c r="BJ107" i="5" s="1"/>
  <c r="BK107" i="5" a="1"/>
  <c r="BK107" i="5" s="1"/>
  <c r="BL107" i="5"/>
  <c r="BG108" i="5"/>
  <c r="BH108" i="5" a="1"/>
  <c r="BH108" i="5" s="1"/>
  <c r="BI108" i="5" a="1"/>
  <c r="BI108" i="5" s="1"/>
  <c r="BJ108" i="5" a="1"/>
  <c r="BJ108" i="5" s="1"/>
  <c r="BK108" i="5" a="1"/>
  <c r="BK108" i="5" s="1"/>
  <c r="BL108" i="5"/>
  <c r="BG109" i="5"/>
  <c r="BH109" i="5" a="1"/>
  <c r="BH109" i="5" s="1"/>
  <c r="BI109" i="5" a="1"/>
  <c r="BI109" i="5" s="1"/>
  <c r="BJ109" i="5" a="1"/>
  <c r="BJ109" i="5" s="1"/>
  <c r="BK109" i="5" a="1"/>
  <c r="BK109" i="5" s="1"/>
  <c r="BL109" i="5"/>
  <c r="BG110" i="5"/>
  <c r="BH110" i="5" a="1"/>
  <c r="BH110" i="5" s="1"/>
  <c r="BI110" i="5" a="1"/>
  <c r="BI110" i="5" s="1"/>
  <c r="BJ110" i="5" a="1"/>
  <c r="BJ110" i="5" s="1"/>
  <c r="BK110" i="5" a="1"/>
  <c r="BK110" i="5" s="1"/>
  <c r="BL110" i="5"/>
  <c r="BG111" i="5"/>
  <c r="BH111" i="5" a="1"/>
  <c r="BH111" i="5" s="1"/>
  <c r="BI111" i="5" a="1"/>
  <c r="BI111" i="5" s="1"/>
  <c r="BJ111" i="5" a="1"/>
  <c r="BJ111" i="5" s="1"/>
  <c r="BK111" i="5" a="1"/>
  <c r="BK111" i="5" s="1"/>
  <c r="BL111" i="5"/>
  <c r="BG112" i="5"/>
  <c r="BH112" i="5" a="1"/>
  <c r="BH112" i="5" s="1"/>
  <c r="BI112" i="5" a="1"/>
  <c r="BI112" i="5" s="1"/>
  <c r="BJ112" i="5" a="1"/>
  <c r="BJ112" i="5" s="1"/>
  <c r="BK112" i="5" a="1"/>
  <c r="BK112" i="5" s="1"/>
  <c r="BL112" i="5"/>
  <c r="BG113" i="5"/>
  <c r="BH113" i="5" a="1"/>
  <c r="BH113" i="5" s="1"/>
  <c r="BI113" i="5" a="1"/>
  <c r="BI113" i="5" s="1"/>
  <c r="BJ113" i="5" a="1"/>
  <c r="BJ113" i="5" s="1"/>
  <c r="BK113" i="5" a="1"/>
  <c r="BK113" i="5" s="1"/>
  <c r="BL113" i="5"/>
  <c r="BG114" i="5"/>
  <c r="BH114" i="5" a="1"/>
  <c r="BH114" i="5" s="1"/>
  <c r="BI114" i="5" a="1"/>
  <c r="BI114" i="5" s="1"/>
  <c r="BJ114" i="5" a="1"/>
  <c r="BJ114" i="5" s="1"/>
  <c r="BK114" i="5" a="1"/>
  <c r="BK114" i="5" s="1"/>
  <c r="BL114" i="5"/>
  <c r="BG115" i="5"/>
  <c r="BH115" i="5" a="1"/>
  <c r="BH115" i="5" s="1"/>
  <c r="BI115" i="5" a="1"/>
  <c r="BI115" i="5" s="1"/>
  <c r="BJ115" i="5" a="1"/>
  <c r="BJ115" i="5" s="1"/>
  <c r="BK115" i="5" a="1"/>
  <c r="BK115" i="5" s="1"/>
  <c r="BL115" i="5"/>
  <c r="BG116" i="5"/>
  <c r="BH116" i="5" a="1"/>
  <c r="BH116" i="5" s="1"/>
  <c r="BI116" i="5" a="1"/>
  <c r="BI116" i="5" s="1"/>
  <c r="BJ116" i="5" a="1"/>
  <c r="BJ116" i="5" s="1"/>
  <c r="BK116" i="5" a="1"/>
  <c r="BK116" i="5" s="1"/>
  <c r="BL116" i="5"/>
  <c r="BG117" i="5"/>
  <c r="BH117" i="5" a="1"/>
  <c r="BH117" i="5" s="1"/>
  <c r="BI117" i="5" a="1"/>
  <c r="BI117" i="5" s="1"/>
  <c r="BJ117" i="5" a="1"/>
  <c r="BJ117" i="5" s="1"/>
  <c r="BK117" i="5" a="1"/>
  <c r="BK117" i="5" s="1"/>
  <c r="BL117" i="5"/>
  <c r="BG118" i="5"/>
  <c r="BH118" i="5" a="1"/>
  <c r="BH118" i="5" s="1"/>
  <c r="BI118" i="5" a="1"/>
  <c r="BI118" i="5" s="1"/>
  <c r="BJ118" i="5" a="1"/>
  <c r="BJ118" i="5" s="1"/>
  <c r="BK118" i="5" a="1"/>
  <c r="BK118" i="5" s="1"/>
  <c r="BL118" i="5"/>
  <c r="BG119" i="5"/>
  <c r="BH119" i="5" a="1"/>
  <c r="BH119" i="5" s="1"/>
  <c r="BI119" i="5" a="1"/>
  <c r="BI119" i="5" s="1"/>
  <c r="BJ119" i="5" a="1"/>
  <c r="BJ119" i="5" s="1"/>
  <c r="BK119" i="5" a="1"/>
  <c r="BK119" i="5" s="1"/>
  <c r="BL119" i="5"/>
  <c r="BG120" i="5"/>
  <c r="BH120" i="5" a="1"/>
  <c r="BH120" i="5" s="1"/>
  <c r="BI120" i="5" a="1"/>
  <c r="BI120" i="5" s="1"/>
  <c r="BJ120" i="5" a="1"/>
  <c r="BJ120" i="5" s="1"/>
  <c r="BK120" i="5" a="1"/>
  <c r="BK120" i="5" s="1"/>
  <c r="BL120" i="5"/>
  <c r="BG121" i="5"/>
  <c r="BH121" i="5" a="1"/>
  <c r="BH121" i="5" s="1"/>
  <c r="BI121" i="5" a="1"/>
  <c r="BI121" i="5" s="1"/>
  <c r="BJ121" i="5" a="1"/>
  <c r="BJ121" i="5" s="1"/>
  <c r="BK121" i="5" a="1"/>
  <c r="BK121" i="5" s="1"/>
  <c r="BL121" i="5"/>
  <c r="BG122" i="5"/>
  <c r="BH122" i="5" a="1"/>
  <c r="BH122" i="5" s="1"/>
  <c r="BI122" i="5" a="1"/>
  <c r="BI122" i="5"/>
  <c r="BJ122" i="5" a="1"/>
  <c r="BJ122" i="5" s="1"/>
  <c r="BK122" i="5" a="1"/>
  <c r="BK122" i="5" s="1"/>
  <c r="BL122" i="5"/>
  <c r="BG123" i="5"/>
  <c r="BH123" i="5" a="1"/>
  <c r="BH123" i="5" s="1"/>
  <c r="BI123" i="5" a="1"/>
  <c r="BI123" i="5" s="1"/>
  <c r="BJ123" i="5" a="1"/>
  <c r="BJ123" i="5"/>
  <c r="BK123" i="5" a="1"/>
  <c r="BK123" i="5" s="1"/>
  <c r="BL123" i="5"/>
  <c r="BG124" i="5"/>
  <c r="BH124" i="5" a="1"/>
  <c r="BH124" i="5" s="1"/>
  <c r="BI124" i="5" a="1"/>
  <c r="BI124" i="5" s="1"/>
  <c r="BJ124" i="5" a="1"/>
  <c r="BJ124" i="5" s="1"/>
  <c r="BK124" i="5" a="1"/>
  <c r="BK124" i="5" s="1"/>
  <c r="BL124" i="5"/>
  <c r="BG125" i="5"/>
  <c r="BH125" i="5" a="1"/>
  <c r="BH125" i="5" s="1"/>
  <c r="BI125" i="5" a="1"/>
  <c r="BI125" i="5" s="1"/>
  <c r="BJ125" i="5" a="1"/>
  <c r="BJ125" i="5" s="1"/>
  <c r="BK125" i="5" a="1"/>
  <c r="BK125" i="5" s="1"/>
  <c r="BL125" i="5"/>
  <c r="BG126" i="5"/>
  <c r="BH126" i="5" a="1"/>
  <c r="BH126" i="5" s="1"/>
  <c r="BI126" i="5" a="1"/>
  <c r="BI126" i="5" s="1"/>
  <c r="BJ126" i="5" a="1"/>
  <c r="BJ126" i="5" s="1"/>
  <c r="BK126" i="5" a="1"/>
  <c r="BK126" i="5" s="1"/>
  <c r="BL126" i="5"/>
  <c r="BG127" i="5"/>
  <c r="BH127" i="5" a="1"/>
  <c r="BH127" i="5" s="1"/>
  <c r="BI127" i="5" a="1"/>
  <c r="BI127" i="5" s="1"/>
  <c r="BJ127" i="5" a="1"/>
  <c r="BJ127" i="5" s="1"/>
  <c r="BK127" i="5" a="1"/>
  <c r="BK127" i="5" s="1"/>
  <c r="BL127" i="5"/>
  <c r="BG128" i="5"/>
  <c r="BH128" i="5" a="1"/>
  <c r="BH128" i="5" s="1"/>
  <c r="BI128" i="5" a="1"/>
  <c r="BI128" i="5" s="1"/>
  <c r="BJ128" i="5" a="1"/>
  <c r="BJ128" i="5" s="1"/>
  <c r="BK128" i="5" a="1"/>
  <c r="BK128" i="5" s="1"/>
  <c r="BL128" i="5"/>
  <c r="BG129" i="5"/>
  <c r="BH129" i="5" a="1"/>
  <c r="BH129" i="5" s="1"/>
  <c r="BI129" i="5" a="1"/>
  <c r="BI129" i="5" s="1"/>
  <c r="BJ129" i="5" a="1"/>
  <c r="BJ129" i="5" s="1"/>
  <c r="BK129" i="5" a="1"/>
  <c r="BK129" i="5" s="1"/>
  <c r="BL129" i="5"/>
  <c r="BG130" i="5"/>
  <c r="BH130" i="5" a="1"/>
  <c r="BH130" i="5" s="1"/>
  <c r="BI130" i="5" a="1"/>
  <c r="BI130" i="5" s="1"/>
  <c r="BJ130" i="5" a="1"/>
  <c r="BJ130" i="5" s="1"/>
  <c r="BK130" i="5" a="1"/>
  <c r="BK130" i="5" s="1"/>
  <c r="BL130" i="5"/>
  <c r="BG131" i="5"/>
  <c r="BH131" i="5" a="1"/>
  <c r="BH131" i="5" s="1"/>
  <c r="BI131" i="5" a="1"/>
  <c r="BI131" i="5" s="1"/>
  <c r="BJ131" i="5" a="1"/>
  <c r="BJ131" i="5" s="1"/>
  <c r="BK131" i="5" a="1"/>
  <c r="BK131" i="5" s="1"/>
  <c r="BL131" i="5"/>
  <c r="BG132" i="5"/>
  <c r="BH132" i="5" a="1"/>
  <c r="BH132" i="5" s="1"/>
  <c r="BI132" i="5" a="1"/>
  <c r="BI132" i="5" s="1"/>
  <c r="BJ132" i="5" a="1"/>
  <c r="BJ132" i="5" s="1"/>
  <c r="BK132" i="5" a="1"/>
  <c r="BK132" i="5" s="1"/>
  <c r="BL132" i="5"/>
  <c r="BG133" i="5"/>
  <c r="BH133" i="5" a="1"/>
  <c r="BH133" i="5" s="1"/>
  <c r="BI133" i="5" a="1"/>
  <c r="BI133" i="5" s="1"/>
  <c r="BJ133" i="5" a="1"/>
  <c r="BJ133" i="5" s="1"/>
  <c r="BK133" i="5" a="1"/>
  <c r="BK133" i="5" s="1"/>
  <c r="BL133" i="5"/>
  <c r="BG134" i="5"/>
  <c r="BH134" i="5" a="1"/>
  <c r="BH134" i="5" s="1"/>
  <c r="BI134" i="5" a="1"/>
  <c r="BI134" i="5" s="1"/>
  <c r="BJ134" i="5" a="1"/>
  <c r="BJ134" i="5" s="1"/>
  <c r="BK134" i="5" a="1"/>
  <c r="BK134" i="5" s="1"/>
  <c r="BL134" i="5"/>
  <c r="BG135" i="5"/>
  <c r="BH135" i="5" a="1"/>
  <c r="BH135" i="5" s="1"/>
  <c r="BI135" i="5" a="1"/>
  <c r="BI135" i="5" s="1"/>
  <c r="BJ135" i="5" a="1"/>
  <c r="BJ135" i="5" s="1"/>
  <c r="BK135" i="5" a="1"/>
  <c r="BK135" i="5" s="1"/>
  <c r="BL135" i="5"/>
  <c r="BG136" i="5"/>
  <c r="BH136" i="5" a="1"/>
  <c r="BH136" i="5" s="1"/>
  <c r="BI136" i="5" a="1"/>
  <c r="BI136" i="5" s="1"/>
  <c r="BJ136" i="5" a="1"/>
  <c r="BJ136" i="5" s="1"/>
  <c r="BK136" i="5" a="1"/>
  <c r="BK136" i="5" s="1"/>
  <c r="BL136" i="5"/>
  <c r="BG137" i="5"/>
  <c r="BH137" i="5" a="1"/>
  <c r="BH137" i="5" s="1"/>
  <c r="BI137" i="5" a="1"/>
  <c r="BI137" i="5" s="1"/>
  <c r="BJ137" i="5" a="1"/>
  <c r="BJ137" i="5" s="1"/>
  <c r="BK137" i="5" a="1"/>
  <c r="BK137" i="5" s="1"/>
  <c r="BL137" i="5"/>
  <c r="BG138" i="5"/>
  <c r="BH138" i="5" a="1"/>
  <c r="BH138" i="5" s="1"/>
  <c r="BI138" i="5" a="1"/>
  <c r="BI138" i="5" s="1"/>
  <c r="BJ138" i="5" a="1"/>
  <c r="BJ138" i="5" s="1"/>
  <c r="BK138" i="5" a="1"/>
  <c r="BK138" i="5" s="1"/>
  <c r="BL138" i="5"/>
  <c r="BG139" i="5"/>
  <c r="BH139" i="5" a="1"/>
  <c r="BH139" i="5" s="1"/>
  <c r="BI139" i="5" a="1"/>
  <c r="BI139" i="5" s="1"/>
  <c r="BJ139" i="5" a="1"/>
  <c r="BJ139" i="5" s="1"/>
  <c r="BK139" i="5" a="1"/>
  <c r="BK139" i="5" s="1"/>
  <c r="BL139" i="5"/>
  <c r="BG140" i="5"/>
  <c r="BH140" i="5" a="1"/>
  <c r="BH140" i="5" s="1"/>
  <c r="BI140" i="5" a="1"/>
  <c r="BI140" i="5" s="1"/>
  <c r="BJ140" i="5" a="1"/>
  <c r="BJ140" i="5" s="1"/>
  <c r="BK140" i="5" a="1"/>
  <c r="BK140" i="5" s="1"/>
  <c r="BL140" i="5"/>
  <c r="BG141" i="5"/>
  <c r="BH141" i="5" a="1"/>
  <c r="BH141" i="5" s="1"/>
  <c r="BI141" i="5" a="1"/>
  <c r="BI141" i="5" s="1"/>
  <c r="BJ141" i="5" a="1"/>
  <c r="BJ141" i="5" s="1"/>
  <c r="BK141" i="5" a="1"/>
  <c r="BK141" i="5" s="1"/>
  <c r="BL141" i="5"/>
  <c r="BG142" i="5"/>
  <c r="BH142" i="5" a="1"/>
  <c r="BH142" i="5" s="1"/>
  <c r="BI142" i="5" a="1"/>
  <c r="BI142" i="5" s="1"/>
  <c r="BJ142" i="5" a="1"/>
  <c r="BJ142" i="5" s="1"/>
  <c r="BK142" i="5" a="1"/>
  <c r="BK142" i="5" s="1"/>
  <c r="BL142" i="5"/>
  <c r="BG143" i="5"/>
  <c r="BH143" i="5" a="1"/>
  <c r="BH143" i="5" s="1"/>
  <c r="BI143" i="5" a="1"/>
  <c r="BI143" i="5" s="1"/>
  <c r="BJ143" i="5" a="1"/>
  <c r="BJ143" i="5" s="1"/>
  <c r="BK143" i="5" a="1"/>
  <c r="BK143" i="5" s="1"/>
  <c r="BL143" i="5"/>
  <c r="BG144" i="5"/>
  <c r="BH144" i="5" a="1"/>
  <c r="BH144" i="5" s="1"/>
  <c r="BI144" i="5" a="1"/>
  <c r="BI144" i="5" s="1"/>
  <c r="BJ144" i="5" a="1"/>
  <c r="BJ144" i="5" s="1"/>
  <c r="BK144" i="5" a="1"/>
  <c r="BK144" i="5" s="1"/>
  <c r="BL144" i="5"/>
  <c r="BG145" i="5"/>
  <c r="BH145" i="5" a="1"/>
  <c r="BH145" i="5" s="1"/>
  <c r="BI145" i="5" a="1"/>
  <c r="BI145" i="5" s="1"/>
  <c r="BJ145" i="5" a="1"/>
  <c r="BJ145" i="5" s="1"/>
  <c r="BK145" i="5" a="1"/>
  <c r="BK145" i="5" s="1"/>
  <c r="BL145" i="5"/>
  <c r="BG146" i="5"/>
  <c r="BH146" i="5" a="1"/>
  <c r="BH146" i="5" s="1"/>
  <c r="BI146" i="5" a="1"/>
  <c r="BI146" i="5" s="1"/>
  <c r="BJ146" i="5" a="1"/>
  <c r="BJ146" i="5" s="1"/>
  <c r="BK146" i="5" a="1"/>
  <c r="BK146" i="5" s="1"/>
  <c r="BL146" i="5"/>
  <c r="BG147" i="5"/>
  <c r="BH147" i="5" a="1"/>
  <c r="BH147" i="5" s="1"/>
  <c r="BI147" i="5" a="1"/>
  <c r="BI147" i="5" s="1"/>
  <c r="BJ147" i="5" a="1"/>
  <c r="BJ147" i="5" s="1"/>
  <c r="BK147" i="5" a="1"/>
  <c r="BK147" i="5" s="1"/>
  <c r="BL147" i="5"/>
  <c r="BG148" i="5"/>
  <c r="BH148" i="5" a="1"/>
  <c r="BH148" i="5" s="1"/>
  <c r="BI148" i="5" a="1"/>
  <c r="BI148" i="5" s="1"/>
  <c r="BJ148" i="5" a="1"/>
  <c r="BJ148" i="5" s="1"/>
  <c r="BK148" i="5" a="1"/>
  <c r="BK148" i="5" s="1"/>
  <c r="BL148" i="5"/>
  <c r="BG149" i="5"/>
  <c r="BH149" i="5" a="1"/>
  <c r="BH149" i="5" s="1"/>
  <c r="BI149" i="5" a="1"/>
  <c r="BI149" i="5" s="1"/>
  <c r="BJ149" i="5" a="1"/>
  <c r="BJ149" i="5" s="1"/>
  <c r="BK149" i="5" a="1"/>
  <c r="BK149" i="5" s="1"/>
  <c r="BL149" i="5"/>
  <c r="BG150" i="5"/>
  <c r="BH150" i="5" a="1"/>
  <c r="BH150" i="5" s="1"/>
  <c r="BI150" i="5" a="1"/>
  <c r="BI150" i="5" s="1"/>
  <c r="BJ150" i="5" a="1"/>
  <c r="BJ150" i="5" s="1"/>
  <c r="BK150" i="5" a="1"/>
  <c r="BK150" i="5" s="1"/>
  <c r="BL150" i="5"/>
  <c r="BG151" i="5"/>
  <c r="BH151" i="5" a="1"/>
  <c r="BH151" i="5" s="1"/>
  <c r="BI151" i="5" a="1"/>
  <c r="BI151" i="5" s="1"/>
  <c r="BJ151" i="5" a="1"/>
  <c r="BJ151" i="5" s="1"/>
  <c r="BK151" i="5" a="1"/>
  <c r="BK151" i="5" s="1"/>
  <c r="BL151" i="5"/>
  <c r="BG152" i="5"/>
  <c r="BH152" i="5" a="1"/>
  <c r="BH152" i="5" s="1"/>
  <c r="BI152" i="5" a="1"/>
  <c r="BI152" i="5" s="1"/>
  <c r="BJ152" i="5" a="1"/>
  <c r="BJ152" i="5" s="1"/>
  <c r="BK152" i="5" a="1"/>
  <c r="BK152" i="5" s="1"/>
  <c r="BL152" i="5"/>
  <c r="BG153" i="5"/>
  <c r="BH153" i="5" a="1"/>
  <c r="BH153" i="5" s="1"/>
  <c r="BI153" i="5" a="1"/>
  <c r="BI153" i="5" s="1"/>
  <c r="BJ153" i="5" a="1"/>
  <c r="BJ153" i="5" s="1"/>
  <c r="BK153" i="5" a="1"/>
  <c r="BK153" i="5" s="1"/>
  <c r="BL153" i="5"/>
  <c r="BG154" i="5"/>
  <c r="BH154" i="5" a="1"/>
  <c r="BH154" i="5" s="1"/>
  <c r="BI154" i="5" a="1"/>
  <c r="BI154" i="5"/>
  <c r="BJ154" i="5" a="1"/>
  <c r="BJ154" i="5" s="1"/>
  <c r="BK154" i="5" a="1"/>
  <c r="BK154" i="5" s="1"/>
  <c r="BL154" i="5"/>
  <c r="BG155" i="5"/>
  <c r="BH155" i="5" a="1"/>
  <c r="BH155" i="5" s="1"/>
  <c r="BI155" i="5" a="1"/>
  <c r="BI155" i="5" s="1"/>
  <c r="BJ155" i="5" a="1"/>
  <c r="BJ155" i="5"/>
  <c r="BK155" i="5" a="1"/>
  <c r="BK155" i="5" s="1"/>
  <c r="BL155" i="5"/>
  <c r="BG156" i="5"/>
  <c r="BH156" i="5" a="1"/>
  <c r="BH156" i="5" s="1"/>
  <c r="BI156" i="5" a="1"/>
  <c r="BI156" i="5" s="1"/>
  <c r="BJ156" i="5" a="1"/>
  <c r="BJ156" i="5" s="1"/>
  <c r="BK156" i="5" a="1"/>
  <c r="BK156" i="5" s="1"/>
  <c r="BL156" i="5"/>
  <c r="BG157" i="5"/>
  <c r="BH157" i="5" a="1"/>
  <c r="BH157" i="5" s="1"/>
  <c r="BI157" i="5" a="1"/>
  <c r="BI157" i="5" s="1"/>
  <c r="BJ157" i="5" a="1"/>
  <c r="BJ157" i="5" s="1"/>
  <c r="BK157" i="5" a="1"/>
  <c r="BK157" i="5" s="1"/>
  <c r="BL157" i="5"/>
  <c r="BG158" i="5"/>
  <c r="BH158" i="5" a="1"/>
  <c r="BH158" i="5" s="1"/>
  <c r="BI158" i="5" a="1"/>
  <c r="BI158" i="5" s="1"/>
  <c r="BJ158" i="5" a="1"/>
  <c r="BJ158" i="5" s="1"/>
  <c r="BK158" i="5" a="1"/>
  <c r="BK158" i="5" s="1"/>
  <c r="BL158" i="5"/>
  <c r="BG159" i="5"/>
  <c r="BH159" i="5" a="1"/>
  <c r="BH159" i="5" s="1"/>
  <c r="BI159" i="5" a="1"/>
  <c r="BI159" i="5" s="1"/>
  <c r="BJ159" i="5" a="1"/>
  <c r="BJ159" i="5" s="1"/>
  <c r="BK159" i="5" a="1"/>
  <c r="BK159" i="5" s="1"/>
  <c r="BL159" i="5"/>
  <c r="BG160" i="5"/>
  <c r="BH160" i="5" a="1"/>
  <c r="BH160" i="5" s="1"/>
  <c r="BI160" i="5" a="1"/>
  <c r="BI160" i="5" s="1"/>
  <c r="BJ160" i="5" a="1"/>
  <c r="BJ160" i="5" s="1"/>
  <c r="BK160" i="5" a="1"/>
  <c r="BK160" i="5" s="1"/>
  <c r="BL160" i="5"/>
  <c r="BG161" i="5"/>
  <c r="BH161" i="5" a="1"/>
  <c r="BH161" i="5" s="1"/>
  <c r="BI161" i="5" a="1"/>
  <c r="BI161" i="5" s="1"/>
  <c r="BJ161" i="5" a="1"/>
  <c r="BJ161" i="5" s="1"/>
  <c r="BK161" i="5" a="1"/>
  <c r="BK161" i="5" s="1"/>
  <c r="BL161" i="5"/>
  <c r="BG162" i="5"/>
  <c r="BH162" i="5" a="1"/>
  <c r="BH162" i="5" s="1"/>
  <c r="BI162" i="5" a="1"/>
  <c r="BI162" i="5" s="1"/>
  <c r="BJ162" i="5" a="1"/>
  <c r="BJ162" i="5" s="1"/>
  <c r="BK162" i="5" a="1"/>
  <c r="BK162" i="5" s="1"/>
  <c r="BL162" i="5"/>
  <c r="BG163" i="5"/>
  <c r="BH163" i="5" a="1"/>
  <c r="BH163" i="5" s="1"/>
  <c r="BI163" i="5" a="1"/>
  <c r="BI163" i="5" s="1"/>
  <c r="BJ163" i="5" a="1"/>
  <c r="BJ163" i="5" s="1"/>
  <c r="BK163" i="5" a="1"/>
  <c r="BK163" i="5" s="1"/>
  <c r="BL163" i="5"/>
  <c r="BG164" i="5"/>
  <c r="BH164" i="5" a="1"/>
  <c r="BH164" i="5" s="1"/>
  <c r="BI164" i="5" a="1"/>
  <c r="BI164" i="5" s="1"/>
  <c r="BJ164" i="5" a="1"/>
  <c r="BJ164" i="5" s="1"/>
  <c r="BK164" i="5" a="1"/>
  <c r="BK164" i="5" s="1"/>
  <c r="BL164" i="5"/>
  <c r="BG165" i="5"/>
  <c r="BH165" i="5" a="1"/>
  <c r="BH165" i="5" s="1"/>
  <c r="BI165" i="5" a="1"/>
  <c r="BI165" i="5" s="1"/>
  <c r="BJ165" i="5" a="1"/>
  <c r="BJ165" i="5" s="1"/>
  <c r="BK165" i="5" a="1"/>
  <c r="BK165" i="5" s="1"/>
  <c r="BL165" i="5"/>
  <c r="BG166" i="5"/>
  <c r="BH166" i="5" a="1"/>
  <c r="BH166" i="5" s="1"/>
  <c r="BI166" i="5" a="1"/>
  <c r="BI166" i="5" s="1"/>
  <c r="BJ166" i="5" a="1"/>
  <c r="BJ166" i="5" s="1"/>
  <c r="BK166" i="5" a="1"/>
  <c r="BK166" i="5" s="1"/>
  <c r="BL166" i="5"/>
  <c r="BG167" i="5"/>
  <c r="BH167" i="5" a="1"/>
  <c r="BH167" i="5" s="1"/>
  <c r="BI167" i="5" a="1"/>
  <c r="BI167" i="5" s="1"/>
  <c r="BJ167" i="5" a="1"/>
  <c r="BJ167" i="5" s="1"/>
  <c r="BK167" i="5" a="1"/>
  <c r="BK167" i="5" s="1"/>
  <c r="BL167" i="5"/>
  <c r="BG168" i="5"/>
  <c r="BH168" i="5" a="1"/>
  <c r="BH168" i="5" s="1"/>
  <c r="BI168" i="5" a="1"/>
  <c r="BI168" i="5" s="1"/>
  <c r="BJ168" i="5" a="1"/>
  <c r="BJ168" i="5" s="1"/>
  <c r="BK168" i="5" a="1"/>
  <c r="BK168" i="5" s="1"/>
  <c r="BL168" i="5"/>
  <c r="BG169" i="5"/>
  <c r="BH169" i="5" a="1"/>
  <c r="BH169" i="5" s="1"/>
  <c r="BI169" i="5" a="1"/>
  <c r="BI169" i="5" s="1"/>
  <c r="BJ169" i="5" a="1"/>
  <c r="BJ169" i="5" s="1"/>
  <c r="BK169" i="5" a="1"/>
  <c r="BK169" i="5" s="1"/>
  <c r="BL169" i="5"/>
  <c r="BG170" i="5"/>
  <c r="BH170" i="5" a="1"/>
  <c r="BH170" i="5" s="1"/>
  <c r="BI170" i="5" a="1"/>
  <c r="BI170" i="5" s="1"/>
  <c r="BJ170" i="5" a="1"/>
  <c r="BJ170" i="5" s="1"/>
  <c r="BK170" i="5" a="1"/>
  <c r="BK170" i="5" s="1"/>
  <c r="BL170" i="5"/>
  <c r="BG171" i="5"/>
  <c r="BH171" i="5" a="1"/>
  <c r="BH171" i="5" s="1"/>
  <c r="BI171" i="5" a="1"/>
  <c r="BI171" i="5" s="1"/>
  <c r="BJ171" i="5" a="1"/>
  <c r="BJ171" i="5" s="1"/>
  <c r="BK171" i="5" a="1"/>
  <c r="BK171" i="5" s="1"/>
  <c r="BL171" i="5"/>
  <c r="BG172" i="5"/>
  <c r="BH172" i="5" a="1"/>
  <c r="BH172" i="5" s="1"/>
  <c r="BI172" i="5" a="1"/>
  <c r="BI172" i="5" s="1"/>
  <c r="BJ172" i="5" a="1"/>
  <c r="BJ172" i="5" s="1"/>
  <c r="BK172" i="5" a="1"/>
  <c r="BK172" i="5" s="1"/>
  <c r="BL172" i="5"/>
  <c r="BG173" i="5"/>
  <c r="BH173" i="5" a="1"/>
  <c r="BH173" i="5" s="1"/>
  <c r="BI173" i="5" a="1"/>
  <c r="BI173" i="5" s="1"/>
  <c r="BJ173" i="5" a="1"/>
  <c r="BJ173" i="5" s="1"/>
  <c r="BK173" i="5" a="1"/>
  <c r="BK173" i="5" s="1"/>
  <c r="BL173" i="5"/>
  <c r="BG174" i="5"/>
  <c r="BH174" i="5" a="1"/>
  <c r="BH174" i="5" s="1"/>
  <c r="BI174" i="5" a="1"/>
  <c r="BI174" i="5" s="1"/>
  <c r="BJ174" i="5" a="1"/>
  <c r="BJ174" i="5" s="1"/>
  <c r="BK174" i="5" a="1"/>
  <c r="BK174" i="5" s="1"/>
  <c r="BL174" i="5"/>
  <c r="BG175" i="5"/>
  <c r="BH175" i="5" a="1"/>
  <c r="BH175" i="5" s="1"/>
  <c r="BI175" i="5" a="1"/>
  <c r="BI175" i="5" s="1"/>
  <c r="BJ175" i="5" a="1"/>
  <c r="BJ175" i="5" s="1"/>
  <c r="BK175" i="5" a="1"/>
  <c r="BK175" i="5" s="1"/>
  <c r="BL175" i="5"/>
  <c r="BG176" i="5"/>
  <c r="BH176" i="5" a="1"/>
  <c r="BH176" i="5" s="1"/>
  <c r="BI176" i="5" a="1"/>
  <c r="BI176" i="5" s="1"/>
  <c r="BJ176" i="5" a="1"/>
  <c r="BJ176" i="5" s="1"/>
  <c r="BK176" i="5" a="1"/>
  <c r="BK176" i="5" s="1"/>
  <c r="BL176" i="5"/>
  <c r="BG177" i="5"/>
  <c r="BH177" i="5" a="1"/>
  <c r="BH177" i="5" s="1"/>
  <c r="BI177" i="5" a="1"/>
  <c r="BI177" i="5" s="1"/>
  <c r="BJ177" i="5" a="1"/>
  <c r="BJ177" i="5" s="1"/>
  <c r="BK177" i="5" a="1"/>
  <c r="BK177" i="5" s="1"/>
  <c r="BL177" i="5"/>
  <c r="BG178" i="5"/>
  <c r="BH178" i="5" a="1"/>
  <c r="BH178" i="5" s="1"/>
  <c r="BI178" i="5" a="1"/>
  <c r="BI178" i="5" s="1"/>
  <c r="BJ178" i="5" a="1"/>
  <c r="BJ178" i="5" s="1"/>
  <c r="BK178" i="5" a="1"/>
  <c r="BK178" i="5" s="1"/>
  <c r="BL178" i="5"/>
  <c r="BG179" i="5"/>
  <c r="BH179" i="5" a="1"/>
  <c r="BH179" i="5" s="1"/>
  <c r="BI179" i="5" a="1"/>
  <c r="BI179" i="5" s="1"/>
  <c r="BJ179" i="5" a="1"/>
  <c r="BJ179" i="5" s="1"/>
  <c r="BK179" i="5" a="1"/>
  <c r="BK179" i="5" s="1"/>
  <c r="BL179" i="5"/>
  <c r="BG180" i="5"/>
  <c r="BH180" i="5" a="1"/>
  <c r="BH180" i="5" s="1"/>
  <c r="BI180" i="5" a="1"/>
  <c r="BI180" i="5" s="1"/>
  <c r="BJ180" i="5" a="1"/>
  <c r="BJ180" i="5" s="1"/>
  <c r="BK180" i="5" a="1"/>
  <c r="BK180" i="5" s="1"/>
  <c r="BL180" i="5"/>
  <c r="BG181" i="5"/>
  <c r="BH181" i="5" a="1"/>
  <c r="BH181" i="5" s="1"/>
  <c r="BI181" i="5" a="1"/>
  <c r="BI181" i="5" s="1"/>
  <c r="BJ181" i="5" a="1"/>
  <c r="BJ181" i="5" s="1"/>
  <c r="BK181" i="5" a="1"/>
  <c r="BK181" i="5" s="1"/>
  <c r="BL181" i="5"/>
  <c r="BG182" i="5"/>
  <c r="BH182" i="5" a="1"/>
  <c r="BH182" i="5" s="1"/>
  <c r="BI182" i="5" a="1"/>
  <c r="BI182" i="5" s="1"/>
  <c r="BJ182" i="5" a="1"/>
  <c r="BJ182" i="5" s="1"/>
  <c r="BK182" i="5" a="1"/>
  <c r="BK182" i="5" s="1"/>
  <c r="BL182" i="5"/>
  <c r="BG183" i="5"/>
  <c r="BH183" i="5" a="1"/>
  <c r="BH183" i="5" s="1"/>
  <c r="BI183" i="5" a="1"/>
  <c r="BI183" i="5" s="1"/>
  <c r="BJ183" i="5" a="1"/>
  <c r="BJ183" i="5" s="1"/>
  <c r="BK183" i="5" a="1"/>
  <c r="BK183" i="5" s="1"/>
  <c r="BL183" i="5"/>
  <c r="BG184" i="5"/>
  <c r="BH184" i="5" a="1"/>
  <c r="BH184" i="5" s="1"/>
  <c r="BI184" i="5" a="1"/>
  <c r="BI184" i="5" s="1"/>
  <c r="BJ184" i="5" a="1"/>
  <c r="BJ184" i="5" s="1"/>
  <c r="BK184" i="5" a="1"/>
  <c r="BK184" i="5" s="1"/>
  <c r="BL184" i="5"/>
  <c r="BG185" i="5"/>
  <c r="BH185" i="5" a="1"/>
  <c r="BH185" i="5" s="1"/>
  <c r="BI185" i="5" a="1"/>
  <c r="BI185" i="5" s="1"/>
  <c r="BJ185" i="5" a="1"/>
  <c r="BJ185" i="5" s="1"/>
  <c r="BK185" i="5" a="1"/>
  <c r="BK185" i="5" s="1"/>
  <c r="BL185" i="5"/>
  <c r="BG186" i="5"/>
  <c r="BH186" i="5" a="1"/>
  <c r="BH186" i="5" s="1"/>
  <c r="BI186" i="5" a="1"/>
  <c r="BI186" i="5"/>
  <c r="BJ186" i="5" a="1"/>
  <c r="BJ186" i="5" s="1"/>
  <c r="BK186" i="5" a="1"/>
  <c r="BK186" i="5" s="1"/>
  <c r="BL186" i="5"/>
  <c r="BG187" i="5"/>
  <c r="BH187" i="5" a="1"/>
  <c r="BH187" i="5" s="1"/>
  <c r="BI187" i="5" a="1"/>
  <c r="BI187" i="5" s="1"/>
  <c r="BJ187" i="5" a="1"/>
  <c r="BJ187" i="5"/>
  <c r="BK187" i="5" a="1"/>
  <c r="BK187" i="5" s="1"/>
  <c r="BL187" i="5"/>
  <c r="BG188" i="5"/>
  <c r="BH188" i="5" a="1"/>
  <c r="BH188" i="5" s="1"/>
  <c r="BI188" i="5" a="1"/>
  <c r="BI188" i="5" s="1"/>
  <c r="BJ188" i="5" a="1"/>
  <c r="BJ188" i="5" s="1"/>
  <c r="BK188" i="5" a="1"/>
  <c r="BK188" i="5" s="1"/>
  <c r="BL188" i="5"/>
  <c r="BG189" i="5"/>
  <c r="BH189" i="5" a="1"/>
  <c r="BH189" i="5" s="1"/>
  <c r="BI189" i="5" a="1"/>
  <c r="BI189" i="5" s="1"/>
  <c r="BJ189" i="5" a="1"/>
  <c r="BJ189" i="5" s="1"/>
  <c r="BK189" i="5" a="1"/>
  <c r="BK189" i="5" s="1"/>
  <c r="BL189" i="5"/>
  <c r="BG190" i="5"/>
  <c r="BH190" i="5" a="1"/>
  <c r="BH190" i="5" s="1"/>
  <c r="BI190" i="5" a="1"/>
  <c r="BI190" i="5" s="1"/>
  <c r="BJ190" i="5" a="1"/>
  <c r="BJ190" i="5" s="1"/>
  <c r="BK190" i="5" a="1"/>
  <c r="BK190" i="5" s="1"/>
  <c r="BL190" i="5"/>
  <c r="BG191" i="5"/>
  <c r="BH191" i="5" a="1"/>
  <c r="BH191" i="5" s="1"/>
  <c r="BI191" i="5" a="1"/>
  <c r="BI191" i="5" s="1"/>
  <c r="BJ191" i="5" a="1"/>
  <c r="BJ191" i="5" s="1"/>
  <c r="BK191" i="5" a="1"/>
  <c r="BK191" i="5" s="1"/>
  <c r="BL191" i="5"/>
  <c r="BG192" i="5"/>
  <c r="BH192" i="5" a="1"/>
  <c r="BH192" i="5" s="1"/>
  <c r="BI192" i="5" a="1"/>
  <c r="BI192" i="5" s="1"/>
  <c r="BJ192" i="5" a="1"/>
  <c r="BJ192" i="5" s="1"/>
  <c r="BK192" i="5" a="1"/>
  <c r="BK192" i="5" s="1"/>
  <c r="BL192" i="5"/>
  <c r="BG193" i="5"/>
  <c r="BH193" i="5" a="1"/>
  <c r="BH193" i="5" s="1"/>
  <c r="BI193" i="5" a="1"/>
  <c r="BI193" i="5" s="1"/>
  <c r="BJ193" i="5" a="1"/>
  <c r="BJ193" i="5" s="1"/>
  <c r="BK193" i="5" a="1"/>
  <c r="BK193" i="5" s="1"/>
  <c r="BL193" i="5"/>
  <c r="BG194" i="5"/>
  <c r="BH194" i="5" a="1"/>
  <c r="BH194" i="5" s="1"/>
  <c r="BI194" i="5" a="1"/>
  <c r="BI194" i="5" s="1"/>
  <c r="BJ194" i="5" a="1"/>
  <c r="BJ194" i="5" s="1"/>
  <c r="BK194" i="5" a="1"/>
  <c r="BK194" i="5" s="1"/>
  <c r="BL194" i="5"/>
  <c r="BG195" i="5"/>
  <c r="BH195" i="5" a="1"/>
  <c r="BH195" i="5" s="1"/>
  <c r="BI195" i="5" a="1"/>
  <c r="BI195" i="5" s="1"/>
  <c r="BJ195" i="5" a="1"/>
  <c r="BJ195" i="5" s="1"/>
  <c r="BK195" i="5" a="1"/>
  <c r="BK195" i="5" s="1"/>
  <c r="BL195" i="5"/>
  <c r="BG196" i="5"/>
  <c r="BH196" i="5" a="1"/>
  <c r="BH196" i="5" s="1"/>
  <c r="BI196" i="5" a="1"/>
  <c r="BI196" i="5" s="1"/>
  <c r="BJ196" i="5" a="1"/>
  <c r="BJ196" i="5" s="1"/>
  <c r="BK196" i="5" a="1"/>
  <c r="BK196" i="5" s="1"/>
  <c r="BL196" i="5"/>
  <c r="BG197" i="5"/>
  <c r="BH197" i="5" a="1"/>
  <c r="BH197" i="5" s="1"/>
  <c r="BI197" i="5" a="1"/>
  <c r="BI197" i="5" s="1"/>
  <c r="BJ197" i="5" a="1"/>
  <c r="BJ197" i="5" s="1"/>
  <c r="BK197" i="5" a="1"/>
  <c r="BK197" i="5" s="1"/>
  <c r="BL197" i="5"/>
  <c r="BG198" i="5"/>
  <c r="BH198" i="5" a="1"/>
  <c r="BH198" i="5" s="1"/>
  <c r="BI198" i="5" a="1"/>
  <c r="BI198" i="5" s="1"/>
  <c r="BJ198" i="5" a="1"/>
  <c r="BJ198" i="5" s="1"/>
  <c r="BK198" i="5" a="1"/>
  <c r="BK198" i="5" s="1"/>
  <c r="BL198" i="5"/>
  <c r="BG199" i="5"/>
  <c r="BH199" i="5" a="1"/>
  <c r="BH199" i="5" s="1"/>
  <c r="BI199" i="5" a="1"/>
  <c r="BI199" i="5" s="1"/>
  <c r="BJ199" i="5" a="1"/>
  <c r="BJ199" i="5" s="1"/>
  <c r="BK199" i="5" a="1"/>
  <c r="BK199" i="5" s="1"/>
  <c r="BL199" i="5"/>
  <c r="BG200" i="5"/>
  <c r="BH200" i="5" a="1"/>
  <c r="BH200" i="5" s="1"/>
  <c r="BI200" i="5" a="1"/>
  <c r="BI200" i="5" s="1"/>
  <c r="BJ200" i="5" a="1"/>
  <c r="BJ200" i="5" s="1"/>
  <c r="BK200" i="5" a="1"/>
  <c r="BK200" i="5" s="1"/>
  <c r="BL200" i="5"/>
  <c r="BG201" i="5"/>
  <c r="BH201" i="5" a="1"/>
  <c r="BH201" i="5" s="1"/>
  <c r="BI201" i="5" a="1"/>
  <c r="BI201" i="5" s="1"/>
  <c r="BJ201" i="5" a="1"/>
  <c r="BJ201" i="5" s="1"/>
  <c r="BK201" i="5" a="1"/>
  <c r="BK201" i="5" s="1"/>
  <c r="BL201" i="5"/>
  <c r="BG202" i="5"/>
  <c r="BH202" i="5" a="1"/>
  <c r="BH202" i="5" s="1"/>
  <c r="BI202" i="5" a="1"/>
  <c r="BI202" i="5" s="1"/>
  <c r="BJ202" i="5" a="1"/>
  <c r="BJ202" i="5" s="1"/>
  <c r="BK202" i="5" a="1"/>
  <c r="BK202" i="5" s="1"/>
  <c r="BL202" i="5"/>
  <c r="BG203" i="5"/>
  <c r="BH203" i="5" a="1"/>
  <c r="BH203" i="5" s="1"/>
  <c r="BI203" i="5" a="1"/>
  <c r="BI203" i="5" s="1"/>
  <c r="BJ203" i="5" a="1"/>
  <c r="BJ203" i="5" s="1"/>
  <c r="BK203" i="5" a="1"/>
  <c r="BK203" i="5" s="1"/>
  <c r="BL203" i="5"/>
  <c r="BG204" i="5"/>
  <c r="BH204" i="5" a="1"/>
  <c r="BH204" i="5" s="1"/>
  <c r="BI204" i="5" a="1"/>
  <c r="BI204" i="5" s="1"/>
  <c r="BJ204" i="5" a="1"/>
  <c r="BJ204" i="5" s="1"/>
  <c r="BK204" i="5" a="1"/>
  <c r="BK204" i="5" s="1"/>
  <c r="BL204" i="5"/>
  <c r="BG205" i="5"/>
  <c r="BH205" i="5" a="1"/>
  <c r="BH205" i="5" s="1"/>
  <c r="BI205" i="5" a="1"/>
  <c r="BI205" i="5" s="1"/>
  <c r="BJ205" i="5" a="1"/>
  <c r="BJ205" i="5" s="1"/>
  <c r="BK205" i="5" a="1"/>
  <c r="BK205" i="5" s="1"/>
  <c r="BL205" i="5"/>
  <c r="BG206" i="5"/>
  <c r="BH206" i="5" a="1"/>
  <c r="BH206" i="5" s="1"/>
  <c r="BI206" i="5" a="1"/>
  <c r="BI206" i="5" s="1"/>
  <c r="BJ206" i="5" a="1"/>
  <c r="BJ206" i="5" s="1"/>
  <c r="BK206" i="5" a="1"/>
  <c r="BK206" i="5" s="1"/>
  <c r="BL206" i="5"/>
  <c r="BG207" i="5"/>
  <c r="BH207" i="5" a="1"/>
  <c r="BH207" i="5" s="1"/>
  <c r="BI207" i="5" a="1"/>
  <c r="BI207" i="5" s="1"/>
  <c r="BJ207" i="5" a="1"/>
  <c r="BJ207" i="5" s="1"/>
  <c r="BK207" i="5" a="1"/>
  <c r="BK207" i="5" s="1"/>
  <c r="BL207" i="5"/>
  <c r="BG208" i="5"/>
  <c r="BH208" i="5" a="1"/>
  <c r="BH208" i="5" s="1"/>
  <c r="BI208" i="5" a="1"/>
  <c r="BI208" i="5" s="1"/>
  <c r="BJ208" i="5" a="1"/>
  <c r="BJ208" i="5" s="1"/>
  <c r="BK208" i="5" a="1"/>
  <c r="BK208" i="5" s="1"/>
  <c r="BL208" i="5"/>
  <c r="BG209" i="5"/>
  <c r="BH209" i="5" a="1"/>
  <c r="BH209" i="5" s="1"/>
  <c r="BI209" i="5" a="1"/>
  <c r="BI209" i="5" s="1"/>
  <c r="BJ209" i="5" a="1"/>
  <c r="BJ209" i="5" s="1"/>
  <c r="BK209" i="5" a="1"/>
  <c r="BK209" i="5" s="1"/>
  <c r="BL209" i="5"/>
  <c r="BG210" i="5"/>
  <c r="BH210" i="5" a="1"/>
  <c r="BH210" i="5" s="1"/>
  <c r="BI210" i="5" a="1"/>
  <c r="BI210" i="5" s="1"/>
  <c r="BJ210" i="5" a="1"/>
  <c r="BJ210" i="5" s="1"/>
  <c r="BK210" i="5" a="1"/>
  <c r="BK210" i="5" s="1"/>
  <c r="BL210" i="5"/>
  <c r="BG211" i="5"/>
  <c r="BH211" i="5" a="1"/>
  <c r="BH211" i="5" s="1"/>
  <c r="BI211" i="5" a="1"/>
  <c r="BI211" i="5" s="1"/>
  <c r="BJ211" i="5" a="1"/>
  <c r="BJ211" i="5" s="1"/>
  <c r="BK211" i="5" a="1"/>
  <c r="BK211" i="5" s="1"/>
  <c r="BL211" i="5"/>
  <c r="BG212" i="5"/>
  <c r="BH212" i="5" a="1"/>
  <c r="BH212" i="5" s="1"/>
  <c r="BI212" i="5" a="1"/>
  <c r="BI212" i="5" s="1"/>
  <c r="BJ212" i="5" a="1"/>
  <c r="BJ212" i="5" s="1"/>
  <c r="BK212" i="5" a="1"/>
  <c r="BK212" i="5" s="1"/>
  <c r="BL212" i="5"/>
  <c r="BG213" i="5"/>
  <c r="BH213" i="5" a="1"/>
  <c r="BH213" i="5" s="1"/>
  <c r="BI213" i="5" a="1"/>
  <c r="BI213" i="5" s="1"/>
  <c r="BJ213" i="5" a="1"/>
  <c r="BJ213" i="5" s="1"/>
  <c r="BK213" i="5" a="1"/>
  <c r="BK213" i="5" s="1"/>
  <c r="BL213" i="5"/>
  <c r="BG214" i="5"/>
  <c r="BH214" i="5" a="1"/>
  <c r="BH214" i="5" s="1"/>
  <c r="BI214" i="5" a="1"/>
  <c r="BI214" i="5" s="1"/>
  <c r="BJ214" i="5" a="1"/>
  <c r="BJ214" i="5" s="1"/>
  <c r="BK214" i="5" a="1"/>
  <c r="BK214" i="5" s="1"/>
  <c r="BL214" i="5"/>
  <c r="BG215" i="5"/>
  <c r="BH215" i="5" a="1"/>
  <c r="BH215" i="5" s="1"/>
  <c r="BI215" i="5" a="1"/>
  <c r="BI215" i="5" s="1"/>
  <c r="BJ215" i="5" a="1"/>
  <c r="BJ215" i="5" s="1"/>
  <c r="BK215" i="5" a="1"/>
  <c r="BK215" i="5" s="1"/>
  <c r="BL215" i="5"/>
  <c r="BG216" i="5"/>
  <c r="BH216" i="5" a="1"/>
  <c r="BH216" i="5" s="1"/>
  <c r="BI216" i="5" a="1"/>
  <c r="BI216" i="5" s="1"/>
  <c r="BJ216" i="5" a="1"/>
  <c r="BJ216" i="5" s="1"/>
  <c r="BK216" i="5" a="1"/>
  <c r="BK216" i="5" s="1"/>
  <c r="BL216" i="5"/>
  <c r="BG217" i="5"/>
  <c r="BH217" i="5" a="1"/>
  <c r="BH217" i="5" s="1"/>
  <c r="BI217" i="5" a="1"/>
  <c r="BI217" i="5" s="1"/>
  <c r="BJ217" i="5" a="1"/>
  <c r="BJ217" i="5" s="1"/>
  <c r="BK217" i="5" a="1"/>
  <c r="BK217" i="5" s="1"/>
  <c r="BL217" i="5"/>
  <c r="BG218" i="5"/>
  <c r="BH218" i="5" a="1"/>
  <c r="BH218" i="5" s="1"/>
  <c r="BI218" i="5" a="1"/>
  <c r="BI218" i="5" s="1"/>
  <c r="BJ218" i="5" a="1"/>
  <c r="BJ218" i="5" s="1"/>
  <c r="BK218" i="5" a="1"/>
  <c r="BK218" i="5" s="1"/>
  <c r="BL218" i="5"/>
  <c r="BG219" i="5"/>
  <c r="BH219" i="5" a="1"/>
  <c r="BH219" i="5" s="1"/>
  <c r="BI219" i="5" a="1"/>
  <c r="BI219" i="5" s="1"/>
  <c r="BJ219" i="5" a="1"/>
  <c r="BJ219" i="5" s="1"/>
  <c r="BK219" i="5" a="1"/>
  <c r="BK219" i="5" s="1"/>
  <c r="BL219" i="5"/>
  <c r="BG220" i="5"/>
  <c r="BH220" i="5" a="1"/>
  <c r="BH220" i="5" s="1"/>
  <c r="BI220" i="5" a="1"/>
  <c r="BI220" i="5" s="1"/>
  <c r="BJ220" i="5" a="1"/>
  <c r="BJ220" i="5" s="1"/>
  <c r="BK220" i="5" a="1"/>
  <c r="BK220" i="5" s="1"/>
  <c r="BL220" i="5"/>
  <c r="BG221" i="5"/>
  <c r="BH221" i="5" a="1"/>
  <c r="BH221" i="5" s="1"/>
  <c r="BI221" i="5" a="1"/>
  <c r="BI221" i="5" s="1"/>
  <c r="BJ221" i="5" a="1"/>
  <c r="BJ221" i="5" s="1"/>
  <c r="BK221" i="5" a="1"/>
  <c r="BK221" i="5" s="1"/>
  <c r="BL221" i="5"/>
  <c r="BG222" i="5"/>
  <c r="BH222" i="5" a="1"/>
  <c r="BH222" i="5" s="1"/>
  <c r="BI222" i="5" a="1"/>
  <c r="BI222" i="5" s="1"/>
  <c r="BJ222" i="5" a="1"/>
  <c r="BJ222" i="5" s="1"/>
  <c r="BK222" i="5" a="1"/>
  <c r="BK222" i="5" s="1"/>
  <c r="BL222" i="5"/>
  <c r="BG223" i="5"/>
  <c r="BH223" i="5" a="1"/>
  <c r="BH223" i="5" s="1"/>
  <c r="BI223" i="5" a="1"/>
  <c r="BI223" i="5" s="1"/>
  <c r="BJ223" i="5" a="1"/>
  <c r="BJ223" i="5" s="1"/>
  <c r="BK223" i="5" a="1"/>
  <c r="BK223" i="5" s="1"/>
  <c r="BL223" i="5"/>
  <c r="BG224" i="5"/>
  <c r="BH224" i="5" a="1"/>
  <c r="BH224" i="5" s="1"/>
  <c r="BI224" i="5" a="1"/>
  <c r="BI224" i="5" s="1"/>
  <c r="BJ224" i="5" a="1"/>
  <c r="BJ224" i="5" s="1"/>
  <c r="BK224" i="5" a="1"/>
  <c r="BK224" i="5" s="1"/>
  <c r="BL224" i="5"/>
  <c r="BG225" i="5"/>
  <c r="BH225" i="5" a="1"/>
  <c r="BH225" i="5" s="1"/>
  <c r="BI225" i="5" a="1"/>
  <c r="BI225" i="5" s="1"/>
  <c r="BJ225" i="5" a="1"/>
  <c r="BJ225" i="5" s="1"/>
  <c r="BK225" i="5" a="1"/>
  <c r="BK225" i="5" s="1"/>
  <c r="BL225" i="5"/>
  <c r="BG226" i="5"/>
  <c r="BH226" i="5" a="1"/>
  <c r="BH226" i="5" s="1"/>
  <c r="BI226" i="5" a="1"/>
  <c r="BI226" i="5" s="1"/>
  <c r="BJ226" i="5" a="1"/>
  <c r="BJ226" i="5" s="1"/>
  <c r="BK226" i="5" a="1"/>
  <c r="BK226" i="5" s="1"/>
  <c r="BL226" i="5"/>
  <c r="BG227" i="5"/>
  <c r="BH227" i="5" a="1"/>
  <c r="BH227" i="5" s="1"/>
  <c r="BI227" i="5" a="1"/>
  <c r="BI227" i="5" s="1"/>
  <c r="BJ227" i="5" a="1"/>
  <c r="BJ227" i="5" s="1"/>
  <c r="BK227" i="5" a="1"/>
  <c r="BK227" i="5" s="1"/>
  <c r="BL227" i="5"/>
  <c r="BG228" i="5"/>
  <c r="BH228" i="5" a="1"/>
  <c r="BH228" i="5" s="1"/>
  <c r="BI228" i="5" a="1"/>
  <c r="BI228" i="5" s="1"/>
  <c r="BJ228" i="5" a="1"/>
  <c r="BJ228" i="5" s="1"/>
  <c r="BK228" i="5" a="1"/>
  <c r="BK228" i="5" s="1"/>
  <c r="BL228" i="5"/>
  <c r="BG229" i="5"/>
  <c r="BH229" i="5" a="1"/>
  <c r="BH229" i="5" s="1"/>
  <c r="BI229" i="5" a="1"/>
  <c r="BI229" i="5" s="1"/>
  <c r="BJ229" i="5" a="1"/>
  <c r="BJ229" i="5" s="1"/>
  <c r="BK229" i="5" a="1"/>
  <c r="BK229" i="5" s="1"/>
  <c r="BL229" i="5"/>
  <c r="BG230" i="5"/>
  <c r="BH230" i="5" a="1"/>
  <c r="BH230" i="5" s="1"/>
  <c r="BI230" i="5" a="1"/>
  <c r="BI230" i="5" s="1"/>
  <c r="BJ230" i="5" a="1"/>
  <c r="BJ230" i="5" s="1"/>
  <c r="BK230" i="5" a="1"/>
  <c r="BK230" i="5" s="1"/>
  <c r="BL230" i="5"/>
  <c r="BG231" i="5"/>
  <c r="BH231" i="5" a="1"/>
  <c r="BH231" i="5" s="1"/>
  <c r="BI231" i="5" a="1"/>
  <c r="BI231" i="5" s="1"/>
  <c r="BJ231" i="5" a="1"/>
  <c r="BJ231" i="5" s="1"/>
  <c r="BK231" i="5" a="1"/>
  <c r="BK231" i="5" s="1"/>
  <c r="BL231" i="5"/>
  <c r="BG232" i="5"/>
  <c r="BH232" i="5" a="1"/>
  <c r="BH232" i="5" s="1"/>
  <c r="BI232" i="5" a="1"/>
  <c r="BI232" i="5" s="1"/>
  <c r="BJ232" i="5" a="1"/>
  <c r="BJ232" i="5" s="1"/>
  <c r="BK232" i="5" a="1"/>
  <c r="BK232" i="5" s="1"/>
  <c r="BL232" i="5"/>
  <c r="BG233" i="5"/>
  <c r="BH233" i="5" a="1"/>
  <c r="BH233" i="5" s="1"/>
  <c r="BI233" i="5" a="1"/>
  <c r="BI233" i="5" s="1"/>
  <c r="BJ233" i="5" a="1"/>
  <c r="BJ233" i="5" s="1"/>
  <c r="BK233" i="5" a="1"/>
  <c r="BK233" i="5" s="1"/>
  <c r="BL233" i="5"/>
  <c r="BG234" i="5"/>
  <c r="BH234" i="5" a="1"/>
  <c r="BH234" i="5" s="1"/>
  <c r="BI234" i="5" a="1"/>
  <c r="BI234" i="5" s="1"/>
  <c r="BJ234" i="5" a="1"/>
  <c r="BJ234" i="5" s="1"/>
  <c r="BK234" i="5" a="1"/>
  <c r="BK234" i="5" s="1"/>
  <c r="BL234" i="5"/>
  <c r="BG235" i="5"/>
  <c r="BH235" i="5" a="1"/>
  <c r="BH235" i="5" s="1"/>
  <c r="BI235" i="5" a="1"/>
  <c r="BI235" i="5" s="1"/>
  <c r="BJ235" i="5" a="1"/>
  <c r="BJ235" i="5" s="1"/>
  <c r="BK235" i="5" a="1"/>
  <c r="BK235" i="5" s="1"/>
  <c r="BL235" i="5"/>
  <c r="BG236" i="5"/>
  <c r="BH236" i="5" a="1"/>
  <c r="BH236" i="5" s="1"/>
  <c r="BI236" i="5" a="1"/>
  <c r="BI236" i="5" s="1"/>
  <c r="BJ236" i="5" a="1"/>
  <c r="BJ236" i="5" s="1"/>
  <c r="BK236" i="5" a="1"/>
  <c r="BK236" i="5" s="1"/>
  <c r="BL236" i="5"/>
  <c r="BG237" i="5"/>
  <c r="BH237" i="5" a="1"/>
  <c r="BH237" i="5" s="1"/>
  <c r="BI237" i="5" a="1"/>
  <c r="BI237" i="5" s="1"/>
  <c r="BJ237" i="5" a="1"/>
  <c r="BJ237" i="5" s="1"/>
  <c r="BK237" i="5" a="1"/>
  <c r="BK237" i="5" s="1"/>
  <c r="BL237" i="5"/>
  <c r="BG238" i="5"/>
  <c r="BH238" i="5" a="1"/>
  <c r="BH238" i="5" s="1"/>
  <c r="BI238" i="5" a="1"/>
  <c r="BI238" i="5" s="1"/>
  <c r="BJ238" i="5" a="1"/>
  <c r="BJ238" i="5" s="1"/>
  <c r="BK238" i="5" a="1"/>
  <c r="BK238" i="5" s="1"/>
  <c r="BL238" i="5"/>
  <c r="BG239" i="5"/>
  <c r="BH239" i="5" a="1"/>
  <c r="BH239" i="5" s="1"/>
  <c r="BI239" i="5" a="1"/>
  <c r="BI239" i="5" s="1"/>
  <c r="BJ239" i="5" a="1"/>
  <c r="BJ239" i="5" s="1"/>
  <c r="BK239" i="5" a="1"/>
  <c r="BK239" i="5" s="1"/>
  <c r="BL239" i="5"/>
  <c r="BG240" i="5"/>
  <c r="BH240" i="5" a="1"/>
  <c r="BH240" i="5" s="1"/>
  <c r="BI240" i="5" a="1"/>
  <c r="BI240" i="5" s="1"/>
  <c r="BJ240" i="5" a="1"/>
  <c r="BJ240" i="5" s="1"/>
  <c r="BK240" i="5" a="1"/>
  <c r="BK240" i="5" s="1"/>
  <c r="BL240" i="5"/>
  <c r="BG241" i="5"/>
  <c r="BH241" i="5" a="1"/>
  <c r="BH241" i="5" s="1"/>
  <c r="BI241" i="5" a="1"/>
  <c r="BI241" i="5" s="1"/>
  <c r="BJ241" i="5" a="1"/>
  <c r="BJ241" i="5" s="1"/>
  <c r="BK241" i="5" a="1"/>
  <c r="BK241" i="5" s="1"/>
  <c r="BL241" i="5"/>
  <c r="BG242" i="5"/>
  <c r="BH242" i="5" a="1"/>
  <c r="BH242" i="5" s="1"/>
  <c r="BI242" i="5" a="1"/>
  <c r="BI242" i="5" s="1"/>
  <c r="BJ242" i="5" a="1"/>
  <c r="BJ242" i="5" s="1"/>
  <c r="BK242" i="5" a="1"/>
  <c r="BK242" i="5" s="1"/>
  <c r="BL242" i="5"/>
  <c r="BG243" i="5"/>
  <c r="BH243" i="5" a="1"/>
  <c r="BH243" i="5" s="1"/>
  <c r="BI243" i="5" a="1"/>
  <c r="BI243" i="5" s="1"/>
  <c r="BJ243" i="5" a="1"/>
  <c r="BJ243" i="5" s="1"/>
  <c r="BK243" i="5" a="1"/>
  <c r="BK243" i="5" s="1"/>
  <c r="BL243" i="5"/>
  <c r="BG244" i="5"/>
  <c r="BH244" i="5" a="1"/>
  <c r="BH244" i="5" s="1"/>
  <c r="BI244" i="5" a="1"/>
  <c r="BI244" i="5" s="1"/>
  <c r="BJ244" i="5" a="1"/>
  <c r="BJ244" i="5" s="1"/>
  <c r="BK244" i="5" a="1"/>
  <c r="BK244" i="5" s="1"/>
  <c r="BL244" i="5"/>
  <c r="BG245" i="5"/>
  <c r="BH245" i="5" a="1"/>
  <c r="BH245" i="5" s="1"/>
  <c r="BI245" i="5" a="1"/>
  <c r="BI245" i="5" s="1"/>
  <c r="BJ245" i="5" a="1"/>
  <c r="BJ245" i="5" s="1"/>
  <c r="BK245" i="5" a="1"/>
  <c r="BK245" i="5" s="1"/>
  <c r="BL245" i="5"/>
  <c r="BG246" i="5"/>
  <c r="BH246" i="5" a="1"/>
  <c r="BH246" i="5" s="1"/>
  <c r="BI246" i="5" a="1"/>
  <c r="BI246" i="5" s="1"/>
  <c r="BJ246" i="5" a="1"/>
  <c r="BJ246" i="5" s="1"/>
  <c r="BK246" i="5" a="1"/>
  <c r="BK246" i="5" s="1"/>
  <c r="BL246" i="5"/>
  <c r="BG247" i="5"/>
  <c r="BH247" i="5" a="1"/>
  <c r="BH247" i="5" s="1"/>
  <c r="BI247" i="5" a="1"/>
  <c r="BI247" i="5" s="1"/>
  <c r="BJ247" i="5" a="1"/>
  <c r="BJ247" i="5" s="1"/>
  <c r="BK247" i="5" a="1"/>
  <c r="BK247" i="5" s="1"/>
  <c r="BL247" i="5"/>
  <c r="BG248" i="5"/>
  <c r="BH248" i="5" a="1"/>
  <c r="BH248" i="5" s="1"/>
  <c r="BI248" i="5" a="1"/>
  <c r="BI248" i="5" s="1"/>
  <c r="BJ248" i="5" a="1"/>
  <c r="BJ248" i="5" s="1"/>
  <c r="BK248" i="5" a="1"/>
  <c r="BK248" i="5" s="1"/>
  <c r="BL248" i="5"/>
  <c r="BG249" i="5"/>
  <c r="BH249" i="5" a="1"/>
  <c r="BH249" i="5" s="1"/>
  <c r="BI249" i="5" a="1"/>
  <c r="BI249" i="5" s="1"/>
  <c r="BJ249" i="5" a="1"/>
  <c r="BJ249" i="5" s="1"/>
  <c r="BK249" i="5" a="1"/>
  <c r="BK249" i="5" s="1"/>
  <c r="BL249" i="5"/>
  <c r="BG250" i="5"/>
  <c r="BH250" i="5" a="1"/>
  <c r="BH250" i="5" s="1"/>
  <c r="BI250" i="5" a="1"/>
  <c r="BI250" i="5" s="1"/>
  <c r="BJ250" i="5" a="1"/>
  <c r="BJ250" i="5" s="1"/>
  <c r="BK250" i="5" a="1"/>
  <c r="BK250" i="5" s="1"/>
  <c r="BL250" i="5"/>
  <c r="BG251" i="5"/>
  <c r="BH251" i="5" a="1"/>
  <c r="BH251" i="5" s="1"/>
  <c r="BI251" i="5" a="1"/>
  <c r="BI251" i="5" s="1"/>
  <c r="BJ251" i="5" a="1"/>
  <c r="BJ251" i="5" s="1"/>
  <c r="BK251" i="5" a="1"/>
  <c r="BK251" i="5" s="1"/>
  <c r="BL251" i="5"/>
  <c r="BG252" i="5"/>
  <c r="BH252" i="5" a="1"/>
  <c r="BH252" i="5" s="1"/>
  <c r="BI252" i="5" a="1"/>
  <c r="BI252" i="5" s="1"/>
  <c r="BJ252" i="5" a="1"/>
  <c r="BJ252" i="5" s="1"/>
  <c r="BK252" i="5" a="1"/>
  <c r="BK252" i="5" s="1"/>
  <c r="BL252" i="5"/>
  <c r="BG253" i="5"/>
  <c r="BH253" i="5" a="1"/>
  <c r="BH253" i="5" s="1"/>
  <c r="BI253" i="5" a="1"/>
  <c r="BI253" i="5" s="1"/>
  <c r="BJ253" i="5" a="1"/>
  <c r="BJ253" i="5" s="1"/>
  <c r="BK253" i="5" a="1"/>
  <c r="BK253" i="5" s="1"/>
  <c r="BL253" i="5"/>
  <c r="BG254" i="5"/>
  <c r="BH254" i="5" a="1"/>
  <c r="BH254" i="5" s="1"/>
  <c r="BI254" i="5" a="1"/>
  <c r="BI254" i="5" s="1"/>
  <c r="BJ254" i="5" a="1"/>
  <c r="BJ254" i="5" s="1"/>
  <c r="BK254" i="5" a="1"/>
  <c r="BK254" i="5" s="1"/>
  <c r="BL254" i="5"/>
  <c r="BG255" i="5"/>
  <c r="BH255" i="5" a="1"/>
  <c r="BH255" i="5" s="1"/>
  <c r="BI255" i="5" a="1"/>
  <c r="BI255" i="5" s="1"/>
  <c r="BJ255" i="5" a="1"/>
  <c r="BJ255" i="5" s="1"/>
  <c r="BK255" i="5" a="1"/>
  <c r="BK255" i="5" s="1"/>
  <c r="BL255" i="5"/>
  <c r="BG256" i="5"/>
  <c r="BH256" i="5" a="1"/>
  <c r="BH256" i="5" s="1"/>
  <c r="BI256" i="5" a="1"/>
  <c r="BI256" i="5" s="1"/>
  <c r="BJ256" i="5" a="1"/>
  <c r="BJ256" i="5"/>
  <c r="BK256" i="5" a="1"/>
  <c r="BK256" i="5" s="1"/>
  <c r="BL256" i="5"/>
  <c r="BG257" i="5"/>
  <c r="BH257" i="5" a="1"/>
  <c r="BH257" i="5" s="1"/>
  <c r="BI257" i="5" a="1"/>
  <c r="BI257" i="5" s="1"/>
  <c r="BJ257" i="5" a="1"/>
  <c r="BJ257" i="5" s="1"/>
  <c r="BK257" i="5" a="1"/>
  <c r="BK257" i="5"/>
  <c r="BL257" i="5"/>
  <c r="BG258" i="5"/>
  <c r="BH258" i="5" a="1"/>
  <c r="BH258" i="5"/>
  <c r="BI258" i="5" a="1"/>
  <c r="BI258" i="5" s="1"/>
  <c r="BJ258" i="5" a="1"/>
  <c r="BJ258" i="5" s="1"/>
  <c r="BK258" i="5" a="1"/>
  <c r="BK258" i="5" s="1"/>
  <c r="BL258" i="5"/>
  <c r="BG259" i="5"/>
  <c r="BH259" i="5" a="1"/>
  <c r="BH259" i="5" s="1"/>
  <c r="BI259" i="5" a="1"/>
  <c r="BI259" i="5" s="1"/>
  <c r="BJ259" i="5" a="1"/>
  <c r="BJ259" i="5" s="1"/>
  <c r="BK259" i="5" a="1"/>
  <c r="BK259" i="5" s="1"/>
  <c r="BL259" i="5"/>
  <c r="BG260" i="5"/>
  <c r="BH260" i="5" a="1"/>
  <c r="BH260" i="5" s="1"/>
  <c r="BI260" i="5" a="1"/>
  <c r="BI260" i="5" s="1"/>
  <c r="BJ260" i="5" a="1"/>
  <c r="BJ260" i="5" s="1"/>
  <c r="BK260" i="5" a="1"/>
  <c r="BK260" i="5" s="1"/>
  <c r="BL260" i="5"/>
  <c r="BG261" i="5"/>
  <c r="BH261" i="5" a="1"/>
  <c r="BH261" i="5" s="1"/>
  <c r="BI261" i="5" a="1"/>
  <c r="BI261" i="5" s="1"/>
  <c r="BJ261" i="5" a="1"/>
  <c r="BJ261" i="5" s="1"/>
  <c r="BK261" i="5" a="1"/>
  <c r="BK261" i="5" s="1"/>
  <c r="BL261" i="5"/>
  <c r="BG262" i="5"/>
  <c r="BH262" i="5" a="1"/>
  <c r="BH262" i="5" s="1"/>
  <c r="BI262" i="5" a="1"/>
  <c r="BI262" i="5" s="1"/>
  <c r="BJ262" i="5" a="1"/>
  <c r="BJ262" i="5" s="1"/>
  <c r="BK262" i="5" a="1"/>
  <c r="BK262" i="5" s="1"/>
  <c r="BL262" i="5"/>
  <c r="BG263" i="5"/>
  <c r="BH263" i="5" a="1"/>
  <c r="BH263" i="5" s="1"/>
  <c r="BI263" i="5" a="1"/>
  <c r="BI263" i="5" s="1"/>
  <c r="BJ263" i="5" a="1"/>
  <c r="BJ263" i="5" s="1"/>
  <c r="BK263" i="5" a="1"/>
  <c r="BK263" i="5" s="1"/>
  <c r="BL263" i="5"/>
  <c r="BG264" i="5"/>
  <c r="BH264" i="5" a="1"/>
  <c r="BH264" i="5" s="1"/>
  <c r="BI264" i="5" a="1"/>
  <c r="BI264" i="5" s="1"/>
  <c r="BJ264" i="5" a="1"/>
  <c r="BJ264" i="5" s="1"/>
  <c r="BK264" i="5" a="1"/>
  <c r="BK264" i="5" s="1"/>
  <c r="BL264" i="5"/>
  <c r="BG265" i="5"/>
  <c r="BH265" i="5" a="1"/>
  <c r="BH265" i="5" s="1"/>
  <c r="BI265" i="5" a="1"/>
  <c r="BI265" i="5" s="1"/>
  <c r="BJ265" i="5" a="1"/>
  <c r="BJ265" i="5" s="1"/>
  <c r="BK265" i="5" a="1"/>
  <c r="BK265" i="5" s="1"/>
  <c r="BL265" i="5"/>
  <c r="BG266" i="5"/>
  <c r="BH266" i="5" a="1"/>
  <c r="BH266" i="5" s="1"/>
  <c r="BI266" i="5" a="1"/>
  <c r="BI266" i="5" s="1"/>
  <c r="BJ266" i="5" a="1"/>
  <c r="BJ266" i="5" s="1"/>
  <c r="BK266" i="5" a="1"/>
  <c r="BK266" i="5" s="1"/>
  <c r="BL266" i="5"/>
  <c r="BG267" i="5"/>
  <c r="BH267" i="5" a="1"/>
  <c r="BH267" i="5" s="1"/>
  <c r="BI267" i="5" a="1"/>
  <c r="BI267" i="5" s="1"/>
  <c r="BJ267" i="5" a="1"/>
  <c r="BJ267" i="5" s="1"/>
  <c r="BK267" i="5" a="1"/>
  <c r="BK267" i="5" s="1"/>
  <c r="BL267" i="5"/>
  <c r="BG268" i="5"/>
  <c r="BH268" i="5" a="1"/>
  <c r="BH268" i="5" s="1"/>
  <c r="BI268" i="5" a="1"/>
  <c r="BI268" i="5" s="1"/>
  <c r="BJ268" i="5" a="1"/>
  <c r="BJ268" i="5" s="1"/>
  <c r="BK268" i="5" a="1"/>
  <c r="BK268" i="5" s="1"/>
  <c r="BL268" i="5"/>
  <c r="BG269" i="5"/>
  <c r="BH269" i="5" a="1"/>
  <c r="BH269" i="5" s="1"/>
  <c r="BI269" i="5" a="1"/>
  <c r="BI269" i="5" s="1"/>
  <c r="BJ269" i="5" a="1"/>
  <c r="BJ269" i="5" s="1"/>
  <c r="BK269" i="5" a="1"/>
  <c r="BK269" i="5" s="1"/>
  <c r="BL269" i="5"/>
  <c r="BG270" i="5"/>
  <c r="BH270" i="5" a="1"/>
  <c r="BH270" i="5" s="1"/>
  <c r="BI270" i="5" a="1"/>
  <c r="BI270" i="5" s="1"/>
  <c r="BJ270" i="5" a="1"/>
  <c r="BJ270" i="5" s="1"/>
  <c r="BK270" i="5" a="1"/>
  <c r="BK270" i="5" s="1"/>
  <c r="BL270" i="5"/>
  <c r="BG271" i="5"/>
  <c r="BH271" i="5" a="1"/>
  <c r="BH271" i="5" s="1"/>
  <c r="BI271" i="5" a="1"/>
  <c r="BI271" i="5" s="1"/>
  <c r="BJ271" i="5" a="1"/>
  <c r="BJ271" i="5" s="1"/>
  <c r="BK271" i="5" a="1"/>
  <c r="BK271" i="5" s="1"/>
  <c r="BL271" i="5"/>
  <c r="BG272" i="5"/>
  <c r="BH272" i="5" a="1"/>
  <c r="BH272" i="5" s="1"/>
  <c r="BI272" i="5" a="1"/>
  <c r="BI272" i="5" s="1"/>
  <c r="BJ272" i="5" a="1"/>
  <c r="BJ272" i="5" s="1"/>
  <c r="BK272" i="5" a="1"/>
  <c r="BK272" i="5" s="1"/>
  <c r="BL272" i="5"/>
  <c r="BG273" i="5"/>
  <c r="BH273" i="5" a="1"/>
  <c r="BH273" i="5" s="1"/>
  <c r="BI273" i="5" a="1"/>
  <c r="BI273" i="5" s="1"/>
  <c r="BJ273" i="5" a="1"/>
  <c r="BJ273" i="5" s="1"/>
  <c r="BK273" i="5" a="1"/>
  <c r="BK273" i="5" s="1"/>
  <c r="BL273" i="5"/>
  <c r="BG274" i="5"/>
  <c r="BH274" i="5" a="1"/>
  <c r="BH274" i="5" s="1"/>
  <c r="BI274" i="5" a="1"/>
  <c r="BI274" i="5" s="1"/>
  <c r="BJ274" i="5" a="1"/>
  <c r="BJ274" i="5" s="1"/>
  <c r="BK274" i="5" a="1"/>
  <c r="BK274" i="5" s="1"/>
  <c r="BL274" i="5"/>
  <c r="BG275" i="5"/>
  <c r="BH275" i="5" a="1"/>
  <c r="BH275" i="5" s="1"/>
  <c r="BI275" i="5" a="1"/>
  <c r="BI275" i="5" s="1"/>
  <c r="BJ275" i="5" a="1"/>
  <c r="BJ275" i="5" s="1"/>
  <c r="BK275" i="5" a="1"/>
  <c r="BK275" i="5" s="1"/>
  <c r="BL275" i="5"/>
  <c r="BG276" i="5"/>
  <c r="BH276" i="5" a="1"/>
  <c r="BH276" i="5" s="1"/>
  <c r="BI276" i="5" a="1"/>
  <c r="BI276" i="5" s="1"/>
  <c r="BJ276" i="5" a="1"/>
  <c r="BJ276" i="5" s="1"/>
  <c r="BK276" i="5" a="1"/>
  <c r="BK276" i="5" s="1"/>
  <c r="BL276" i="5"/>
  <c r="BG277" i="5"/>
  <c r="BH277" i="5" a="1"/>
  <c r="BH277" i="5" s="1"/>
  <c r="BI277" i="5" a="1"/>
  <c r="BI277" i="5" s="1"/>
  <c r="BJ277" i="5" a="1"/>
  <c r="BJ277" i="5" s="1"/>
  <c r="BK277" i="5" a="1"/>
  <c r="BK277" i="5" s="1"/>
  <c r="BL277" i="5"/>
  <c r="BG278" i="5"/>
  <c r="BH278" i="5" a="1"/>
  <c r="BH278" i="5" s="1"/>
  <c r="BI278" i="5" a="1"/>
  <c r="BI278" i="5" s="1"/>
  <c r="BJ278" i="5" a="1"/>
  <c r="BJ278" i="5" s="1"/>
  <c r="BK278" i="5" a="1"/>
  <c r="BK278" i="5" s="1"/>
  <c r="BL278" i="5"/>
  <c r="BG279" i="5"/>
  <c r="BH279" i="5" a="1"/>
  <c r="BH279" i="5" s="1"/>
  <c r="BI279" i="5" a="1"/>
  <c r="BI279" i="5" s="1"/>
  <c r="BJ279" i="5" a="1"/>
  <c r="BJ279" i="5" s="1"/>
  <c r="BK279" i="5" a="1"/>
  <c r="BK279" i="5" s="1"/>
  <c r="BL279" i="5"/>
  <c r="BG280" i="5"/>
  <c r="BH280" i="5" a="1"/>
  <c r="BH280" i="5" s="1"/>
  <c r="BI280" i="5" a="1"/>
  <c r="BI280" i="5" s="1"/>
  <c r="BJ280" i="5" a="1"/>
  <c r="BJ280" i="5" s="1"/>
  <c r="BK280" i="5" a="1"/>
  <c r="BK280" i="5" s="1"/>
  <c r="BL280" i="5"/>
  <c r="BG281" i="5"/>
  <c r="BH281" i="5" a="1"/>
  <c r="BH281" i="5" s="1"/>
  <c r="BI281" i="5" a="1"/>
  <c r="BI281" i="5" s="1"/>
  <c r="BJ281" i="5" a="1"/>
  <c r="BJ281" i="5" s="1"/>
  <c r="BK281" i="5" a="1"/>
  <c r="BK281" i="5" s="1"/>
  <c r="BL281" i="5"/>
  <c r="BG282" i="5"/>
  <c r="BH282" i="5" a="1"/>
  <c r="BH282" i="5" s="1"/>
  <c r="BI282" i="5" a="1"/>
  <c r="BI282" i="5" s="1"/>
  <c r="BJ282" i="5" a="1"/>
  <c r="BJ282" i="5" s="1"/>
  <c r="BK282" i="5" a="1"/>
  <c r="BK282" i="5" s="1"/>
  <c r="BL282" i="5"/>
  <c r="BG283" i="5"/>
  <c r="BH283" i="5" a="1"/>
  <c r="BH283" i="5" s="1"/>
  <c r="BI283" i="5" a="1"/>
  <c r="BI283" i="5" s="1"/>
  <c r="BJ283" i="5" a="1"/>
  <c r="BJ283" i="5" s="1"/>
  <c r="BK283" i="5" a="1"/>
  <c r="BK283" i="5" s="1"/>
  <c r="BL283" i="5"/>
  <c r="BG284" i="5"/>
  <c r="BH284" i="5" a="1"/>
  <c r="BH284" i="5" s="1"/>
  <c r="BI284" i="5" a="1"/>
  <c r="BI284" i="5" s="1"/>
  <c r="BJ284" i="5" a="1"/>
  <c r="BJ284" i="5" s="1"/>
  <c r="BK284" i="5" a="1"/>
  <c r="BK284" i="5" s="1"/>
  <c r="BL284" i="5"/>
  <c r="BG285" i="5"/>
  <c r="BH285" i="5" a="1"/>
  <c r="BH285" i="5" s="1"/>
  <c r="BI285" i="5" a="1"/>
  <c r="BI285" i="5" s="1"/>
  <c r="BJ285" i="5" a="1"/>
  <c r="BJ285" i="5" s="1"/>
  <c r="BK285" i="5" a="1"/>
  <c r="BK285" i="5" s="1"/>
  <c r="BL285" i="5"/>
  <c r="BG286" i="5"/>
  <c r="BH286" i="5" a="1"/>
  <c r="BH286" i="5" s="1"/>
  <c r="BI286" i="5" a="1"/>
  <c r="BI286" i="5" s="1"/>
  <c r="BJ286" i="5" a="1"/>
  <c r="BJ286" i="5" s="1"/>
  <c r="BK286" i="5" a="1"/>
  <c r="BK286" i="5" s="1"/>
  <c r="BL286" i="5"/>
  <c r="BG287" i="5"/>
  <c r="BH287" i="5" a="1"/>
  <c r="BH287" i="5" s="1"/>
  <c r="BI287" i="5" a="1"/>
  <c r="BI287" i="5" s="1"/>
  <c r="BJ287" i="5" a="1"/>
  <c r="BJ287" i="5" s="1"/>
  <c r="BK287" i="5" a="1"/>
  <c r="BK287" i="5" s="1"/>
  <c r="BL287" i="5"/>
  <c r="BG288" i="5"/>
  <c r="BH288" i="5" a="1"/>
  <c r="BH288" i="5" s="1"/>
  <c r="BI288" i="5" a="1"/>
  <c r="BI288" i="5" s="1"/>
  <c r="BJ288" i="5" a="1"/>
  <c r="BJ288" i="5" s="1"/>
  <c r="BK288" i="5" a="1"/>
  <c r="BK288" i="5" s="1"/>
  <c r="BL288" i="5"/>
  <c r="BG289" i="5"/>
  <c r="BH289" i="5" a="1"/>
  <c r="BH289" i="5" s="1"/>
  <c r="BI289" i="5" a="1"/>
  <c r="BI289" i="5" s="1"/>
  <c r="BJ289" i="5" a="1"/>
  <c r="BJ289" i="5" s="1"/>
  <c r="BK289" i="5" a="1"/>
  <c r="BK289" i="5" s="1"/>
  <c r="BL289" i="5"/>
  <c r="BG290" i="5"/>
  <c r="BH290" i="5" a="1"/>
  <c r="BH290" i="5" s="1"/>
  <c r="BI290" i="5" a="1"/>
  <c r="BI290" i="5" s="1"/>
  <c r="BJ290" i="5" a="1"/>
  <c r="BJ290" i="5" s="1"/>
  <c r="BK290" i="5" a="1"/>
  <c r="BK290" i="5" s="1"/>
  <c r="BL290" i="5"/>
  <c r="BG291" i="5"/>
  <c r="BH291" i="5" a="1"/>
  <c r="BH291" i="5" s="1"/>
  <c r="BI291" i="5" a="1"/>
  <c r="BI291" i="5" s="1"/>
  <c r="BJ291" i="5" a="1"/>
  <c r="BJ291" i="5" s="1"/>
  <c r="BK291" i="5" a="1"/>
  <c r="BK291" i="5" s="1"/>
  <c r="BL291" i="5"/>
  <c r="BG292" i="5"/>
  <c r="BH292" i="5" a="1"/>
  <c r="BH292" i="5" s="1"/>
  <c r="BI292" i="5" a="1"/>
  <c r="BI292" i="5" s="1"/>
  <c r="BJ292" i="5" a="1"/>
  <c r="BJ292" i="5" s="1"/>
  <c r="BK292" i="5" a="1"/>
  <c r="BK292" i="5" s="1"/>
  <c r="BL292" i="5"/>
  <c r="BG293" i="5"/>
  <c r="BH293" i="5" a="1"/>
  <c r="BH293" i="5" s="1"/>
  <c r="BI293" i="5" a="1"/>
  <c r="BI293" i="5" s="1"/>
  <c r="BJ293" i="5" a="1"/>
  <c r="BJ293" i="5" s="1"/>
  <c r="BK293" i="5" a="1"/>
  <c r="BK293" i="5"/>
  <c r="BL293" i="5"/>
  <c r="BG294" i="5"/>
  <c r="BH294" i="5" a="1"/>
  <c r="BH294" i="5" s="1"/>
  <c r="BI294" i="5" a="1"/>
  <c r="BI294" i="5" s="1"/>
  <c r="BJ294" i="5" a="1"/>
  <c r="BJ294" i="5" s="1"/>
  <c r="BK294" i="5" a="1"/>
  <c r="BK294" i="5" s="1"/>
  <c r="BL294" i="5"/>
  <c r="BG295" i="5"/>
  <c r="BH295" i="5" a="1"/>
  <c r="BH295" i="5" s="1"/>
  <c r="BI295" i="5" a="1"/>
  <c r="BI295" i="5" s="1"/>
  <c r="BJ295" i="5" a="1"/>
  <c r="BJ295" i="5" s="1"/>
  <c r="BK295" i="5" a="1"/>
  <c r="BK295" i="5" s="1"/>
  <c r="BL295" i="5"/>
  <c r="BG296" i="5"/>
  <c r="BH296" i="5" a="1"/>
  <c r="BH296" i="5" s="1"/>
  <c r="BI296" i="5" a="1"/>
  <c r="BI296" i="5" s="1"/>
  <c r="BJ296" i="5" a="1"/>
  <c r="BJ296" i="5" s="1"/>
  <c r="BK296" i="5" a="1"/>
  <c r="BK296" i="5" s="1"/>
  <c r="BL296" i="5"/>
  <c r="BG297" i="5"/>
  <c r="BH297" i="5" a="1"/>
  <c r="BH297" i="5" s="1"/>
  <c r="BI297" i="5" a="1"/>
  <c r="BI297" i="5" s="1"/>
  <c r="BJ297" i="5" a="1"/>
  <c r="BJ297" i="5" s="1"/>
  <c r="BK297" i="5" a="1"/>
  <c r="BK297" i="5" s="1"/>
  <c r="BL297" i="5"/>
  <c r="BG298" i="5"/>
  <c r="BH298" i="5" a="1"/>
  <c r="BH298" i="5" s="1"/>
  <c r="BI298" i="5" a="1"/>
  <c r="BI298" i="5" s="1"/>
  <c r="BJ298" i="5" a="1"/>
  <c r="BJ298" i="5" s="1"/>
  <c r="BK298" i="5" a="1"/>
  <c r="BK298" i="5" s="1"/>
  <c r="BL298" i="5"/>
  <c r="BG299" i="5"/>
  <c r="BH299" i="5" a="1"/>
  <c r="BH299" i="5" s="1"/>
  <c r="BI299" i="5" a="1"/>
  <c r="BI299" i="5" s="1"/>
  <c r="BJ299" i="5" a="1"/>
  <c r="BJ299" i="5" s="1"/>
  <c r="BK299" i="5" a="1"/>
  <c r="BK299" i="5" s="1"/>
  <c r="BL299" i="5"/>
  <c r="BG300" i="5"/>
  <c r="BH300" i="5" a="1"/>
  <c r="BH300" i="5" s="1"/>
  <c r="BI300" i="5" a="1"/>
  <c r="BI300" i="5" s="1"/>
  <c r="BJ300" i="5" a="1"/>
  <c r="BJ300" i="5" s="1"/>
  <c r="BK300" i="5" a="1"/>
  <c r="BK300" i="5" s="1"/>
  <c r="BL300" i="5"/>
  <c r="BG301" i="5"/>
  <c r="BH301" i="5" a="1"/>
  <c r="BH301" i="5" s="1"/>
  <c r="BI301" i="5" a="1"/>
  <c r="BI301" i="5" s="1"/>
  <c r="BJ301" i="5" a="1"/>
  <c r="BJ301" i="5" s="1"/>
  <c r="BK301" i="5" a="1"/>
  <c r="BK301" i="5" s="1"/>
  <c r="BL301" i="5"/>
  <c r="BG302" i="5"/>
  <c r="BH302" i="5" a="1"/>
  <c r="BH302" i="5" s="1"/>
  <c r="BI302" i="5" a="1"/>
  <c r="BI302" i="5" s="1"/>
  <c r="BJ302" i="5" a="1"/>
  <c r="BJ302" i="5" s="1"/>
  <c r="BK302" i="5" a="1"/>
  <c r="BK302" i="5" s="1"/>
  <c r="BL302" i="5"/>
  <c r="BG303" i="5"/>
  <c r="BH303" i="5" a="1"/>
  <c r="BH303" i="5" s="1"/>
  <c r="BI303" i="5" a="1"/>
  <c r="BI303" i="5" s="1"/>
  <c r="BJ303" i="5" a="1"/>
  <c r="BJ303" i="5" s="1"/>
  <c r="BK303" i="5" a="1"/>
  <c r="BK303" i="5" s="1"/>
  <c r="BL303" i="5"/>
  <c r="BG304" i="5"/>
  <c r="BH304" i="5" a="1"/>
  <c r="BH304" i="5" s="1"/>
  <c r="BI304" i="5" a="1"/>
  <c r="BI304" i="5" s="1"/>
  <c r="BJ304" i="5" a="1"/>
  <c r="BJ304" i="5" s="1"/>
  <c r="BK304" i="5" a="1"/>
  <c r="BK304" i="5" s="1"/>
  <c r="BL304" i="5"/>
  <c r="BG305" i="5"/>
  <c r="BH305" i="5" a="1"/>
  <c r="BH305" i="5" s="1"/>
  <c r="BI305" i="5" a="1"/>
  <c r="BI305" i="5" s="1"/>
  <c r="BJ305" i="5" a="1"/>
  <c r="BJ305" i="5" s="1"/>
  <c r="BK305" i="5" a="1"/>
  <c r="BK305" i="5" s="1"/>
  <c r="BL305" i="5"/>
  <c r="BG306" i="5"/>
  <c r="BH306" i="5" a="1"/>
  <c r="BH306" i="5" s="1"/>
  <c r="BI306" i="5" a="1"/>
  <c r="BI306" i="5" s="1"/>
  <c r="BJ306" i="5" a="1"/>
  <c r="BJ306" i="5" s="1"/>
  <c r="BK306" i="5" a="1"/>
  <c r="BK306" i="5" s="1"/>
  <c r="BL306" i="5"/>
  <c r="BG307" i="5"/>
  <c r="BH307" i="5" a="1"/>
  <c r="BH307" i="5" s="1"/>
  <c r="BI307" i="5" a="1"/>
  <c r="BI307" i="5" s="1"/>
  <c r="BJ307" i="5" a="1"/>
  <c r="BJ307" i="5" s="1"/>
  <c r="BK307" i="5" a="1"/>
  <c r="BK307" i="5" s="1"/>
  <c r="BL307" i="5"/>
  <c r="BG308" i="5"/>
  <c r="BH308" i="5" a="1"/>
  <c r="BH308" i="5" s="1"/>
  <c r="BI308" i="5" a="1"/>
  <c r="BI308" i="5" s="1"/>
  <c r="BJ308" i="5" a="1"/>
  <c r="BJ308" i="5" s="1"/>
  <c r="BK308" i="5" a="1"/>
  <c r="BK308" i="5" s="1"/>
  <c r="BL308" i="5"/>
  <c r="BG309" i="5"/>
  <c r="BH309" i="5" a="1"/>
  <c r="BH309" i="5" s="1"/>
  <c r="BI309" i="5" a="1"/>
  <c r="BI309" i="5" s="1"/>
  <c r="BJ309" i="5" a="1"/>
  <c r="BJ309" i="5" s="1"/>
  <c r="BK309" i="5" a="1"/>
  <c r="BK309" i="5" s="1"/>
  <c r="BL309" i="5"/>
  <c r="BG310" i="5"/>
  <c r="BH310" i="5" a="1"/>
  <c r="BH310" i="5" s="1"/>
  <c r="BI310" i="5" a="1"/>
  <c r="BI310" i="5" s="1"/>
  <c r="BJ310" i="5" a="1"/>
  <c r="BJ310" i="5" s="1"/>
  <c r="BK310" i="5" a="1"/>
  <c r="BK310" i="5" s="1"/>
  <c r="BL310" i="5"/>
  <c r="BG311" i="5"/>
  <c r="BH311" i="5" a="1"/>
  <c r="BH311" i="5" s="1"/>
  <c r="BI311" i="5" a="1"/>
  <c r="BI311" i="5" s="1"/>
  <c r="BJ311" i="5" a="1"/>
  <c r="BJ311" i="5" s="1"/>
  <c r="BK311" i="5" a="1"/>
  <c r="BK311" i="5" s="1"/>
  <c r="BL311" i="5"/>
  <c r="BG312" i="5"/>
  <c r="BH312" i="5" a="1"/>
  <c r="BH312" i="5" s="1"/>
  <c r="BI312" i="5" a="1"/>
  <c r="BI312" i="5" s="1"/>
  <c r="BJ312" i="5" a="1"/>
  <c r="BJ312" i="5"/>
  <c r="BK312" i="5" a="1"/>
  <c r="BK312" i="5" s="1"/>
  <c r="BL312" i="5"/>
  <c r="BG313" i="5"/>
  <c r="BH313" i="5" a="1"/>
  <c r="BH313" i="5" s="1"/>
  <c r="BI313" i="5" a="1"/>
  <c r="BI313" i="5" s="1"/>
  <c r="BJ313" i="5" a="1"/>
  <c r="BJ313" i="5" s="1"/>
  <c r="BK313" i="5" a="1"/>
  <c r="BK313" i="5"/>
  <c r="BL313" i="5"/>
  <c r="BG314" i="5"/>
  <c r="BH314" i="5" a="1"/>
  <c r="BH314" i="5"/>
  <c r="BI314" i="5" a="1"/>
  <c r="BI314" i="5" s="1"/>
  <c r="BJ314" i="5" a="1"/>
  <c r="BJ314" i="5" s="1"/>
  <c r="BK314" i="5" a="1"/>
  <c r="BK314" i="5" s="1"/>
  <c r="BL314" i="5"/>
  <c r="BG315" i="5"/>
  <c r="BH315" i="5" a="1"/>
  <c r="BH315" i="5" s="1"/>
  <c r="BI315" i="5" a="1"/>
  <c r="BI315" i="5" s="1"/>
  <c r="BJ315" i="5" a="1"/>
  <c r="BJ315" i="5" s="1"/>
  <c r="BK315" i="5" a="1"/>
  <c r="BK315" i="5" s="1"/>
  <c r="BL315" i="5"/>
  <c r="BG316" i="5"/>
  <c r="BH316" i="5" a="1"/>
  <c r="BH316" i="5" s="1"/>
  <c r="BI316" i="5" a="1"/>
  <c r="BI316" i="5" s="1"/>
  <c r="BJ316" i="5" a="1"/>
  <c r="BJ316" i="5" s="1"/>
  <c r="BK316" i="5" a="1"/>
  <c r="BK316" i="5" s="1"/>
  <c r="BL316" i="5"/>
  <c r="BG317" i="5"/>
  <c r="BH317" i="5" a="1"/>
  <c r="BH317" i="5" s="1"/>
  <c r="BI317" i="5" a="1"/>
  <c r="BI317" i="5" s="1"/>
  <c r="BJ317" i="5" a="1"/>
  <c r="BJ317" i="5" s="1"/>
  <c r="BK317" i="5" a="1"/>
  <c r="BK317" i="5" s="1"/>
  <c r="BL317" i="5"/>
  <c r="BG318" i="5"/>
  <c r="BH318" i="5" a="1"/>
  <c r="BH318" i="5" s="1"/>
  <c r="BI318" i="5" a="1"/>
  <c r="BI318" i="5" s="1"/>
  <c r="BJ318" i="5" a="1"/>
  <c r="BJ318" i="5" s="1"/>
  <c r="BK318" i="5" a="1"/>
  <c r="BK318" i="5" s="1"/>
  <c r="BL318" i="5"/>
  <c r="BG319" i="5"/>
  <c r="BH319" i="5" a="1"/>
  <c r="BH319" i="5" s="1"/>
  <c r="BI319" i="5" a="1"/>
  <c r="BI319" i="5" s="1"/>
  <c r="BJ319" i="5" a="1"/>
  <c r="BJ319" i="5" s="1"/>
  <c r="BK319" i="5" a="1"/>
  <c r="BK319" i="5" s="1"/>
  <c r="BL319" i="5"/>
  <c r="BG320" i="5"/>
  <c r="BH320" i="5" a="1"/>
  <c r="BH320" i="5" s="1"/>
  <c r="BI320" i="5" a="1"/>
  <c r="BI320" i="5" s="1"/>
  <c r="BJ320" i="5" a="1"/>
  <c r="BJ320" i="5" s="1"/>
  <c r="BK320" i="5" a="1"/>
  <c r="BK320" i="5" s="1"/>
  <c r="BL320" i="5"/>
  <c r="BG321" i="5"/>
  <c r="BH321" i="5" a="1"/>
  <c r="BH321" i="5" s="1"/>
  <c r="BI321" i="5" a="1"/>
  <c r="BI321" i="5" s="1"/>
  <c r="BJ321" i="5" a="1"/>
  <c r="BJ321" i="5" s="1"/>
  <c r="BK321" i="5" a="1"/>
  <c r="BK321" i="5" s="1"/>
  <c r="BL321" i="5"/>
  <c r="BG322" i="5"/>
  <c r="BH322" i="5" a="1"/>
  <c r="BH322" i="5" s="1"/>
  <c r="BI322" i="5" a="1"/>
  <c r="BI322" i="5" s="1"/>
  <c r="BJ322" i="5" a="1"/>
  <c r="BJ322" i="5" s="1"/>
  <c r="BK322" i="5" a="1"/>
  <c r="BK322" i="5" s="1"/>
  <c r="BL322" i="5"/>
  <c r="BG323" i="5"/>
  <c r="BH323" i="5" a="1"/>
  <c r="BH323" i="5" s="1"/>
  <c r="BI323" i="5" a="1"/>
  <c r="BI323" i="5" s="1"/>
  <c r="BJ323" i="5" a="1"/>
  <c r="BJ323" i="5" s="1"/>
  <c r="BK323" i="5" a="1"/>
  <c r="BK323" i="5" s="1"/>
  <c r="BL323" i="5"/>
  <c r="BG324" i="5"/>
  <c r="BH324" i="5" a="1"/>
  <c r="BH324" i="5" s="1"/>
  <c r="BI324" i="5" a="1"/>
  <c r="BI324" i="5" s="1"/>
  <c r="BJ324" i="5" a="1"/>
  <c r="BJ324" i="5" s="1"/>
  <c r="BK324" i="5" a="1"/>
  <c r="BK324" i="5" s="1"/>
  <c r="BL324" i="5"/>
  <c r="BG325" i="5"/>
  <c r="BH325" i="5" a="1"/>
  <c r="BH325" i="5" s="1"/>
  <c r="BI325" i="5" a="1"/>
  <c r="BI325" i="5" s="1"/>
  <c r="BJ325" i="5" a="1"/>
  <c r="BJ325" i="5" s="1"/>
  <c r="BK325" i="5" a="1"/>
  <c r="BK325" i="5" s="1"/>
  <c r="BL325" i="5"/>
  <c r="BG326" i="5"/>
  <c r="BH326" i="5" a="1"/>
  <c r="BH326" i="5" s="1"/>
  <c r="BI326" i="5" a="1"/>
  <c r="BI326" i="5" s="1"/>
  <c r="BJ326" i="5" a="1"/>
  <c r="BJ326" i="5" s="1"/>
  <c r="BK326" i="5" a="1"/>
  <c r="BK326" i="5" s="1"/>
  <c r="BL326" i="5"/>
  <c r="BG327" i="5"/>
  <c r="BH327" i="5" a="1"/>
  <c r="BH327" i="5" s="1"/>
  <c r="BI327" i="5" a="1"/>
  <c r="BI327" i="5" s="1"/>
  <c r="BJ327" i="5" a="1"/>
  <c r="BJ327" i="5" s="1"/>
  <c r="BK327" i="5" a="1"/>
  <c r="BK327" i="5" s="1"/>
  <c r="BL327" i="5"/>
  <c r="BG328" i="5"/>
  <c r="BH328" i="5" a="1"/>
  <c r="BH328" i="5" s="1"/>
  <c r="BI328" i="5" a="1"/>
  <c r="BI328" i="5" s="1"/>
  <c r="BJ328" i="5" a="1"/>
  <c r="BJ328" i="5" s="1"/>
  <c r="BK328" i="5" a="1"/>
  <c r="BK328" i="5" s="1"/>
  <c r="BL328" i="5"/>
  <c r="BG329" i="5"/>
  <c r="BH329" i="5" a="1"/>
  <c r="BH329" i="5" s="1"/>
  <c r="BI329" i="5" a="1"/>
  <c r="BI329" i="5" s="1"/>
  <c r="BJ329" i="5" a="1"/>
  <c r="BJ329" i="5" s="1"/>
  <c r="BK329" i="5" a="1"/>
  <c r="BK329" i="5" s="1"/>
  <c r="BL329" i="5"/>
  <c r="BG330" i="5"/>
  <c r="BH330" i="5" a="1"/>
  <c r="BH330" i="5" s="1"/>
  <c r="BI330" i="5" a="1"/>
  <c r="BI330" i="5" s="1"/>
  <c r="BJ330" i="5" a="1"/>
  <c r="BJ330" i="5" s="1"/>
  <c r="BK330" i="5" a="1"/>
  <c r="BK330" i="5" s="1"/>
  <c r="BL330" i="5"/>
  <c r="BG331" i="5"/>
  <c r="BH331" i="5" a="1"/>
  <c r="BH331" i="5" s="1"/>
  <c r="BI331" i="5" a="1"/>
  <c r="BI331" i="5" s="1"/>
  <c r="BJ331" i="5" a="1"/>
  <c r="BJ331" i="5" s="1"/>
  <c r="BK331" i="5" a="1"/>
  <c r="BK331" i="5" s="1"/>
  <c r="BL331" i="5"/>
  <c r="BG332" i="5"/>
  <c r="BH332" i="5" a="1"/>
  <c r="BH332" i="5" s="1"/>
  <c r="BI332" i="5" a="1"/>
  <c r="BI332" i="5" s="1"/>
  <c r="BJ332" i="5" a="1"/>
  <c r="BJ332" i="5" s="1"/>
  <c r="BK332" i="5" a="1"/>
  <c r="BK332" i="5" s="1"/>
  <c r="BL332" i="5"/>
  <c r="BG333" i="5"/>
  <c r="BH333" i="5" a="1"/>
  <c r="BH333" i="5" s="1"/>
  <c r="BI333" i="5" a="1"/>
  <c r="BI333" i="5" s="1"/>
  <c r="BJ333" i="5" a="1"/>
  <c r="BJ333" i="5" s="1"/>
  <c r="BK333" i="5" a="1"/>
  <c r="BK333" i="5" s="1"/>
  <c r="BL333" i="5"/>
  <c r="BG334" i="5"/>
  <c r="BH334" i="5" a="1"/>
  <c r="BH334" i="5" s="1"/>
  <c r="BI334" i="5" a="1"/>
  <c r="BI334" i="5" s="1"/>
  <c r="BJ334" i="5" a="1"/>
  <c r="BJ334" i="5" s="1"/>
  <c r="BK334" i="5" a="1"/>
  <c r="BK334" i="5" s="1"/>
  <c r="BL334" i="5"/>
  <c r="BG335" i="5"/>
  <c r="BH335" i="5" a="1"/>
  <c r="BH335" i="5" s="1"/>
  <c r="BI335" i="5" a="1"/>
  <c r="BI335" i="5" s="1"/>
  <c r="BJ335" i="5" a="1"/>
  <c r="BJ335" i="5" s="1"/>
  <c r="BK335" i="5" a="1"/>
  <c r="BK335" i="5" s="1"/>
  <c r="BL335" i="5"/>
  <c r="BG336" i="5"/>
  <c r="BH336" i="5" a="1"/>
  <c r="BH336" i="5" s="1"/>
  <c r="BI336" i="5" a="1"/>
  <c r="BI336" i="5" s="1"/>
  <c r="BJ336" i="5" a="1"/>
  <c r="BJ336" i="5" s="1"/>
  <c r="BK336" i="5" a="1"/>
  <c r="BK336" i="5" s="1"/>
  <c r="BL336" i="5"/>
  <c r="BG337" i="5"/>
  <c r="BH337" i="5" a="1"/>
  <c r="BH337" i="5" s="1"/>
  <c r="BI337" i="5" a="1"/>
  <c r="BI337" i="5" s="1"/>
  <c r="BJ337" i="5" a="1"/>
  <c r="BJ337" i="5" s="1"/>
  <c r="BK337" i="5" a="1"/>
  <c r="BK337" i="5" s="1"/>
  <c r="BL337" i="5"/>
  <c r="BG338" i="5"/>
  <c r="BH338" i="5" a="1"/>
  <c r="BH338" i="5" s="1"/>
  <c r="BI338" i="5" a="1"/>
  <c r="BI338" i="5" s="1"/>
  <c r="BJ338" i="5" a="1"/>
  <c r="BJ338" i="5" s="1"/>
  <c r="BK338" i="5" a="1"/>
  <c r="BK338" i="5" s="1"/>
  <c r="BL338" i="5"/>
  <c r="BG339" i="5"/>
  <c r="BH339" i="5" a="1"/>
  <c r="BH339" i="5" s="1"/>
  <c r="BI339" i="5" a="1"/>
  <c r="BI339" i="5" s="1"/>
  <c r="BJ339" i="5" a="1"/>
  <c r="BJ339" i="5" s="1"/>
  <c r="BK339" i="5" a="1"/>
  <c r="BK339" i="5" s="1"/>
  <c r="BL339" i="5"/>
  <c r="BG340" i="5"/>
  <c r="BH340" i="5" a="1"/>
  <c r="BH340" i="5" s="1"/>
  <c r="BI340" i="5" a="1"/>
  <c r="BI340" i="5" s="1"/>
  <c r="BJ340" i="5" a="1"/>
  <c r="BJ340" i="5" s="1"/>
  <c r="BK340" i="5" a="1"/>
  <c r="BK340" i="5" s="1"/>
  <c r="BL340" i="5"/>
  <c r="BG341" i="5"/>
  <c r="BH341" i="5" a="1"/>
  <c r="BH341" i="5" s="1"/>
  <c r="BI341" i="5" a="1"/>
  <c r="BI341" i="5" s="1"/>
  <c r="BJ341" i="5" a="1"/>
  <c r="BJ341" i="5" s="1"/>
  <c r="BK341" i="5" a="1"/>
  <c r="BK341" i="5" s="1"/>
  <c r="BL341" i="5"/>
  <c r="BG342" i="5"/>
  <c r="BH342" i="5" a="1"/>
  <c r="BH342" i="5" s="1"/>
  <c r="BI342" i="5" a="1"/>
  <c r="BI342" i="5" s="1"/>
  <c r="BJ342" i="5" a="1"/>
  <c r="BJ342" i="5" s="1"/>
  <c r="BK342" i="5" a="1"/>
  <c r="BK342" i="5" s="1"/>
  <c r="BL342" i="5"/>
  <c r="BG343" i="5"/>
  <c r="BH343" i="5" a="1"/>
  <c r="BH343" i="5" s="1"/>
  <c r="BI343" i="5" a="1"/>
  <c r="BI343" i="5" s="1"/>
  <c r="BJ343" i="5" a="1"/>
  <c r="BJ343" i="5" s="1"/>
  <c r="BK343" i="5" a="1"/>
  <c r="BK343" i="5" s="1"/>
  <c r="BL343" i="5"/>
  <c r="BG344" i="5"/>
  <c r="BH344" i="5" a="1"/>
  <c r="BH344" i="5" s="1"/>
  <c r="BI344" i="5" a="1"/>
  <c r="BI344" i="5" s="1"/>
  <c r="BJ344" i="5" a="1"/>
  <c r="BJ344" i="5" s="1"/>
  <c r="BK344" i="5" a="1"/>
  <c r="BK344" i="5" s="1"/>
  <c r="BL344" i="5"/>
  <c r="BG345" i="5"/>
  <c r="BH345" i="5" a="1"/>
  <c r="BH345" i="5" s="1"/>
  <c r="BI345" i="5" a="1"/>
  <c r="BI345" i="5" s="1"/>
  <c r="BJ345" i="5" a="1"/>
  <c r="BJ345" i="5" s="1"/>
  <c r="BK345" i="5" a="1"/>
  <c r="BK345" i="5" s="1"/>
  <c r="BL345" i="5"/>
  <c r="BG346" i="5"/>
  <c r="BH346" i="5" a="1"/>
  <c r="BH346" i="5" s="1"/>
  <c r="BI346" i="5" a="1"/>
  <c r="BI346" i="5" s="1"/>
  <c r="BJ346" i="5" a="1"/>
  <c r="BJ346" i="5" s="1"/>
  <c r="BK346" i="5" a="1"/>
  <c r="BK346" i="5" s="1"/>
  <c r="BL346" i="5"/>
  <c r="BG347" i="5"/>
  <c r="BH347" i="5" a="1"/>
  <c r="BH347" i="5" s="1"/>
  <c r="BI347" i="5" a="1"/>
  <c r="BI347" i="5" s="1"/>
  <c r="BJ347" i="5" a="1"/>
  <c r="BJ347" i="5" s="1"/>
  <c r="BK347" i="5" a="1"/>
  <c r="BK347" i="5" s="1"/>
  <c r="BL347" i="5"/>
  <c r="BG348" i="5"/>
  <c r="BH348" i="5" a="1"/>
  <c r="BH348" i="5" s="1"/>
  <c r="BI348" i="5" a="1"/>
  <c r="BI348" i="5" s="1"/>
  <c r="BJ348" i="5" a="1"/>
  <c r="BJ348" i="5" s="1"/>
  <c r="BK348" i="5" a="1"/>
  <c r="BK348" i="5" s="1"/>
  <c r="BL348" i="5"/>
  <c r="BG349" i="5"/>
  <c r="BH349" i="5" a="1"/>
  <c r="BH349" i="5" s="1"/>
  <c r="BI349" i="5" a="1"/>
  <c r="BI349" i="5" s="1"/>
  <c r="BJ349" i="5" a="1"/>
  <c r="BJ349" i="5" s="1"/>
  <c r="BK349" i="5" a="1"/>
  <c r="BK349" i="5" s="1"/>
  <c r="BL349" i="5"/>
  <c r="BG350" i="5"/>
  <c r="BH350" i="5" a="1"/>
  <c r="BH350" i="5" s="1"/>
  <c r="BI350" i="5" a="1"/>
  <c r="BI350" i="5" s="1"/>
  <c r="BJ350" i="5" a="1"/>
  <c r="BJ350" i="5" s="1"/>
  <c r="BK350" i="5" a="1"/>
  <c r="BK350" i="5" s="1"/>
  <c r="BL350" i="5"/>
  <c r="BG351" i="5"/>
  <c r="BH351" i="5" a="1"/>
  <c r="BH351" i="5" s="1"/>
  <c r="BI351" i="5" a="1"/>
  <c r="BI351" i="5" s="1"/>
  <c r="BJ351" i="5" a="1"/>
  <c r="BJ351" i="5" s="1"/>
  <c r="BK351" i="5" a="1"/>
  <c r="BK351" i="5" s="1"/>
  <c r="BL351" i="5"/>
  <c r="BG352" i="5"/>
  <c r="BH352" i="5" a="1"/>
  <c r="BH352" i="5" s="1"/>
  <c r="BI352" i="5" a="1"/>
  <c r="BI352" i="5" s="1"/>
  <c r="BJ352" i="5" a="1"/>
  <c r="BJ352" i="5" s="1"/>
  <c r="BK352" i="5" a="1"/>
  <c r="BK352" i="5" s="1"/>
  <c r="BL352" i="5"/>
  <c r="BG353" i="5"/>
  <c r="BH353" i="5" a="1"/>
  <c r="BH353" i="5" s="1"/>
  <c r="BI353" i="5" a="1"/>
  <c r="BI353" i="5" s="1"/>
  <c r="BJ353" i="5" a="1"/>
  <c r="BJ353" i="5" s="1"/>
  <c r="BK353" i="5" a="1"/>
  <c r="BK353" i="5" s="1"/>
  <c r="BL353" i="5"/>
  <c r="BG354" i="5"/>
  <c r="BH354" i="5" a="1"/>
  <c r="BH354" i="5" s="1"/>
  <c r="BI354" i="5" a="1"/>
  <c r="BI354" i="5" s="1"/>
  <c r="BJ354" i="5" a="1"/>
  <c r="BJ354" i="5" s="1"/>
  <c r="BK354" i="5" a="1"/>
  <c r="BK354" i="5" s="1"/>
  <c r="BL354" i="5"/>
  <c r="BG355" i="5"/>
  <c r="BH355" i="5" a="1"/>
  <c r="BH355" i="5" s="1"/>
  <c r="BI355" i="5" a="1"/>
  <c r="BI355" i="5" s="1"/>
  <c r="BJ355" i="5" a="1"/>
  <c r="BJ355" i="5" s="1"/>
  <c r="BK355" i="5" a="1"/>
  <c r="BK355" i="5" s="1"/>
  <c r="BL355" i="5"/>
  <c r="BG356" i="5"/>
  <c r="BH356" i="5" a="1"/>
  <c r="BH356" i="5" s="1"/>
  <c r="BI356" i="5" a="1"/>
  <c r="BI356" i="5" s="1"/>
  <c r="BJ356" i="5" a="1"/>
  <c r="BJ356" i="5" s="1"/>
  <c r="BK356" i="5" a="1"/>
  <c r="BK356" i="5" s="1"/>
  <c r="BL356" i="5"/>
  <c r="BG357" i="5"/>
  <c r="BH357" i="5" a="1"/>
  <c r="BH357" i="5" s="1"/>
  <c r="BI357" i="5" a="1"/>
  <c r="BI357" i="5" s="1"/>
  <c r="BJ357" i="5" a="1"/>
  <c r="BJ357" i="5" s="1"/>
  <c r="BK357" i="5" a="1"/>
  <c r="BK357" i="5" s="1"/>
  <c r="BL357" i="5"/>
  <c r="BG358" i="5"/>
  <c r="BH358" i="5" a="1"/>
  <c r="BH358" i="5" s="1"/>
  <c r="BI358" i="5" a="1"/>
  <c r="BI358" i="5" s="1"/>
  <c r="BJ358" i="5" a="1"/>
  <c r="BJ358" i="5" s="1"/>
  <c r="BK358" i="5" a="1"/>
  <c r="BK358" i="5" s="1"/>
  <c r="BL358" i="5"/>
  <c r="BG359" i="5"/>
  <c r="BH359" i="5" a="1"/>
  <c r="BH359" i="5" s="1"/>
  <c r="BI359" i="5" a="1"/>
  <c r="BI359" i="5" s="1"/>
  <c r="BJ359" i="5" a="1"/>
  <c r="BJ359" i="5" s="1"/>
  <c r="BK359" i="5" a="1"/>
  <c r="BK359" i="5" s="1"/>
  <c r="BL359" i="5"/>
  <c r="BG360" i="5"/>
  <c r="BH360" i="5" a="1"/>
  <c r="BH360" i="5" s="1"/>
  <c r="BI360" i="5" a="1"/>
  <c r="BI360" i="5" s="1"/>
  <c r="BJ360" i="5" a="1"/>
  <c r="BJ360" i="5" s="1"/>
  <c r="BK360" i="5" a="1"/>
  <c r="BK360" i="5" s="1"/>
  <c r="BL360" i="5"/>
  <c r="BG361" i="5"/>
  <c r="BH361" i="5" a="1"/>
  <c r="BH361" i="5" s="1"/>
  <c r="BI361" i="5" a="1"/>
  <c r="BI361" i="5" s="1"/>
  <c r="BJ361" i="5" a="1"/>
  <c r="BJ361" i="5"/>
  <c r="BK361" i="5" a="1"/>
  <c r="BK361" i="5" s="1"/>
  <c r="BL361" i="5"/>
  <c r="BG362" i="5"/>
  <c r="BH362" i="5" a="1"/>
  <c r="BH362" i="5" s="1"/>
  <c r="BI362" i="5" a="1"/>
  <c r="BI362" i="5" s="1"/>
  <c r="BJ362" i="5" a="1"/>
  <c r="BJ362" i="5" s="1"/>
  <c r="BK362" i="5" a="1"/>
  <c r="BK362" i="5"/>
  <c r="BL362" i="5"/>
  <c r="BG363" i="5"/>
  <c r="BH363" i="5" a="1"/>
  <c r="BH363" i="5"/>
  <c r="BI363" i="5" a="1"/>
  <c r="BI363" i="5" s="1"/>
  <c r="BJ363" i="5" a="1"/>
  <c r="BJ363" i="5" s="1"/>
  <c r="BK363" i="5" a="1"/>
  <c r="BK363" i="5" s="1"/>
  <c r="BL363" i="5"/>
  <c r="BG364" i="5"/>
  <c r="BH364" i="5" a="1"/>
  <c r="BH364" i="5" s="1"/>
  <c r="BI364" i="5" a="1"/>
  <c r="BI364" i="5" s="1"/>
  <c r="BJ364" i="5" a="1"/>
  <c r="BJ364" i="5" s="1"/>
  <c r="BK364" i="5" a="1"/>
  <c r="BK364" i="5" s="1"/>
  <c r="BL364" i="5"/>
  <c r="BG365" i="5"/>
  <c r="BH365" i="5" a="1"/>
  <c r="BH365" i="5" s="1"/>
  <c r="BI365" i="5" a="1"/>
  <c r="BI365" i="5" s="1"/>
  <c r="BJ365" i="5" a="1"/>
  <c r="BJ365" i="5" s="1"/>
  <c r="BK365" i="5" a="1"/>
  <c r="BK365" i="5" s="1"/>
  <c r="BL365" i="5"/>
  <c r="BG366" i="5"/>
  <c r="BH366" i="5" a="1"/>
  <c r="BH366" i="5" s="1"/>
  <c r="BI366" i="5" a="1"/>
  <c r="BI366" i="5" s="1"/>
  <c r="BJ366" i="5" a="1"/>
  <c r="BJ366" i="5" s="1"/>
  <c r="BK366" i="5" a="1"/>
  <c r="BK366" i="5" s="1"/>
  <c r="BL366" i="5"/>
  <c r="BG367" i="5"/>
  <c r="BH367" i="5" a="1"/>
  <c r="BH367" i="5" s="1"/>
  <c r="BI367" i="5" a="1"/>
  <c r="BI367" i="5" s="1"/>
  <c r="BJ367" i="5" a="1"/>
  <c r="BJ367" i="5" s="1"/>
  <c r="BK367" i="5" a="1"/>
  <c r="BK367" i="5" s="1"/>
  <c r="BL367" i="5"/>
  <c r="BG368" i="5"/>
  <c r="BH368" i="5" a="1"/>
  <c r="BH368" i="5" s="1"/>
  <c r="BI368" i="5" a="1"/>
  <c r="BI368" i="5" s="1"/>
  <c r="BJ368" i="5" a="1"/>
  <c r="BJ368" i="5" s="1"/>
  <c r="BK368" i="5" a="1"/>
  <c r="BK368" i="5" s="1"/>
  <c r="BL368" i="5"/>
  <c r="BG369" i="5"/>
  <c r="BH369" i="5" a="1"/>
  <c r="BH369" i="5" s="1"/>
  <c r="BI369" i="5" a="1"/>
  <c r="BI369" i="5" s="1"/>
  <c r="BJ369" i="5" a="1"/>
  <c r="BJ369" i="5" s="1"/>
  <c r="BK369" i="5" a="1"/>
  <c r="BK369" i="5" s="1"/>
  <c r="BL369" i="5"/>
  <c r="BG370" i="5"/>
  <c r="BH370" i="5" a="1"/>
  <c r="BH370" i="5" s="1"/>
  <c r="BI370" i="5" a="1"/>
  <c r="BI370" i="5" s="1"/>
  <c r="BJ370" i="5" a="1"/>
  <c r="BJ370" i="5" s="1"/>
  <c r="BK370" i="5" a="1"/>
  <c r="BK370" i="5" s="1"/>
  <c r="BL370" i="5"/>
  <c r="BG371" i="5"/>
  <c r="BH371" i="5" a="1"/>
  <c r="BH371" i="5" s="1"/>
  <c r="BI371" i="5" a="1"/>
  <c r="BI371" i="5" s="1"/>
  <c r="BJ371" i="5" a="1"/>
  <c r="BJ371" i="5" s="1"/>
  <c r="BK371" i="5" a="1"/>
  <c r="BK371" i="5" s="1"/>
  <c r="BL371" i="5"/>
  <c r="BG372" i="5"/>
  <c r="BH372" i="5" a="1"/>
  <c r="BH372" i="5" s="1"/>
  <c r="BI372" i="5" a="1"/>
  <c r="BI372" i="5" s="1"/>
  <c r="BJ372" i="5" a="1"/>
  <c r="BJ372" i="5" s="1"/>
  <c r="BK372" i="5" a="1"/>
  <c r="BK372" i="5" s="1"/>
  <c r="BL372" i="5"/>
  <c r="BG373" i="5"/>
  <c r="BH373" i="5" a="1"/>
  <c r="BH373" i="5" s="1"/>
  <c r="BI373" i="5" a="1"/>
  <c r="BI373" i="5" s="1"/>
  <c r="BJ373" i="5" a="1"/>
  <c r="BJ373" i="5" s="1"/>
  <c r="BK373" i="5" a="1"/>
  <c r="BK373" i="5" s="1"/>
  <c r="BL373" i="5"/>
  <c r="BG374" i="5"/>
  <c r="BH374" i="5" a="1"/>
  <c r="BH374" i="5" s="1"/>
  <c r="BI374" i="5" a="1"/>
  <c r="BI374" i="5" s="1"/>
  <c r="BJ374" i="5" a="1"/>
  <c r="BJ374" i="5" s="1"/>
  <c r="BK374" i="5" a="1"/>
  <c r="BK374" i="5" s="1"/>
  <c r="BL374" i="5"/>
  <c r="BG375" i="5"/>
  <c r="BH375" i="5" a="1"/>
  <c r="BH375" i="5" s="1"/>
  <c r="BI375" i="5" a="1"/>
  <c r="BI375" i="5" s="1"/>
  <c r="BJ375" i="5" a="1"/>
  <c r="BJ375" i="5" s="1"/>
  <c r="BK375" i="5" a="1"/>
  <c r="BK375" i="5" s="1"/>
  <c r="BL375" i="5"/>
  <c r="BG376" i="5"/>
  <c r="BH376" i="5" a="1"/>
  <c r="BH376" i="5" s="1"/>
  <c r="BI376" i="5" a="1"/>
  <c r="BI376" i="5" s="1"/>
  <c r="BJ376" i="5" a="1"/>
  <c r="BJ376" i="5" s="1"/>
  <c r="BK376" i="5" a="1"/>
  <c r="BK376" i="5" s="1"/>
  <c r="BL376" i="5"/>
  <c r="BG377" i="5"/>
  <c r="BH377" i="5" a="1"/>
  <c r="BH377" i="5" s="1"/>
  <c r="BI377" i="5" a="1"/>
  <c r="BI377" i="5" s="1"/>
  <c r="BJ377" i="5" a="1"/>
  <c r="BJ377" i="5" s="1"/>
  <c r="BK377" i="5" a="1"/>
  <c r="BK377" i="5" s="1"/>
  <c r="BL377" i="5"/>
  <c r="BG378" i="5"/>
  <c r="BH378" i="5" a="1"/>
  <c r="BH378" i="5" s="1"/>
  <c r="BI378" i="5" a="1"/>
  <c r="BI378" i="5"/>
  <c r="BJ378" i="5" a="1"/>
  <c r="BJ378" i="5" s="1"/>
  <c r="BK378" i="5" a="1"/>
  <c r="BK378" i="5" s="1"/>
  <c r="BL378" i="5"/>
  <c r="BG379" i="5"/>
  <c r="BH379" i="5" a="1"/>
  <c r="BH379" i="5" s="1"/>
  <c r="BI379" i="5" a="1"/>
  <c r="BI379" i="5" s="1"/>
  <c r="BJ379" i="5" a="1"/>
  <c r="BJ379" i="5"/>
  <c r="BK379" i="5" a="1"/>
  <c r="BK379" i="5" s="1"/>
  <c r="BL379" i="5"/>
  <c r="BG380" i="5"/>
  <c r="BH380" i="5" a="1"/>
  <c r="BH380" i="5" s="1"/>
  <c r="BI380" i="5" a="1"/>
  <c r="BI380" i="5" s="1"/>
  <c r="BJ380" i="5" a="1"/>
  <c r="BJ380" i="5" s="1"/>
  <c r="BK380" i="5" a="1"/>
  <c r="BK380" i="5" s="1"/>
  <c r="BL380" i="5"/>
  <c r="BG381" i="5"/>
  <c r="BH381" i="5" a="1"/>
  <c r="BH381" i="5" s="1"/>
  <c r="BI381" i="5" a="1"/>
  <c r="BI381" i="5" s="1"/>
  <c r="BJ381" i="5" a="1"/>
  <c r="BJ381" i="5" s="1"/>
  <c r="BK381" i="5" a="1"/>
  <c r="BK381" i="5" s="1"/>
  <c r="BL381" i="5"/>
  <c r="BG382" i="5"/>
  <c r="BH382" i="5" a="1"/>
  <c r="BH382" i="5" s="1"/>
  <c r="BI382" i="5" a="1"/>
  <c r="BI382" i="5" s="1"/>
  <c r="BJ382" i="5" a="1"/>
  <c r="BJ382" i="5" s="1"/>
  <c r="BK382" i="5" a="1"/>
  <c r="BK382" i="5" s="1"/>
  <c r="BL382" i="5"/>
  <c r="BG383" i="5"/>
  <c r="BH383" i="5" a="1"/>
  <c r="BH383" i="5" s="1"/>
  <c r="BI383" i="5" a="1"/>
  <c r="BI383" i="5" s="1"/>
  <c r="BJ383" i="5" a="1"/>
  <c r="BJ383" i="5" s="1"/>
  <c r="BK383" i="5" a="1"/>
  <c r="BK383" i="5" s="1"/>
  <c r="BL383" i="5"/>
  <c r="BG384" i="5"/>
  <c r="BH384" i="5" a="1"/>
  <c r="BH384" i="5" s="1"/>
  <c r="BI384" i="5" a="1"/>
  <c r="BI384" i="5" s="1"/>
  <c r="BJ384" i="5" a="1"/>
  <c r="BJ384" i="5" s="1"/>
  <c r="BK384" i="5" a="1"/>
  <c r="BK384" i="5" s="1"/>
  <c r="BL384" i="5"/>
  <c r="BG385" i="5"/>
  <c r="BH385" i="5" a="1"/>
  <c r="BH385" i="5" s="1"/>
  <c r="BI385" i="5" a="1"/>
  <c r="BI385" i="5" s="1"/>
  <c r="BJ385" i="5" a="1"/>
  <c r="BJ385" i="5" s="1"/>
  <c r="BK385" i="5" a="1"/>
  <c r="BK385" i="5" s="1"/>
  <c r="BL385" i="5"/>
  <c r="BG386" i="5"/>
  <c r="BH386" i="5" a="1"/>
  <c r="BH386" i="5" s="1"/>
  <c r="BI386" i="5" a="1"/>
  <c r="BI386" i="5" s="1"/>
  <c r="BJ386" i="5" a="1"/>
  <c r="BJ386" i="5" s="1"/>
  <c r="BK386" i="5" a="1"/>
  <c r="BK386" i="5" s="1"/>
  <c r="BL386" i="5"/>
  <c r="BG387" i="5"/>
  <c r="BH387" i="5" a="1"/>
  <c r="BH387" i="5" s="1"/>
  <c r="BI387" i="5" a="1"/>
  <c r="BI387" i="5" s="1"/>
  <c r="BJ387" i="5" a="1"/>
  <c r="BJ387" i="5" s="1"/>
  <c r="BK387" i="5" a="1"/>
  <c r="BK387" i="5" s="1"/>
  <c r="BL387" i="5"/>
  <c r="BG388" i="5"/>
  <c r="BH388" i="5" a="1"/>
  <c r="BH388" i="5" s="1"/>
  <c r="BI388" i="5" a="1"/>
  <c r="BI388" i="5" s="1"/>
  <c r="BJ388" i="5" a="1"/>
  <c r="BJ388" i="5" s="1"/>
  <c r="BK388" i="5" a="1"/>
  <c r="BK388" i="5" s="1"/>
  <c r="BL388" i="5"/>
  <c r="BG389" i="5"/>
  <c r="BH389" i="5" a="1"/>
  <c r="BH389" i="5" s="1"/>
  <c r="BI389" i="5" a="1"/>
  <c r="BI389" i="5" s="1"/>
  <c r="BJ389" i="5" a="1"/>
  <c r="BJ389" i="5" s="1"/>
  <c r="BK389" i="5" a="1"/>
  <c r="BK389" i="5" s="1"/>
  <c r="BL389" i="5"/>
  <c r="BG390" i="5"/>
  <c r="BH390" i="5" a="1"/>
  <c r="BH390" i="5" s="1"/>
  <c r="BI390" i="5" a="1"/>
  <c r="BI390" i="5" s="1"/>
  <c r="BJ390" i="5" a="1"/>
  <c r="BJ390" i="5" s="1"/>
  <c r="BK390" i="5" a="1"/>
  <c r="BK390" i="5" s="1"/>
  <c r="BL390" i="5"/>
  <c r="BG391" i="5"/>
  <c r="BH391" i="5" a="1"/>
  <c r="BH391" i="5" s="1"/>
  <c r="BI391" i="5" a="1"/>
  <c r="BI391" i="5" s="1"/>
  <c r="BJ391" i="5" a="1"/>
  <c r="BJ391" i="5" s="1"/>
  <c r="BK391" i="5" a="1"/>
  <c r="BK391" i="5" s="1"/>
  <c r="BL391" i="5"/>
  <c r="BG392" i="5"/>
  <c r="BH392" i="5" a="1"/>
  <c r="BH392" i="5" s="1"/>
  <c r="BI392" i="5" a="1"/>
  <c r="BI392" i="5" s="1"/>
  <c r="BJ392" i="5" a="1"/>
  <c r="BJ392" i="5" s="1"/>
  <c r="BK392" i="5" a="1"/>
  <c r="BK392" i="5" s="1"/>
  <c r="BL392" i="5"/>
  <c r="BG393" i="5"/>
  <c r="BH393" i="5" a="1"/>
  <c r="BH393" i="5" s="1"/>
  <c r="BI393" i="5" a="1"/>
  <c r="BI393" i="5" s="1"/>
  <c r="BJ393" i="5" a="1"/>
  <c r="BJ393" i="5" s="1"/>
  <c r="BK393" i="5" a="1"/>
  <c r="BK393" i="5" s="1"/>
  <c r="BL393" i="5"/>
  <c r="BG394" i="5"/>
  <c r="BH394" i="5" a="1"/>
  <c r="BH394" i="5" s="1"/>
  <c r="BI394" i="5" a="1"/>
  <c r="BI394" i="5"/>
  <c r="BJ394" i="5" a="1"/>
  <c r="BJ394" i="5" s="1"/>
  <c r="BK394" i="5" a="1"/>
  <c r="BK394" i="5" s="1"/>
  <c r="BL394" i="5"/>
  <c r="BG395" i="5"/>
  <c r="BH395" i="5" a="1"/>
  <c r="BH395" i="5" s="1"/>
  <c r="BI395" i="5" a="1"/>
  <c r="BI395" i="5" s="1"/>
  <c r="BJ395" i="5" a="1"/>
  <c r="BJ395" i="5"/>
  <c r="BK395" i="5" a="1"/>
  <c r="BK395" i="5" s="1"/>
  <c r="BL395" i="5"/>
  <c r="BG396" i="5"/>
  <c r="BH396" i="5" a="1"/>
  <c r="BH396" i="5" s="1"/>
  <c r="BI396" i="5" a="1"/>
  <c r="BI396" i="5" s="1"/>
  <c r="BJ396" i="5" a="1"/>
  <c r="BJ396" i="5" s="1"/>
  <c r="BK396" i="5" a="1"/>
  <c r="BK396" i="5" s="1"/>
  <c r="BL396" i="5"/>
  <c r="BG397" i="5"/>
  <c r="BH397" i="5" a="1"/>
  <c r="BH397" i="5" s="1"/>
  <c r="BI397" i="5" a="1"/>
  <c r="BI397" i="5" s="1"/>
  <c r="BJ397" i="5" a="1"/>
  <c r="BJ397" i="5" s="1"/>
  <c r="BK397" i="5" a="1"/>
  <c r="BK397" i="5" s="1"/>
  <c r="BL397" i="5"/>
  <c r="BG398" i="5"/>
  <c r="BH398" i="5" a="1"/>
  <c r="BH398" i="5" s="1"/>
  <c r="BI398" i="5" a="1"/>
  <c r="BI398" i="5" s="1"/>
  <c r="BJ398" i="5" a="1"/>
  <c r="BJ398" i="5" s="1"/>
  <c r="BK398" i="5" a="1"/>
  <c r="BK398" i="5" s="1"/>
  <c r="BL398" i="5"/>
  <c r="BG399" i="5"/>
  <c r="BH399" i="5" a="1"/>
  <c r="BH399" i="5" s="1"/>
  <c r="BI399" i="5" a="1"/>
  <c r="BI399" i="5" s="1"/>
  <c r="BJ399" i="5" a="1"/>
  <c r="BJ399" i="5" s="1"/>
  <c r="BK399" i="5" a="1"/>
  <c r="BK399" i="5" s="1"/>
  <c r="BL399" i="5"/>
  <c r="BG400" i="5"/>
  <c r="BH400" i="5" a="1"/>
  <c r="BH400" i="5" s="1"/>
  <c r="BI400" i="5" a="1"/>
  <c r="BI400" i="5" s="1"/>
  <c r="BJ400" i="5" a="1"/>
  <c r="BJ400" i="5" s="1"/>
  <c r="BK400" i="5" a="1"/>
  <c r="BK400" i="5" s="1"/>
  <c r="BL400" i="5"/>
  <c r="BG401" i="5"/>
  <c r="BH401" i="5" a="1"/>
  <c r="BH401" i="5" s="1"/>
  <c r="BI401" i="5" a="1"/>
  <c r="BI401" i="5" s="1"/>
  <c r="BJ401" i="5" a="1"/>
  <c r="BJ401" i="5" s="1"/>
  <c r="BK401" i="5" a="1"/>
  <c r="BK401" i="5" s="1"/>
  <c r="BL401" i="5"/>
  <c r="BG402" i="5"/>
  <c r="BH402" i="5" a="1"/>
  <c r="BH402" i="5" s="1"/>
  <c r="BI402" i="5" a="1"/>
  <c r="BI402" i="5" s="1"/>
  <c r="BJ402" i="5" a="1"/>
  <c r="BJ402" i="5" s="1"/>
  <c r="BK402" i="5" a="1"/>
  <c r="BK402" i="5" s="1"/>
  <c r="BL402" i="5"/>
  <c r="BG403" i="5"/>
  <c r="BH403" i="5" a="1"/>
  <c r="BH403" i="5" s="1"/>
  <c r="BI403" i="5" a="1"/>
  <c r="BI403" i="5" s="1"/>
  <c r="BJ403" i="5" a="1"/>
  <c r="BJ403" i="5" s="1"/>
  <c r="BK403" i="5" a="1"/>
  <c r="BK403" i="5" s="1"/>
  <c r="BL403" i="5"/>
  <c r="BG404" i="5"/>
  <c r="BH404" i="5" a="1"/>
  <c r="BH404" i="5" s="1"/>
  <c r="BI404" i="5" a="1"/>
  <c r="BI404" i="5" s="1"/>
  <c r="BJ404" i="5" a="1"/>
  <c r="BJ404" i="5" s="1"/>
  <c r="BK404" i="5" a="1"/>
  <c r="BK404" i="5" s="1"/>
  <c r="BL404" i="5"/>
  <c r="BG405" i="5"/>
  <c r="BH405" i="5" a="1"/>
  <c r="BH405" i="5" s="1"/>
  <c r="BI405" i="5" a="1"/>
  <c r="BI405" i="5" s="1"/>
  <c r="BJ405" i="5" a="1"/>
  <c r="BJ405" i="5" s="1"/>
  <c r="BK405" i="5" a="1"/>
  <c r="BK405" i="5" s="1"/>
  <c r="BL405" i="5"/>
  <c r="BG406" i="5"/>
  <c r="BH406" i="5" a="1"/>
  <c r="BH406" i="5" s="1"/>
  <c r="BI406" i="5" a="1"/>
  <c r="BI406" i="5" s="1"/>
  <c r="BJ406" i="5" a="1"/>
  <c r="BJ406" i="5" s="1"/>
  <c r="BK406" i="5" a="1"/>
  <c r="BK406" i="5" s="1"/>
  <c r="BL406" i="5"/>
  <c r="BG407" i="5"/>
  <c r="BH407" i="5" a="1"/>
  <c r="BH407" i="5" s="1"/>
  <c r="BI407" i="5" a="1"/>
  <c r="BI407" i="5" s="1"/>
  <c r="BJ407" i="5" a="1"/>
  <c r="BJ407" i="5" s="1"/>
  <c r="BK407" i="5" a="1"/>
  <c r="BK407" i="5" s="1"/>
  <c r="BL407" i="5"/>
  <c r="BG408" i="5"/>
  <c r="BH408" i="5" a="1"/>
  <c r="BH408" i="5" s="1"/>
  <c r="BI408" i="5" a="1"/>
  <c r="BI408" i="5" s="1"/>
  <c r="BJ408" i="5" a="1"/>
  <c r="BJ408" i="5" s="1"/>
  <c r="BK408" i="5" a="1"/>
  <c r="BK408" i="5" s="1"/>
  <c r="BL408" i="5"/>
  <c r="BG409" i="5"/>
  <c r="BH409" i="5" a="1"/>
  <c r="BH409" i="5" s="1"/>
  <c r="BI409" i="5" a="1"/>
  <c r="BI409" i="5" s="1"/>
  <c r="BJ409" i="5" a="1"/>
  <c r="BJ409" i="5" s="1"/>
  <c r="BK409" i="5" a="1"/>
  <c r="BK409" i="5" s="1"/>
  <c r="BL409" i="5"/>
  <c r="BG410" i="5"/>
  <c r="BH410" i="5" a="1"/>
  <c r="BH410" i="5" s="1"/>
  <c r="BI410" i="5" a="1"/>
  <c r="BI410" i="5" s="1"/>
  <c r="BJ410" i="5" a="1"/>
  <c r="BJ410" i="5" s="1"/>
  <c r="BK410" i="5" a="1"/>
  <c r="BK410" i="5" s="1"/>
  <c r="BL410" i="5"/>
  <c r="BG411" i="5"/>
  <c r="BH411" i="5" a="1"/>
  <c r="BH411" i="5" s="1"/>
  <c r="BI411" i="5" a="1"/>
  <c r="BI411" i="5" s="1"/>
  <c r="BJ411" i="5" a="1"/>
  <c r="BJ411" i="5" s="1"/>
  <c r="BK411" i="5" a="1"/>
  <c r="BK411" i="5" s="1"/>
  <c r="BL411" i="5"/>
  <c r="BG412" i="5"/>
  <c r="BH412" i="5" a="1"/>
  <c r="BH412" i="5" s="1"/>
  <c r="BI412" i="5" a="1"/>
  <c r="BI412" i="5" s="1"/>
  <c r="BJ412" i="5" a="1"/>
  <c r="BJ412" i="5" s="1"/>
  <c r="BK412" i="5" a="1"/>
  <c r="BK412" i="5" s="1"/>
  <c r="BL412" i="5"/>
  <c r="BG413" i="5"/>
  <c r="BH413" i="5" a="1"/>
  <c r="BH413" i="5" s="1"/>
  <c r="BI413" i="5" a="1"/>
  <c r="BI413" i="5" s="1"/>
  <c r="BJ413" i="5" a="1"/>
  <c r="BJ413" i="5" s="1"/>
  <c r="BK413" i="5" a="1"/>
  <c r="BK413" i="5" s="1"/>
  <c r="BL413" i="5"/>
  <c r="BG414" i="5"/>
  <c r="BH414" i="5" a="1"/>
  <c r="BH414" i="5" s="1"/>
  <c r="BI414" i="5" a="1"/>
  <c r="BI414" i="5"/>
  <c r="BJ414" i="5" a="1"/>
  <c r="BJ414" i="5" s="1"/>
  <c r="BK414" i="5" a="1"/>
  <c r="BK414" i="5" s="1"/>
  <c r="BL414" i="5"/>
  <c r="BG415" i="5"/>
  <c r="BH415" i="5" a="1"/>
  <c r="BH415" i="5" s="1"/>
  <c r="BI415" i="5" a="1"/>
  <c r="BI415" i="5" s="1"/>
  <c r="BJ415" i="5" a="1"/>
  <c r="BJ415" i="5" s="1"/>
  <c r="BK415" i="5" a="1"/>
  <c r="BK415" i="5" s="1"/>
  <c r="BL415" i="5"/>
  <c r="BG416" i="5"/>
  <c r="BH416" i="5" a="1"/>
  <c r="BH416" i="5" s="1"/>
  <c r="BI416" i="5" a="1"/>
  <c r="BI416" i="5" s="1"/>
  <c r="BJ416" i="5" a="1"/>
  <c r="BJ416" i="5" s="1"/>
  <c r="BK416" i="5" a="1"/>
  <c r="BK416" i="5" s="1"/>
  <c r="BL416" i="5"/>
  <c r="BG417" i="5"/>
  <c r="BH417" i="5" a="1"/>
  <c r="BH417" i="5" s="1"/>
  <c r="BI417" i="5" a="1"/>
  <c r="BI417" i="5" s="1"/>
  <c r="BJ417" i="5" a="1"/>
  <c r="BJ417" i="5" s="1"/>
  <c r="BK417" i="5" a="1"/>
  <c r="BK417" i="5" s="1"/>
  <c r="BL417" i="5"/>
  <c r="BG418" i="5"/>
  <c r="BH418" i="5" a="1"/>
  <c r="BH418" i="5" s="1"/>
  <c r="BI418" i="5" a="1"/>
  <c r="BI418" i="5" s="1"/>
  <c r="BJ418" i="5" a="1"/>
  <c r="BJ418" i="5" s="1"/>
  <c r="BK418" i="5" a="1"/>
  <c r="BK418" i="5" s="1"/>
  <c r="BL418" i="5"/>
  <c r="BG419" i="5"/>
  <c r="BH419" i="5" a="1"/>
  <c r="BH419" i="5" s="1"/>
  <c r="BI419" i="5" a="1"/>
  <c r="BI419" i="5" s="1"/>
  <c r="BJ419" i="5" a="1"/>
  <c r="BJ419" i="5" s="1"/>
  <c r="BK419" i="5" a="1"/>
  <c r="BK419" i="5" s="1"/>
  <c r="BL419" i="5"/>
  <c r="BG420" i="5"/>
  <c r="BH420" i="5" a="1"/>
  <c r="BH420" i="5" s="1"/>
  <c r="BI420" i="5" a="1"/>
  <c r="BI420" i="5" s="1"/>
  <c r="BJ420" i="5" a="1"/>
  <c r="BJ420" i="5" s="1"/>
  <c r="BK420" i="5" a="1"/>
  <c r="BK420" i="5" s="1"/>
  <c r="BL420" i="5"/>
  <c r="BG421" i="5"/>
  <c r="BH421" i="5" a="1"/>
  <c r="BH421" i="5" s="1"/>
  <c r="BI421" i="5" a="1"/>
  <c r="BI421" i="5" s="1"/>
  <c r="BJ421" i="5" a="1"/>
  <c r="BJ421" i="5" s="1"/>
  <c r="BK421" i="5" a="1"/>
  <c r="BK421" i="5" s="1"/>
  <c r="BL421" i="5"/>
  <c r="BG422" i="5"/>
  <c r="BH422" i="5" a="1"/>
  <c r="BH422" i="5" s="1"/>
  <c r="BI422" i="5" a="1"/>
  <c r="BI422" i="5" s="1"/>
  <c r="BJ422" i="5" a="1"/>
  <c r="BJ422" i="5" s="1"/>
  <c r="BK422" i="5" a="1"/>
  <c r="BK422" i="5" s="1"/>
  <c r="BL422" i="5"/>
  <c r="BG423" i="5"/>
  <c r="BH423" i="5" a="1"/>
  <c r="BH423" i="5" s="1"/>
  <c r="BI423" i="5" a="1"/>
  <c r="BI423" i="5" s="1"/>
  <c r="BJ423" i="5" a="1"/>
  <c r="BJ423" i="5" s="1"/>
  <c r="BK423" i="5" a="1"/>
  <c r="BK423" i="5" s="1"/>
  <c r="BL423" i="5"/>
  <c r="BG424" i="5"/>
  <c r="BH424" i="5" a="1"/>
  <c r="BH424" i="5" s="1"/>
  <c r="BI424" i="5" a="1"/>
  <c r="BI424" i="5" s="1"/>
  <c r="BJ424" i="5" a="1"/>
  <c r="BJ424" i="5" s="1"/>
  <c r="BK424" i="5" a="1"/>
  <c r="BK424" i="5" s="1"/>
  <c r="BL424" i="5"/>
  <c r="BG425" i="5"/>
  <c r="BH425" i="5" a="1"/>
  <c r="BH425" i="5" s="1"/>
  <c r="BI425" i="5" a="1"/>
  <c r="BI425" i="5" s="1"/>
  <c r="BJ425" i="5" a="1"/>
  <c r="BJ425" i="5" s="1"/>
  <c r="BK425" i="5" a="1"/>
  <c r="BK425" i="5" s="1"/>
  <c r="BL425" i="5"/>
  <c r="BG426" i="5"/>
  <c r="BH426" i="5" a="1"/>
  <c r="BH426" i="5" s="1"/>
  <c r="BI426" i="5" a="1"/>
  <c r="BI426" i="5" s="1"/>
  <c r="BJ426" i="5" a="1"/>
  <c r="BJ426" i="5" s="1"/>
  <c r="BK426" i="5" a="1"/>
  <c r="BK426" i="5" s="1"/>
  <c r="BL426" i="5"/>
  <c r="BG427" i="5"/>
  <c r="BH427" i="5" a="1"/>
  <c r="BH427" i="5" s="1"/>
  <c r="BI427" i="5" a="1"/>
  <c r="BI427" i="5" s="1"/>
  <c r="BJ427" i="5" a="1"/>
  <c r="BJ427" i="5" s="1"/>
  <c r="BK427" i="5" a="1"/>
  <c r="BK427" i="5" s="1"/>
  <c r="BL427" i="5"/>
  <c r="BG428" i="5"/>
  <c r="BH428" i="5" a="1"/>
  <c r="BH428" i="5" s="1"/>
  <c r="BI428" i="5" a="1"/>
  <c r="BI428" i="5" s="1"/>
  <c r="BJ428" i="5" a="1"/>
  <c r="BJ428" i="5" s="1"/>
  <c r="BK428" i="5" a="1"/>
  <c r="BK428" i="5" s="1"/>
  <c r="BL428" i="5"/>
  <c r="BG429" i="5"/>
  <c r="BH429" i="5" a="1"/>
  <c r="BH429" i="5" s="1"/>
  <c r="BI429" i="5" a="1"/>
  <c r="BI429" i="5" s="1"/>
  <c r="BJ429" i="5" a="1"/>
  <c r="BJ429" i="5" s="1"/>
  <c r="BK429" i="5" a="1"/>
  <c r="BK429" i="5" s="1"/>
  <c r="BL429" i="5"/>
  <c r="BG430" i="5"/>
  <c r="BH430" i="5" a="1"/>
  <c r="BH430" i="5" s="1"/>
  <c r="BI430" i="5" a="1"/>
  <c r="BI430" i="5" s="1"/>
  <c r="BJ430" i="5" a="1"/>
  <c r="BJ430" i="5" s="1"/>
  <c r="BK430" i="5" a="1"/>
  <c r="BK430" i="5" s="1"/>
  <c r="BL430" i="5"/>
  <c r="BG431" i="5"/>
  <c r="BH431" i="5" a="1"/>
  <c r="BH431" i="5" s="1"/>
  <c r="BI431" i="5" a="1"/>
  <c r="BI431" i="5" s="1"/>
  <c r="BJ431" i="5" a="1"/>
  <c r="BJ431" i="5" s="1"/>
  <c r="BK431" i="5" a="1"/>
  <c r="BK431" i="5" s="1"/>
  <c r="BL431" i="5"/>
  <c r="BG432" i="5"/>
  <c r="BH432" i="5" a="1"/>
  <c r="BH432" i="5" s="1"/>
  <c r="BI432" i="5" a="1"/>
  <c r="BI432" i="5" s="1"/>
  <c r="BJ432" i="5" a="1"/>
  <c r="BJ432" i="5" s="1"/>
  <c r="BK432" i="5" a="1"/>
  <c r="BK432" i="5" s="1"/>
  <c r="BL432" i="5"/>
  <c r="BG433" i="5"/>
  <c r="BH433" i="5" a="1"/>
  <c r="BH433" i="5" s="1"/>
  <c r="BI433" i="5" a="1"/>
  <c r="BI433" i="5" s="1"/>
  <c r="BJ433" i="5" a="1"/>
  <c r="BJ433" i="5" s="1"/>
  <c r="BK433" i="5" a="1"/>
  <c r="BK433" i="5" s="1"/>
  <c r="BL433" i="5"/>
  <c r="BG434" i="5"/>
  <c r="BH434" i="5" a="1"/>
  <c r="BH434" i="5" s="1"/>
  <c r="BI434" i="5" a="1"/>
  <c r="BI434" i="5" s="1"/>
  <c r="BJ434" i="5" a="1"/>
  <c r="BJ434" i="5" s="1"/>
  <c r="BK434" i="5" a="1"/>
  <c r="BK434" i="5" s="1"/>
  <c r="BL434" i="5"/>
  <c r="BG435" i="5"/>
  <c r="BH435" i="5" a="1"/>
  <c r="BH435" i="5" s="1"/>
  <c r="BI435" i="5" a="1"/>
  <c r="BI435" i="5" s="1"/>
  <c r="BJ435" i="5" a="1"/>
  <c r="BJ435" i="5" s="1"/>
  <c r="BK435" i="5" a="1"/>
  <c r="BK435" i="5" s="1"/>
  <c r="BL435" i="5"/>
  <c r="BG436" i="5"/>
  <c r="BH436" i="5" a="1"/>
  <c r="BH436" i="5" s="1"/>
  <c r="BI436" i="5" a="1"/>
  <c r="BI436" i="5"/>
  <c r="BJ436" i="5" a="1"/>
  <c r="BJ436" i="5" s="1"/>
  <c r="BK436" i="5" a="1"/>
  <c r="BK436" i="5" s="1"/>
  <c r="BL436" i="5"/>
  <c r="BG437" i="5"/>
  <c r="BH437" i="5" a="1"/>
  <c r="BH437" i="5" s="1"/>
  <c r="BI437" i="5" a="1"/>
  <c r="BI437" i="5" s="1"/>
  <c r="BJ437" i="5" a="1"/>
  <c r="BJ437" i="5" s="1"/>
  <c r="BK437" i="5" a="1"/>
  <c r="BK437" i="5" s="1"/>
  <c r="BL437" i="5"/>
  <c r="BG438" i="5"/>
  <c r="BH438" i="5" a="1"/>
  <c r="BH438" i="5" s="1"/>
  <c r="BI438" i="5" a="1"/>
  <c r="BI438" i="5" s="1"/>
  <c r="BJ438" i="5" a="1"/>
  <c r="BJ438" i="5" s="1"/>
  <c r="BK438" i="5" a="1"/>
  <c r="BK438" i="5" s="1"/>
  <c r="BL438" i="5"/>
  <c r="BG439" i="5"/>
  <c r="BH439" i="5" a="1"/>
  <c r="BH439" i="5" s="1"/>
  <c r="BI439" i="5" a="1"/>
  <c r="BI439" i="5" s="1"/>
  <c r="BJ439" i="5" a="1"/>
  <c r="BJ439" i="5" s="1"/>
  <c r="BK439" i="5" a="1"/>
  <c r="BK439" i="5" s="1"/>
  <c r="BL439" i="5"/>
  <c r="BG440" i="5"/>
  <c r="BH440" i="5" a="1"/>
  <c r="BH440" i="5" s="1"/>
  <c r="BI440" i="5" a="1"/>
  <c r="BI440" i="5" s="1"/>
  <c r="BJ440" i="5" a="1"/>
  <c r="BJ440" i="5" s="1"/>
  <c r="BK440" i="5" a="1"/>
  <c r="BK440" i="5" s="1"/>
  <c r="BL440" i="5"/>
  <c r="BG441" i="5"/>
  <c r="BH441" i="5" a="1"/>
  <c r="BH441" i="5" s="1"/>
  <c r="BI441" i="5" a="1"/>
  <c r="BI441" i="5" s="1"/>
  <c r="BJ441" i="5" a="1"/>
  <c r="BJ441" i="5" s="1"/>
  <c r="BK441" i="5" a="1"/>
  <c r="BK441" i="5" s="1"/>
  <c r="BL441" i="5"/>
  <c r="BG442" i="5"/>
  <c r="BH442" i="5" a="1"/>
  <c r="BH442" i="5" s="1"/>
  <c r="BI442" i="5" a="1"/>
  <c r="BI442" i="5" s="1"/>
  <c r="BJ442" i="5" a="1"/>
  <c r="BJ442" i="5" s="1"/>
  <c r="BK442" i="5" a="1"/>
  <c r="BK442" i="5" s="1"/>
  <c r="BL442" i="5"/>
  <c r="BG443" i="5"/>
  <c r="BH443" i="5" a="1"/>
  <c r="BH443" i="5" s="1"/>
  <c r="BI443" i="5" a="1"/>
  <c r="BI443" i="5" s="1"/>
  <c r="BJ443" i="5" a="1"/>
  <c r="BJ443" i="5" s="1"/>
  <c r="BK443" i="5" a="1"/>
  <c r="BK443" i="5" s="1"/>
  <c r="BL443" i="5"/>
  <c r="BG444" i="5"/>
  <c r="BH444" i="5" a="1"/>
  <c r="BH444" i="5" s="1"/>
  <c r="BI444" i="5" a="1"/>
  <c r="BI444" i="5" s="1"/>
  <c r="BJ444" i="5" a="1"/>
  <c r="BJ444" i="5" s="1"/>
  <c r="BK444" i="5" a="1"/>
  <c r="BK444" i="5" s="1"/>
  <c r="BL444" i="5"/>
  <c r="BG445" i="5"/>
  <c r="BH445" i="5" a="1"/>
  <c r="BH445" i="5" s="1"/>
  <c r="BI445" i="5" a="1"/>
  <c r="BI445" i="5" s="1"/>
  <c r="BJ445" i="5" a="1"/>
  <c r="BJ445" i="5" s="1"/>
  <c r="BK445" i="5" a="1"/>
  <c r="BK445" i="5" s="1"/>
  <c r="BL445" i="5"/>
  <c r="BG446" i="5"/>
  <c r="BH446" i="5" a="1"/>
  <c r="BH446" i="5" s="1"/>
  <c r="BI446" i="5" a="1"/>
  <c r="BI446" i="5"/>
  <c r="BJ446" i="5" a="1"/>
  <c r="BJ446" i="5" s="1"/>
  <c r="BK446" i="5" a="1"/>
  <c r="BK446" i="5" s="1"/>
  <c r="BL446" i="5"/>
  <c r="BG447" i="5"/>
  <c r="BH447" i="5" a="1"/>
  <c r="BH447" i="5" s="1"/>
  <c r="BI447" i="5" a="1"/>
  <c r="BI447" i="5" s="1"/>
  <c r="BJ447" i="5" a="1"/>
  <c r="BJ447" i="5"/>
  <c r="BK447" i="5" a="1"/>
  <c r="BK447" i="5" s="1"/>
  <c r="BL447" i="5"/>
  <c r="BG448" i="5"/>
  <c r="BH448" i="5" a="1"/>
  <c r="BH448" i="5" s="1"/>
  <c r="BI448" i="5" a="1"/>
  <c r="BI448" i="5" s="1"/>
  <c r="BJ448" i="5" a="1"/>
  <c r="BJ448" i="5" s="1"/>
  <c r="BK448" i="5" a="1"/>
  <c r="BK448" i="5" s="1"/>
  <c r="BL448" i="5"/>
  <c r="BG449" i="5"/>
  <c r="BH449" i="5" a="1"/>
  <c r="BH449" i="5" s="1"/>
  <c r="BI449" i="5" a="1"/>
  <c r="BI449" i="5" s="1"/>
  <c r="BJ449" i="5" a="1"/>
  <c r="BJ449" i="5" s="1"/>
  <c r="BK449" i="5" a="1"/>
  <c r="BK449" i="5" s="1"/>
  <c r="BL449" i="5"/>
  <c r="BG450" i="5"/>
  <c r="BH450" i="5" a="1"/>
  <c r="BH450" i="5" s="1"/>
  <c r="BI450" i="5" a="1"/>
  <c r="BI450" i="5" s="1"/>
  <c r="BJ450" i="5" a="1"/>
  <c r="BJ450" i="5" s="1"/>
  <c r="BK450" i="5" a="1"/>
  <c r="BK450" i="5" s="1"/>
  <c r="BL450" i="5"/>
  <c r="BG451" i="5"/>
  <c r="BH451" i="5" a="1"/>
  <c r="BH451" i="5" s="1"/>
  <c r="BI451" i="5" a="1"/>
  <c r="BI451" i="5" s="1"/>
  <c r="BJ451" i="5" a="1"/>
  <c r="BJ451" i="5" s="1"/>
  <c r="BK451" i="5" a="1"/>
  <c r="BK451" i="5" s="1"/>
  <c r="BL451" i="5"/>
  <c r="BG452" i="5"/>
  <c r="BH452" i="5" a="1"/>
  <c r="BH452" i="5" s="1"/>
  <c r="BI452" i="5" a="1"/>
  <c r="BI452" i="5" s="1"/>
  <c r="BJ452" i="5" a="1"/>
  <c r="BJ452" i="5" s="1"/>
  <c r="BK452" i="5" a="1"/>
  <c r="BK452" i="5" s="1"/>
  <c r="BL452" i="5"/>
  <c r="BG453" i="5"/>
  <c r="BH453" i="5" a="1"/>
  <c r="BH453" i="5" s="1"/>
  <c r="BI453" i="5" a="1"/>
  <c r="BI453" i="5" s="1"/>
  <c r="BJ453" i="5" a="1"/>
  <c r="BJ453" i="5" s="1"/>
  <c r="BK453" i="5" a="1"/>
  <c r="BK453" i="5" s="1"/>
  <c r="BL453" i="5"/>
  <c r="BG454" i="5"/>
  <c r="BH454" i="5" a="1"/>
  <c r="BH454" i="5" s="1"/>
  <c r="BI454" i="5" a="1"/>
  <c r="BI454" i="5" s="1"/>
  <c r="BJ454" i="5" a="1"/>
  <c r="BJ454" i="5" s="1"/>
  <c r="BK454" i="5" a="1"/>
  <c r="BK454" i="5" s="1"/>
  <c r="BL454" i="5"/>
  <c r="BG455" i="5"/>
  <c r="BH455" i="5" a="1"/>
  <c r="BH455" i="5" s="1"/>
  <c r="BI455" i="5" a="1"/>
  <c r="BI455" i="5" s="1"/>
  <c r="BJ455" i="5" a="1"/>
  <c r="BJ455" i="5" s="1"/>
  <c r="BK455" i="5" a="1"/>
  <c r="BK455" i="5" s="1"/>
  <c r="BL455" i="5"/>
  <c r="BG456" i="5"/>
  <c r="BH456" i="5" a="1"/>
  <c r="BH456" i="5" s="1"/>
  <c r="BI456" i="5" a="1"/>
  <c r="BI456" i="5" s="1"/>
  <c r="BJ456" i="5" a="1"/>
  <c r="BJ456" i="5" s="1"/>
  <c r="BK456" i="5" a="1"/>
  <c r="BK456" i="5" s="1"/>
  <c r="BL456" i="5"/>
  <c r="BG457" i="5"/>
  <c r="BH457" i="5" a="1"/>
  <c r="BH457" i="5" s="1"/>
  <c r="BI457" i="5" a="1"/>
  <c r="BI457" i="5" s="1"/>
  <c r="BJ457" i="5" a="1"/>
  <c r="BJ457" i="5" s="1"/>
  <c r="BK457" i="5" a="1"/>
  <c r="BK457" i="5" s="1"/>
  <c r="BL457" i="5"/>
  <c r="BG458" i="5"/>
  <c r="BH458" i="5" a="1"/>
  <c r="BH458" i="5" s="1"/>
  <c r="BI458" i="5" a="1"/>
  <c r="BI458" i="5" s="1"/>
  <c r="BJ458" i="5" a="1"/>
  <c r="BJ458" i="5" s="1"/>
  <c r="BK458" i="5" a="1"/>
  <c r="BK458" i="5" s="1"/>
  <c r="BL458" i="5"/>
  <c r="BG459" i="5"/>
  <c r="BH459" i="5" a="1"/>
  <c r="BH459" i="5" s="1"/>
  <c r="BI459" i="5" a="1"/>
  <c r="BI459" i="5" s="1"/>
  <c r="BJ459" i="5" a="1"/>
  <c r="BJ459" i="5" s="1"/>
  <c r="BK459" i="5" a="1"/>
  <c r="BK459" i="5" s="1"/>
  <c r="BL459" i="5"/>
  <c r="BG460" i="5"/>
  <c r="BH460" i="5" a="1"/>
  <c r="BH460" i="5" s="1"/>
  <c r="BI460" i="5" a="1"/>
  <c r="BI460" i="5" s="1"/>
  <c r="BJ460" i="5" a="1"/>
  <c r="BJ460" i="5" s="1"/>
  <c r="BK460" i="5" a="1"/>
  <c r="BK460" i="5" s="1"/>
  <c r="BL460" i="5"/>
  <c r="BG461" i="5"/>
  <c r="BH461" i="5" a="1"/>
  <c r="BH461" i="5" s="1"/>
  <c r="BI461" i="5" a="1"/>
  <c r="BI461" i="5" s="1"/>
  <c r="BJ461" i="5" a="1"/>
  <c r="BJ461" i="5" s="1"/>
  <c r="BK461" i="5" a="1"/>
  <c r="BK461" i="5" s="1"/>
  <c r="BL461" i="5"/>
  <c r="BG462" i="5"/>
  <c r="BH462" i="5" a="1"/>
  <c r="BH462" i="5" s="1"/>
  <c r="BI462" i="5" a="1"/>
  <c r="BI462" i="5"/>
  <c r="BJ462" i="5" a="1"/>
  <c r="BJ462" i="5" s="1"/>
  <c r="BK462" i="5" a="1"/>
  <c r="BK462" i="5" s="1"/>
  <c r="BL462" i="5"/>
  <c r="BG463" i="5"/>
  <c r="BH463" i="5" a="1"/>
  <c r="BH463" i="5" s="1"/>
  <c r="BI463" i="5" a="1"/>
  <c r="BI463" i="5" s="1"/>
  <c r="BJ463" i="5" a="1"/>
  <c r="BJ463" i="5"/>
  <c r="BK463" i="5" a="1"/>
  <c r="BK463" i="5" s="1"/>
  <c r="BL463" i="5"/>
  <c r="BG464" i="5"/>
  <c r="BH464" i="5" a="1"/>
  <c r="BH464" i="5" s="1"/>
  <c r="BI464" i="5" a="1"/>
  <c r="BI464" i="5" s="1"/>
  <c r="BJ464" i="5" a="1"/>
  <c r="BJ464" i="5" s="1"/>
  <c r="BK464" i="5" a="1"/>
  <c r="BK464" i="5" s="1"/>
  <c r="BL464" i="5"/>
  <c r="BG465" i="5"/>
  <c r="BH465" i="5" a="1"/>
  <c r="BH465" i="5" s="1"/>
  <c r="BI465" i="5" a="1"/>
  <c r="BI465" i="5" s="1"/>
  <c r="BJ465" i="5" a="1"/>
  <c r="BJ465" i="5" s="1"/>
  <c r="BK465" i="5" a="1"/>
  <c r="BK465" i="5" s="1"/>
  <c r="BL465" i="5"/>
  <c r="BG466" i="5"/>
  <c r="BH466" i="5" a="1"/>
  <c r="BH466" i="5" s="1"/>
  <c r="BI466" i="5" a="1"/>
  <c r="BI466" i="5" s="1"/>
  <c r="BJ466" i="5" a="1"/>
  <c r="BJ466" i="5" s="1"/>
  <c r="BK466" i="5" a="1"/>
  <c r="BK466" i="5" s="1"/>
  <c r="BL466" i="5"/>
  <c r="BG467" i="5"/>
  <c r="BH467" i="5" a="1"/>
  <c r="BH467" i="5" s="1"/>
  <c r="BI467" i="5" a="1"/>
  <c r="BI467" i="5" s="1"/>
  <c r="BJ467" i="5" a="1"/>
  <c r="BJ467" i="5" s="1"/>
  <c r="BK467" i="5" a="1"/>
  <c r="BK467" i="5" s="1"/>
  <c r="BL467" i="5"/>
  <c r="BG468" i="5"/>
  <c r="BH468" i="5" a="1"/>
  <c r="BH468" i="5" s="1"/>
  <c r="BI468" i="5" a="1"/>
  <c r="BI468" i="5" s="1"/>
  <c r="BJ468" i="5" a="1"/>
  <c r="BJ468" i="5" s="1"/>
  <c r="BK468" i="5" a="1"/>
  <c r="BK468" i="5" s="1"/>
  <c r="BL468" i="5"/>
  <c r="BG469" i="5"/>
  <c r="BH469" i="5" a="1"/>
  <c r="BH469" i="5" s="1"/>
  <c r="BI469" i="5" a="1"/>
  <c r="BI469" i="5" s="1"/>
  <c r="BJ469" i="5" a="1"/>
  <c r="BJ469" i="5" s="1"/>
  <c r="BK469" i="5" a="1"/>
  <c r="BK469" i="5" s="1"/>
  <c r="BL469" i="5"/>
  <c r="BG470" i="5"/>
  <c r="BH470" i="5" a="1"/>
  <c r="BH470" i="5" s="1"/>
  <c r="BI470" i="5" a="1"/>
  <c r="BI470" i="5" s="1"/>
  <c r="BJ470" i="5" a="1"/>
  <c r="BJ470" i="5" s="1"/>
  <c r="BK470" i="5" a="1"/>
  <c r="BK470" i="5" s="1"/>
  <c r="BL470" i="5"/>
  <c r="BG471" i="5"/>
  <c r="BH471" i="5" a="1"/>
  <c r="BH471" i="5" s="1"/>
  <c r="BI471" i="5" a="1"/>
  <c r="BI471" i="5" s="1"/>
  <c r="BJ471" i="5" a="1"/>
  <c r="BJ471" i="5" s="1"/>
  <c r="BK471" i="5" a="1"/>
  <c r="BK471" i="5" s="1"/>
  <c r="BL471" i="5"/>
  <c r="BG472" i="5"/>
  <c r="BH472" i="5" a="1"/>
  <c r="BH472" i="5" s="1"/>
  <c r="BI472" i="5" a="1"/>
  <c r="BI472" i="5" s="1"/>
  <c r="BJ472" i="5" a="1"/>
  <c r="BJ472" i="5" s="1"/>
  <c r="BK472" i="5" a="1"/>
  <c r="BK472" i="5" s="1"/>
  <c r="BL472" i="5"/>
  <c r="BG473" i="5"/>
  <c r="BH473" i="5" a="1"/>
  <c r="BH473" i="5" s="1"/>
  <c r="BI473" i="5" a="1"/>
  <c r="BI473" i="5" s="1"/>
  <c r="BJ473" i="5" a="1"/>
  <c r="BJ473" i="5" s="1"/>
  <c r="BK473" i="5" a="1"/>
  <c r="BK473" i="5" s="1"/>
  <c r="BL473" i="5"/>
  <c r="BG474" i="5"/>
  <c r="BH474" i="5" a="1"/>
  <c r="BH474" i="5" s="1"/>
  <c r="BI474" i="5" a="1"/>
  <c r="BI474" i="5" s="1"/>
  <c r="BJ474" i="5" a="1"/>
  <c r="BJ474" i="5" s="1"/>
  <c r="BK474" i="5" a="1"/>
  <c r="BK474" i="5" s="1"/>
  <c r="BL474" i="5"/>
  <c r="BG475" i="5"/>
  <c r="BH475" i="5" a="1"/>
  <c r="BH475" i="5" s="1"/>
  <c r="BI475" i="5" a="1"/>
  <c r="BI475" i="5" s="1"/>
  <c r="BJ475" i="5" a="1"/>
  <c r="BJ475" i="5" s="1"/>
  <c r="BK475" i="5" a="1"/>
  <c r="BK475" i="5" s="1"/>
  <c r="BL475" i="5"/>
  <c r="BG476" i="5"/>
  <c r="BH476" i="5" a="1"/>
  <c r="BH476" i="5" s="1"/>
  <c r="BI476" i="5" a="1"/>
  <c r="BI476" i="5" s="1"/>
  <c r="BJ476" i="5" a="1"/>
  <c r="BJ476" i="5" s="1"/>
  <c r="BK476" i="5" a="1"/>
  <c r="BK476" i="5" s="1"/>
  <c r="BL476" i="5"/>
  <c r="BG477" i="5"/>
  <c r="BH477" i="5" a="1"/>
  <c r="BH477" i="5" s="1"/>
  <c r="BI477" i="5" a="1"/>
  <c r="BI477" i="5" s="1"/>
  <c r="BJ477" i="5" a="1"/>
  <c r="BJ477" i="5" s="1"/>
  <c r="BK477" i="5" a="1"/>
  <c r="BK477" i="5" s="1"/>
  <c r="BL477" i="5"/>
  <c r="BG478" i="5"/>
  <c r="BH478" i="5" a="1"/>
  <c r="BH478" i="5" s="1"/>
  <c r="BI478" i="5" a="1"/>
  <c r="BI478" i="5"/>
  <c r="BJ478" i="5" a="1"/>
  <c r="BJ478" i="5" s="1"/>
  <c r="BK478" i="5" a="1"/>
  <c r="BK478" i="5" s="1"/>
  <c r="BL478" i="5"/>
  <c r="BG479" i="5"/>
  <c r="BH479" i="5" a="1"/>
  <c r="BH479" i="5" s="1"/>
  <c r="BI479" i="5" a="1"/>
  <c r="BI479" i="5" s="1"/>
  <c r="BJ479" i="5" a="1"/>
  <c r="BJ479" i="5"/>
  <c r="BK479" i="5" a="1"/>
  <c r="BK479" i="5" s="1"/>
  <c r="BL479" i="5"/>
  <c r="BG480" i="5"/>
  <c r="BH480" i="5" a="1"/>
  <c r="BH480" i="5" s="1"/>
  <c r="BI480" i="5" a="1"/>
  <c r="BI480" i="5" s="1"/>
  <c r="BJ480" i="5" a="1"/>
  <c r="BJ480" i="5" s="1"/>
  <c r="BK480" i="5" a="1"/>
  <c r="BK480" i="5" s="1"/>
  <c r="BL480" i="5"/>
  <c r="BG481" i="5"/>
  <c r="BH481" i="5" a="1"/>
  <c r="BH481" i="5" s="1"/>
  <c r="BI481" i="5" a="1"/>
  <c r="BI481" i="5" s="1"/>
  <c r="BJ481" i="5" a="1"/>
  <c r="BJ481" i="5" s="1"/>
  <c r="BK481" i="5" a="1"/>
  <c r="BK481" i="5" s="1"/>
  <c r="BL481" i="5"/>
  <c r="BG482" i="5"/>
  <c r="BH482" i="5" a="1"/>
  <c r="BH482" i="5" s="1"/>
  <c r="BI482" i="5" a="1"/>
  <c r="BI482" i="5" s="1"/>
  <c r="BJ482" i="5" a="1"/>
  <c r="BJ482" i="5" s="1"/>
  <c r="BK482" i="5" a="1"/>
  <c r="BK482" i="5" s="1"/>
  <c r="BL482" i="5"/>
  <c r="BG483" i="5"/>
  <c r="BH483" i="5" a="1"/>
  <c r="BH483" i="5" s="1"/>
  <c r="BI483" i="5" a="1"/>
  <c r="BI483" i="5" s="1"/>
  <c r="BJ483" i="5" a="1"/>
  <c r="BJ483" i="5" s="1"/>
  <c r="BK483" i="5" a="1"/>
  <c r="BK483" i="5" s="1"/>
  <c r="BL483" i="5"/>
  <c r="BG484" i="5"/>
  <c r="BH484" i="5" a="1"/>
  <c r="BH484" i="5" s="1"/>
  <c r="BI484" i="5" a="1"/>
  <c r="BI484" i="5" s="1"/>
  <c r="BJ484" i="5" a="1"/>
  <c r="BJ484" i="5" s="1"/>
  <c r="BK484" i="5" a="1"/>
  <c r="BK484" i="5" s="1"/>
  <c r="BL484" i="5"/>
  <c r="BG485" i="5"/>
  <c r="BH485" i="5" a="1"/>
  <c r="BH485" i="5" s="1"/>
  <c r="BI485" i="5" a="1"/>
  <c r="BI485" i="5" s="1"/>
  <c r="BJ485" i="5" a="1"/>
  <c r="BJ485" i="5" s="1"/>
  <c r="BK485" i="5" a="1"/>
  <c r="BK485" i="5" s="1"/>
  <c r="BL485" i="5"/>
  <c r="BG486" i="5"/>
  <c r="BH486" i="5" a="1"/>
  <c r="BH486" i="5" s="1"/>
  <c r="BI486" i="5" a="1"/>
  <c r="BI486" i="5" s="1"/>
  <c r="BJ486" i="5" a="1"/>
  <c r="BJ486" i="5" s="1"/>
  <c r="BK486" i="5" a="1"/>
  <c r="BK486" i="5" s="1"/>
  <c r="BL486" i="5"/>
  <c r="BG487" i="5"/>
  <c r="BH487" i="5" a="1"/>
  <c r="BH487" i="5" s="1"/>
  <c r="BI487" i="5" a="1"/>
  <c r="BI487" i="5" s="1"/>
  <c r="BJ487" i="5" a="1"/>
  <c r="BJ487" i="5" s="1"/>
  <c r="BK487" i="5" a="1"/>
  <c r="BK487" i="5" s="1"/>
  <c r="BL487" i="5"/>
  <c r="BG488" i="5"/>
  <c r="BH488" i="5" a="1"/>
  <c r="BH488" i="5" s="1"/>
  <c r="BI488" i="5" a="1"/>
  <c r="BI488" i="5" s="1"/>
  <c r="BJ488" i="5" a="1"/>
  <c r="BJ488" i="5" s="1"/>
  <c r="BK488" i="5" a="1"/>
  <c r="BK488" i="5" s="1"/>
  <c r="BL488" i="5"/>
  <c r="BG489" i="5"/>
  <c r="BH489" i="5" a="1"/>
  <c r="BH489" i="5" s="1"/>
  <c r="BI489" i="5" a="1"/>
  <c r="BI489" i="5" s="1"/>
  <c r="BJ489" i="5" a="1"/>
  <c r="BJ489" i="5" s="1"/>
  <c r="BK489" i="5" a="1"/>
  <c r="BK489" i="5" s="1"/>
  <c r="BL489" i="5"/>
  <c r="BG490" i="5"/>
  <c r="BH490" i="5" a="1"/>
  <c r="BH490" i="5" s="1"/>
  <c r="BI490" i="5" a="1"/>
  <c r="BI490" i="5" s="1"/>
  <c r="BJ490" i="5" a="1"/>
  <c r="BJ490" i="5" s="1"/>
  <c r="BK490" i="5" a="1"/>
  <c r="BK490" i="5" s="1"/>
  <c r="BL490" i="5"/>
  <c r="BG491" i="5"/>
  <c r="BH491" i="5" a="1"/>
  <c r="BH491" i="5" s="1"/>
  <c r="BI491" i="5" a="1"/>
  <c r="BI491" i="5" s="1"/>
  <c r="BJ491" i="5" a="1"/>
  <c r="BJ491" i="5" s="1"/>
  <c r="BK491" i="5" a="1"/>
  <c r="BK491" i="5" s="1"/>
  <c r="BL491" i="5"/>
  <c r="BG492" i="5"/>
  <c r="BH492" i="5" a="1"/>
  <c r="BH492" i="5" s="1"/>
  <c r="BI492" i="5" a="1"/>
  <c r="BI492" i="5" s="1"/>
  <c r="BJ492" i="5" a="1"/>
  <c r="BJ492" i="5" s="1"/>
  <c r="BK492" i="5" a="1"/>
  <c r="BK492" i="5" s="1"/>
  <c r="BL492" i="5"/>
  <c r="BG493" i="5"/>
  <c r="BH493" i="5" a="1"/>
  <c r="BH493" i="5" s="1"/>
  <c r="BI493" i="5" a="1"/>
  <c r="BI493" i="5" s="1"/>
  <c r="BJ493" i="5" a="1"/>
  <c r="BJ493" i="5" s="1"/>
  <c r="BK493" i="5" a="1"/>
  <c r="BK493" i="5" s="1"/>
  <c r="BL493" i="5"/>
  <c r="BG494" i="5"/>
  <c r="BH494" i="5" a="1"/>
  <c r="BH494" i="5" s="1"/>
  <c r="BI494" i="5" a="1"/>
  <c r="BI494" i="5"/>
  <c r="BJ494" i="5" a="1"/>
  <c r="BJ494" i="5" s="1"/>
  <c r="BK494" i="5" a="1"/>
  <c r="BK494" i="5" s="1"/>
  <c r="BL494" i="5"/>
  <c r="BG495" i="5"/>
  <c r="BH495" i="5" a="1"/>
  <c r="BH495" i="5" s="1"/>
  <c r="BI495" i="5" a="1"/>
  <c r="BI495" i="5" s="1"/>
  <c r="BJ495" i="5" a="1"/>
  <c r="BJ495" i="5"/>
  <c r="BK495" i="5" a="1"/>
  <c r="BK495" i="5" s="1"/>
  <c r="BL495" i="5"/>
  <c r="BG496" i="5"/>
  <c r="BH496" i="5" a="1"/>
  <c r="BH496" i="5" s="1"/>
  <c r="BI496" i="5" a="1"/>
  <c r="BI496" i="5" s="1"/>
  <c r="BJ496" i="5" a="1"/>
  <c r="BJ496" i="5" s="1"/>
  <c r="BK496" i="5" a="1"/>
  <c r="BK496" i="5" s="1"/>
  <c r="BL496" i="5"/>
  <c r="BG497" i="5"/>
  <c r="BH497" i="5" a="1"/>
  <c r="BH497" i="5" s="1"/>
  <c r="BI497" i="5" a="1"/>
  <c r="BI497" i="5" s="1"/>
  <c r="BJ497" i="5" a="1"/>
  <c r="BJ497" i="5" s="1"/>
  <c r="BK497" i="5" a="1"/>
  <c r="BK497" i="5" s="1"/>
  <c r="BL497" i="5"/>
  <c r="BG498" i="5"/>
  <c r="BH498" i="5" a="1"/>
  <c r="BH498" i="5" s="1"/>
  <c r="BI498" i="5" a="1"/>
  <c r="BI498" i="5" s="1"/>
  <c r="BJ498" i="5" a="1"/>
  <c r="BJ498" i="5" s="1"/>
  <c r="BK498" i="5" a="1"/>
  <c r="BK498" i="5" s="1"/>
  <c r="BL498" i="5"/>
  <c r="BG499" i="5"/>
  <c r="BH499" i="5" a="1"/>
  <c r="BH499" i="5" s="1"/>
  <c r="BI499" i="5" a="1"/>
  <c r="BI499" i="5" s="1"/>
  <c r="BJ499" i="5" a="1"/>
  <c r="BJ499" i="5" s="1"/>
  <c r="BK499" i="5" a="1"/>
  <c r="BK499" i="5" s="1"/>
  <c r="BL499" i="5"/>
  <c r="BG500" i="5"/>
  <c r="BH500" i="5" a="1"/>
  <c r="BH500" i="5" s="1"/>
  <c r="BI500" i="5" a="1"/>
  <c r="BI500" i="5" s="1"/>
  <c r="BJ500" i="5" a="1"/>
  <c r="BJ500" i="5" s="1"/>
  <c r="BK500" i="5" a="1"/>
  <c r="BK500" i="5" s="1"/>
  <c r="BL500" i="5"/>
  <c r="BG501" i="5"/>
  <c r="BH501" i="5" a="1"/>
  <c r="BH501" i="5" s="1"/>
  <c r="BI501" i="5" a="1"/>
  <c r="BI501" i="5" s="1"/>
  <c r="BJ501" i="5" a="1"/>
  <c r="BJ501" i="5" s="1"/>
  <c r="BK501" i="5" a="1"/>
  <c r="BK501" i="5" s="1"/>
  <c r="BL501" i="5"/>
  <c r="BO3" i="5"/>
  <c r="BO4" i="5"/>
  <c r="BO5" i="5"/>
  <c r="BO6" i="5"/>
  <c r="BO7" i="5"/>
  <c r="BO8" i="5"/>
  <c r="BO9" i="5"/>
  <c r="BO10" i="5"/>
  <c r="BO11" i="5"/>
  <c r="BO12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72" i="5"/>
  <c r="BO73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92" i="5"/>
  <c r="BO93" i="5"/>
  <c r="BO94" i="5"/>
  <c r="BO95" i="5"/>
  <c r="BO96" i="5"/>
  <c r="BO97" i="5"/>
  <c r="BO98" i="5"/>
  <c r="BO99" i="5"/>
  <c r="BO100" i="5"/>
  <c r="BO101" i="5"/>
  <c r="BO102" i="5"/>
  <c r="BO103" i="5"/>
  <c r="BO104" i="5"/>
  <c r="BO105" i="5"/>
  <c r="BO106" i="5"/>
  <c r="BO107" i="5"/>
  <c r="BO108" i="5"/>
  <c r="BO109" i="5"/>
  <c r="BO110" i="5"/>
  <c r="BO111" i="5"/>
  <c r="BO112" i="5"/>
  <c r="BO113" i="5"/>
  <c r="BO114" i="5"/>
  <c r="BO115" i="5"/>
  <c r="BO116" i="5"/>
  <c r="BO117" i="5"/>
  <c r="BO118" i="5"/>
  <c r="BO119" i="5"/>
  <c r="BO120" i="5"/>
  <c r="BO121" i="5"/>
  <c r="BO122" i="5"/>
  <c r="BO123" i="5"/>
  <c r="BO124" i="5"/>
  <c r="BO125" i="5"/>
  <c r="BO126" i="5"/>
  <c r="BO127" i="5"/>
  <c r="BO128" i="5"/>
  <c r="BO129" i="5"/>
  <c r="BO130" i="5"/>
  <c r="BO131" i="5"/>
  <c r="BO132" i="5"/>
  <c r="BO133" i="5"/>
  <c r="BO134" i="5"/>
  <c r="BO135" i="5"/>
  <c r="BO136" i="5"/>
  <c r="BO137" i="5"/>
  <c r="BO138" i="5"/>
  <c r="BO139" i="5"/>
  <c r="BO140" i="5"/>
  <c r="BO141" i="5"/>
  <c r="BO142" i="5"/>
  <c r="BO143" i="5"/>
  <c r="BO144" i="5"/>
  <c r="BO145" i="5"/>
  <c r="BO146" i="5"/>
  <c r="BO147" i="5"/>
  <c r="BO148" i="5"/>
  <c r="BO149" i="5"/>
  <c r="BO150" i="5"/>
  <c r="BO151" i="5"/>
  <c r="BO152" i="5"/>
  <c r="BO153" i="5"/>
  <c r="BO154" i="5"/>
  <c r="BO155" i="5"/>
  <c r="BO156" i="5"/>
  <c r="BO157" i="5"/>
  <c r="BO158" i="5"/>
  <c r="BO159" i="5"/>
  <c r="BO160" i="5"/>
  <c r="BO161" i="5"/>
  <c r="BO162" i="5"/>
  <c r="BO163" i="5"/>
  <c r="BO164" i="5"/>
  <c r="BO165" i="5"/>
  <c r="BO166" i="5"/>
  <c r="BO167" i="5"/>
  <c r="BO168" i="5"/>
  <c r="BO169" i="5"/>
  <c r="BO170" i="5"/>
  <c r="BO171" i="5"/>
  <c r="BO172" i="5"/>
  <c r="BO173" i="5"/>
  <c r="BO174" i="5"/>
  <c r="BO175" i="5"/>
  <c r="BO176" i="5"/>
  <c r="BO177" i="5"/>
  <c r="BO178" i="5"/>
  <c r="BO179" i="5"/>
  <c r="BO180" i="5"/>
  <c r="BO181" i="5"/>
  <c r="BO182" i="5"/>
  <c r="BO183" i="5"/>
  <c r="BO184" i="5"/>
  <c r="BO185" i="5"/>
  <c r="BO186" i="5"/>
  <c r="BO187" i="5"/>
  <c r="BO188" i="5"/>
  <c r="BO189" i="5"/>
  <c r="BO190" i="5"/>
  <c r="BO191" i="5"/>
  <c r="BO192" i="5"/>
  <c r="BO193" i="5"/>
  <c r="BO194" i="5"/>
  <c r="BO195" i="5"/>
  <c r="BO196" i="5"/>
  <c r="BO197" i="5"/>
  <c r="BO198" i="5"/>
  <c r="BO199" i="5"/>
  <c r="BO200" i="5"/>
  <c r="BO201" i="5"/>
  <c r="BO202" i="5"/>
  <c r="BO203" i="5"/>
  <c r="BO204" i="5"/>
  <c r="BO205" i="5"/>
  <c r="BO206" i="5"/>
  <c r="BO207" i="5"/>
  <c r="BO208" i="5"/>
  <c r="BO209" i="5"/>
  <c r="BO210" i="5"/>
  <c r="BO211" i="5"/>
  <c r="BO212" i="5"/>
  <c r="BO213" i="5"/>
  <c r="BO214" i="5"/>
  <c r="BO215" i="5"/>
  <c r="BO216" i="5"/>
  <c r="BO217" i="5"/>
  <c r="BO218" i="5"/>
  <c r="BO219" i="5"/>
  <c r="BO220" i="5"/>
  <c r="BO221" i="5"/>
  <c r="BO222" i="5"/>
  <c r="BO223" i="5"/>
  <c r="BO224" i="5"/>
  <c r="BO225" i="5"/>
  <c r="BO226" i="5"/>
  <c r="BO227" i="5"/>
  <c r="BO228" i="5"/>
  <c r="BO229" i="5"/>
  <c r="BO230" i="5"/>
  <c r="BO231" i="5"/>
  <c r="BO232" i="5"/>
  <c r="BO233" i="5"/>
  <c r="BO234" i="5"/>
  <c r="BO235" i="5"/>
  <c r="BO236" i="5"/>
  <c r="BO237" i="5"/>
  <c r="BO238" i="5"/>
  <c r="BO239" i="5"/>
  <c r="BO240" i="5"/>
  <c r="BO241" i="5"/>
  <c r="BO242" i="5"/>
  <c r="BO243" i="5"/>
  <c r="BO244" i="5"/>
  <c r="BO245" i="5"/>
  <c r="BO246" i="5"/>
  <c r="BO247" i="5"/>
  <c r="BO248" i="5"/>
  <c r="BO249" i="5"/>
  <c r="BO250" i="5"/>
  <c r="BO251" i="5"/>
  <c r="BO252" i="5"/>
  <c r="BO253" i="5"/>
  <c r="BO254" i="5"/>
  <c r="BO255" i="5"/>
  <c r="BO256" i="5"/>
  <c r="BO257" i="5"/>
  <c r="BO258" i="5"/>
  <c r="BO259" i="5"/>
  <c r="BO260" i="5"/>
  <c r="BO261" i="5"/>
  <c r="BO262" i="5"/>
  <c r="BO263" i="5"/>
  <c r="BO264" i="5"/>
  <c r="BO265" i="5"/>
  <c r="BO266" i="5"/>
  <c r="BO267" i="5"/>
  <c r="BO268" i="5"/>
  <c r="BO269" i="5"/>
  <c r="BO270" i="5"/>
  <c r="BO271" i="5"/>
  <c r="BO272" i="5"/>
  <c r="BO273" i="5"/>
  <c r="BO274" i="5"/>
  <c r="BO275" i="5"/>
  <c r="BO276" i="5"/>
  <c r="BO277" i="5"/>
  <c r="BO278" i="5"/>
  <c r="BO279" i="5"/>
  <c r="BO280" i="5"/>
  <c r="BO281" i="5"/>
  <c r="BO282" i="5"/>
  <c r="BO283" i="5"/>
  <c r="BO284" i="5"/>
  <c r="BO285" i="5"/>
  <c r="BO286" i="5"/>
  <c r="BO287" i="5"/>
  <c r="BO288" i="5"/>
  <c r="BO289" i="5"/>
  <c r="BO290" i="5"/>
  <c r="BO291" i="5"/>
  <c r="BO292" i="5"/>
  <c r="BO293" i="5"/>
  <c r="BO294" i="5"/>
  <c r="BO295" i="5"/>
  <c r="BO296" i="5"/>
  <c r="BO297" i="5"/>
  <c r="BO298" i="5"/>
  <c r="BO299" i="5"/>
  <c r="BO300" i="5"/>
  <c r="BO301" i="5"/>
  <c r="BO302" i="5"/>
  <c r="BO303" i="5"/>
  <c r="BO304" i="5"/>
  <c r="BO305" i="5"/>
  <c r="BO306" i="5"/>
  <c r="BO307" i="5"/>
  <c r="BO308" i="5"/>
  <c r="BO309" i="5"/>
  <c r="BO310" i="5"/>
  <c r="BO311" i="5"/>
  <c r="BO312" i="5"/>
  <c r="BO313" i="5"/>
  <c r="BO314" i="5"/>
  <c r="BO315" i="5"/>
  <c r="BO316" i="5"/>
  <c r="BO317" i="5"/>
  <c r="BO318" i="5"/>
  <c r="BO319" i="5"/>
  <c r="BO320" i="5"/>
  <c r="BO321" i="5"/>
  <c r="BO322" i="5"/>
  <c r="BO323" i="5"/>
  <c r="BO324" i="5"/>
  <c r="BO325" i="5"/>
  <c r="BO326" i="5"/>
  <c r="BO327" i="5"/>
  <c r="BO328" i="5"/>
  <c r="BO329" i="5"/>
  <c r="BO330" i="5"/>
  <c r="BO331" i="5"/>
  <c r="BO332" i="5"/>
  <c r="BO333" i="5"/>
  <c r="BO334" i="5"/>
  <c r="BO335" i="5"/>
  <c r="BO336" i="5"/>
  <c r="BO337" i="5"/>
  <c r="BO338" i="5"/>
  <c r="BO339" i="5"/>
  <c r="BO340" i="5"/>
  <c r="BO341" i="5"/>
  <c r="BO342" i="5"/>
  <c r="BO343" i="5"/>
  <c r="BO344" i="5"/>
  <c r="BO345" i="5"/>
  <c r="BO346" i="5"/>
  <c r="BO347" i="5"/>
  <c r="BO348" i="5"/>
  <c r="BO349" i="5"/>
  <c r="BO350" i="5"/>
  <c r="BO351" i="5"/>
  <c r="BO352" i="5"/>
  <c r="BO353" i="5"/>
  <c r="BO354" i="5"/>
  <c r="BO355" i="5"/>
  <c r="BO356" i="5"/>
  <c r="BO357" i="5"/>
  <c r="BO358" i="5"/>
  <c r="BO359" i="5"/>
  <c r="BO360" i="5"/>
  <c r="BO361" i="5"/>
  <c r="BO362" i="5"/>
  <c r="BO363" i="5"/>
  <c r="BO364" i="5"/>
  <c r="BO365" i="5"/>
  <c r="BO366" i="5"/>
  <c r="BO367" i="5"/>
  <c r="BO368" i="5"/>
  <c r="BO369" i="5"/>
  <c r="BO370" i="5"/>
  <c r="BO371" i="5"/>
  <c r="BO372" i="5"/>
  <c r="BO373" i="5"/>
  <c r="BO374" i="5"/>
  <c r="BO375" i="5"/>
  <c r="BO376" i="5"/>
  <c r="BO377" i="5"/>
  <c r="BO378" i="5"/>
  <c r="BO379" i="5"/>
  <c r="BO380" i="5"/>
  <c r="BO381" i="5"/>
  <c r="BO382" i="5"/>
  <c r="BO383" i="5"/>
  <c r="BO384" i="5"/>
  <c r="BO385" i="5"/>
  <c r="BO386" i="5"/>
  <c r="BO387" i="5"/>
  <c r="BO388" i="5"/>
  <c r="BO389" i="5"/>
  <c r="BO390" i="5"/>
  <c r="BO391" i="5"/>
  <c r="BO392" i="5"/>
  <c r="BO393" i="5"/>
  <c r="BO394" i="5"/>
  <c r="BO395" i="5"/>
  <c r="BO396" i="5"/>
  <c r="BO397" i="5"/>
  <c r="BO398" i="5"/>
  <c r="BO399" i="5"/>
  <c r="BO400" i="5"/>
  <c r="BO401" i="5"/>
  <c r="BO402" i="5"/>
  <c r="BO403" i="5"/>
  <c r="BO404" i="5"/>
  <c r="BO405" i="5"/>
  <c r="BO406" i="5"/>
  <c r="BO407" i="5"/>
  <c r="BO408" i="5"/>
  <c r="BO409" i="5"/>
  <c r="BO410" i="5"/>
  <c r="BO411" i="5"/>
  <c r="BO412" i="5"/>
  <c r="BO413" i="5"/>
  <c r="BO414" i="5"/>
  <c r="BO415" i="5"/>
  <c r="BO416" i="5"/>
  <c r="BO417" i="5"/>
  <c r="BO418" i="5"/>
  <c r="BO419" i="5"/>
  <c r="BO420" i="5"/>
  <c r="BO421" i="5"/>
  <c r="BO422" i="5"/>
  <c r="BO423" i="5"/>
  <c r="BO424" i="5"/>
  <c r="BO425" i="5"/>
  <c r="BO426" i="5"/>
  <c r="BO427" i="5"/>
  <c r="BO428" i="5"/>
  <c r="BO429" i="5"/>
  <c r="BO430" i="5"/>
  <c r="BO431" i="5"/>
  <c r="BO432" i="5"/>
  <c r="BO433" i="5"/>
  <c r="BO434" i="5"/>
  <c r="BO435" i="5"/>
  <c r="BO436" i="5"/>
  <c r="BO437" i="5"/>
  <c r="BO438" i="5"/>
  <c r="BO439" i="5"/>
  <c r="BO440" i="5"/>
  <c r="BO441" i="5"/>
  <c r="BO442" i="5"/>
  <c r="BO443" i="5"/>
  <c r="BO444" i="5"/>
  <c r="BO445" i="5"/>
  <c r="BO446" i="5"/>
  <c r="BO447" i="5"/>
  <c r="BO448" i="5"/>
  <c r="BO449" i="5"/>
  <c r="BO450" i="5"/>
  <c r="BO451" i="5"/>
  <c r="BO452" i="5"/>
  <c r="BO453" i="5"/>
  <c r="BO454" i="5"/>
  <c r="BO455" i="5"/>
  <c r="BO456" i="5"/>
  <c r="BO457" i="5"/>
  <c r="BO458" i="5"/>
  <c r="BO459" i="5"/>
  <c r="BO460" i="5"/>
  <c r="BO461" i="5"/>
  <c r="BO462" i="5"/>
  <c r="BO463" i="5"/>
  <c r="BO464" i="5"/>
  <c r="BO465" i="5"/>
  <c r="BO466" i="5"/>
  <c r="BO467" i="5"/>
  <c r="BO468" i="5"/>
  <c r="BO469" i="5"/>
  <c r="BO470" i="5"/>
  <c r="BO471" i="5"/>
  <c r="BO472" i="5"/>
  <c r="BO473" i="5"/>
  <c r="BO474" i="5"/>
  <c r="BO475" i="5"/>
  <c r="BO476" i="5"/>
  <c r="BO477" i="5"/>
  <c r="BO478" i="5"/>
  <c r="BO479" i="5"/>
  <c r="BO480" i="5"/>
  <c r="BO481" i="5"/>
  <c r="BO482" i="5"/>
  <c r="BO483" i="5"/>
  <c r="BO484" i="5"/>
  <c r="BO485" i="5"/>
  <c r="BO486" i="5"/>
  <c r="BO487" i="5"/>
  <c r="BO488" i="5"/>
  <c r="BO489" i="5"/>
  <c r="BO490" i="5"/>
  <c r="BO491" i="5"/>
  <c r="BO492" i="5"/>
  <c r="BO493" i="5"/>
  <c r="BO494" i="5"/>
  <c r="BO495" i="5"/>
  <c r="BO496" i="5"/>
  <c r="BO497" i="5"/>
  <c r="BO498" i="5"/>
  <c r="BO499" i="5"/>
  <c r="BO500" i="5"/>
  <c r="BO501" i="5"/>
  <c r="BO2" i="5"/>
  <c r="BN3" i="5"/>
  <c r="BN4" i="5"/>
  <c r="BN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120" i="5"/>
  <c r="BN121" i="5"/>
  <c r="BN122" i="5"/>
  <c r="BN123" i="5"/>
  <c r="BN124" i="5"/>
  <c r="BN125" i="5"/>
  <c r="BN126" i="5"/>
  <c r="BN127" i="5"/>
  <c r="BN128" i="5"/>
  <c r="BN129" i="5"/>
  <c r="BN130" i="5"/>
  <c r="BN131" i="5"/>
  <c r="BN132" i="5"/>
  <c r="BN133" i="5"/>
  <c r="BN134" i="5"/>
  <c r="BN135" i="5"/>
  <c r="BN136" i="5"/>
  <c r="BN137" i="5"/>
  <c r="BN138" i="5"/>
  <c r="BN139" i="5"/>
  <c r="BN140" i="5"/>
  <c r="BN141" i="5"/>
  <c r="BN142" i="5"/>
  <c r="BN143" i="5"/>
  <c r="BN144" i="5"/>
  <c r="BN145" i="5"/>
  <c r="BN146" i="5"/>
  <c r="BN147" i="5"/>
  <c r="BN148" i="5"/>
  <c r="BN149" i="5"/>
  <c r="BN150" i="5"/>
  <c r="BN151" i="5"/>
  <c r="BN152" i="5"/>
  <c r="BN153" i="5"/>
  <c r="BN154" i="5"/>
  <c r="BN155" i="5"/>
  <c r="BN156" i="5"/>
  <c r="BN157" i="5"/>
  <c r="BN158" i="5"/>
  <c r="BN159" i="5"/>
  <c r="BN160" i="5"/>
  <c r="BN161" i="5"/>
  <c r="BN162" i="5"/>
  <c r="BN163" i="5"/>
  <c r="BN164" i="5"/>
  <c r="BN165" i="5"/>
  <c r="BN166" i="5"/>
  <c r="BN167" i="5"/>
  <c r="BN168" i="5"/>
  <c r="BN169" i="5"/>
  <c r="BN170" i="5"/>
  <c r="BN171" i="5"/>
  <c r="BN172" i="5"/>
  <c r="BN173" i="5"/>
  <c r="BN174" i="5"/>
  <c r="BN175" i="5"/>
  <c r="BN176" i="5"/>
  <c r="BN177" i="5"/>
  <c r="BN178" i="5"/>
  <c r="BN179" i="5"/>
  <c r="BN180" i="5"/>
  <c r="BN181" i="5"/>
  <c r="BN182" i="5"/>
  <c r="BN183" i="5"/>
  <c r="BN184" i="5"/>
  <c r="BN185" i="5"/>
  <c r="BN186" i="5"/>
  <c r="BN187" i="5"/>
  <c r="BN188" i="5"/>
  <c r="BN189" i="5"/>
  <c r="BN190" i="5"/>
  <c r="BN191" i="5"/>
  <c r="BN192" i="5"/>
  <c r="BN193" i="5"/>
  <c r="BN194" i="5"/>
  <c r="BN195" i="5"/>
  <c r="BN196" i="5"/>
  <c r="BN197" i="5"/>
  <c r="BN198" i="5"/>
  <c r="BN199" i="5"/>
  <c r="BN200" i="5"/>
  <c r="BN201" i="5"/>
  <c r="BN202" i="5"/>
  <c r="BN203" i="5"/>
  <c r="BN204" i="5"/>
  <c r="BN205" i="5"/>
  <c r="BN206" i="5"/>
  <c r="BN207" i="5"/>
  <c r="BN208" i="5"/>
  <c r="BN209" i="5"/>
  <c r="BN210" i="5"/>
  <c r="BN211" i="5"/>
  <c r="BN212" i="5"/>
  <c r="BN213" i="5"/>
  <c r="BN214" i="5"/>
  <c r="BN215" i="5"/>
  <c r="BN216" i="5"/>
  <c r="BN217" i="5"/>
  <c r="BN218" i="5"/>
  <c r="BN219" i="5"/>
  <c r="BN220" i="5"/>
  <c r="BN221" i="5"/>
  <c r="BN222" i="5"/>
  <c r="BN223" i="5"/>
  <c r="BN224" i="5"/>
  <c r="BN225" i="5"/>
  <c r="BN226" i="5"/>
  <c r="BN227" i="5"/>
  <c r="BN228" i="5"/>
  <c r="BN229" i="5"/>
  <c r="BN230" i="5"/>
  <c r="BN231" i="5"/>
  <c r="BN232" i="5"/>
  <c r="BN233" i="5"/>
  <c r="BN234" i="5"/>
  <c r="BN235" i="5"/>
  <c r="BN236" i="5"/>
  <c r="BN237" i="5"/>
  <c r="BN238" i="5"/>
  <c r="BN239" i="5"/>
  <c r="BN240" i="5"/>
  <c r="BN241" i="5"/>
  <c r="BN242" i="5"/>
  <c r="BN243" i="5"/>
  <c r="BN244" i="5"/>
  <c r="BN245" i="5"/>
  <c r="BN246" i="5"/>
  <c r="BN247" i="5"/>
  <c r="BN248" i="5"/>
  <c r="BN249" i="5"/>
  <c r="BN250" i="5"/>
  <c r="BN251" i="5"/>
  <c r="BN252" i="5"/>
  <c r="BN253" i="5"/>
  <c r="BN254" i="5"/>
  <c r="BN255" i="5"/>
  <c r="BN256" i="5"/>
  <c r="BN257" i="5"/>
  <c r="BN258" i="5"/>
  <c r="BN259" i="5"/>
  <c r="BN260" i="5"/>
  <c r="BN261" i="5"/>
  <c r="BN262" i="5"/>
  <c r="BN263" i="5"/>
  <c r="BN264" i="5"/>
  <c r="BN265" i="5"/>
  <c r="BN266" i="5"/>
  <c r="BN267" i="5"/>
  <c r="BN268" i="5"/>
  <c r="BN269" i="5"/>
  <c r="BN270" i="5"/>
  <c r="BN271" i="5"/>
  <c r="BN272" i="5"/>
  <c r="BN273" i="5"/>
  <c r="BN274" i="5"/>
  <c r="BN275" i="5"/>
  <c r="BN276" i="5"/>
  <c r="BN277" i="5"/>
  <c r="BN278" i="5"/>
  <c r="BN279" i="5"/>
  <c r="BN280" i="5"/>
  <c r="BN281" i="5"/>
  <c r="BN282" i="5"/>
  <c r="BN283" i="5"/>
  <c r="BN284" i="5"/>
  <c r="BN285" i="5"/>
  <c r="BN286" i="5"/>
  <c r="BN287" i="5"/>
  <c r="BN288" i="5"/>
  <c r="BN289" i="5"/>
  <c r="BN290" i="5"/>
  <c r="BN291" i="5"/>
  <c r="BN292" i="5"/>
  <c r="BN293" i="5"/>
  <c r="BN294" i="5"/>
  <c r="BN295" i="5"/>
  <c r="BN296" i="5"/>
  <c r="BN297" i="5"/>
  <c r="BN298" i="5"/>
  <c r="BN299" i="5"/>
  <c r="BN300" i="5"/>
  <c r="BN301" i="5"/>
  <c r="BN302" i="5"/>
  <c r="BN303" i="5"/>
  <c r="BN304" i="5"/>
  <c r="BN305" i="5"/>
  <c r="BN306" i="5"/>
  <c r="BN307" i="5"/>
  <c r="BN308" i="5"/>
  <c r="BN309" i="5"/>
  <c r="BN310" i="5"/>
  <c r="BN311" i="5"/>
  <c r="BN312" i="5"/>
  <c r="BN313" i="5"/>
  <c r="BN314" i="5"/>
  <c r="BN315" i="5"/>
  <c r="BN316" i="5"/>
  <c r="BN317" i="5"/>
  <c r="BN318" i="5"/>
  <c r="BN319" i="5"/>
  <c r="BN320" i="5"/>
  <c r="BN321" i="5"/>
  <c r="BN322" i="5"/>
  <c r="BN323" i="5"/>
  <c r="BN324" i="5"/>
  <c r="BN325" i="5"/>
  <c r="BN326" i="5"/>
  <c r="BN327" i="5"/>
  <c r="BN328" i="5"/>
  <c r="BN329" i="5"/>
  <c r="BN330" i="5"/>
  <c r="BN331" i="5"/>
  <c r="BN332" i="5"/>
  <c r="BN333" i="5"/>
  <c r="BN334" i="5"/>
  <c r="BN335" i="5"/>
  <c r="BN336" i="5"/>
  <c r="BN337" i="5"/>
  <c r="BN338" i="5"/>
  <c r="BN339" i="5"/>
  <c r="BN340" i="5"/>
  <c r="BN341" i="5"/>
  <c r="BN342" i="5"/>
  <c r="BN343" i="5"/>
  <c r="BN344" i="5"/>
  <c r="BN345" i="5"/>
  <c r="BN346" i="5"/>
  <c r="BN347" i="5"/>
  <c r="BN348" i="5"/>
  <c r="BN349" i="5"/>
  <c r="BN350" i="5"/>
  <c r="BN351" i="5"/>
  <c r="BN352" i="5"/>
  <c r="BN353" i="5"/>
  <c r="BN354" i="5"/>
  <c r="BN355" i="5"/>
  <c r="BN356" i="5"/>
  <c r="BN357" i="5"/>
  <c r="BN358" i="5"/>
  <c r="BN359" i="5"/>
  <c r="BN360" i="5"/>
  <c r="BN361" i="5"/>
  <c r="BN362" i="5"/>
  <c r="BN363" i="5"/>
  <c r="BN364" i="5"/>
  <c r="BN365" i="5"/>
  <c r="BN366" i="5"/>
  <c r="BN367" i="5"/>
  <c r="BN368" i="5"/>
  <c r="BN369" i="5"/>
  <c r="BN370" i="5"/>
  <c r="BN371" i="5"/>
  <c r="BN372" i="5"/>
  <c r="BN373" i="5"/>
  <c r="BN374" i="5"/>
  <c r="BN375" i="5"/>
  <c r="BN376" i="5"/>
  <c r="BN377" i="5"/>
  <c r="BN378" i="5"/>
  <c r="BN379" i="5"/>
  <c r="BN380" i="5"/>
  <c r="BN381" i="5"/>
  <c r="BN382" i="5"/>
  <c r="BN383" i="5"/>
  <c r="BN384" i="5"/>
  <c r="BN385" i="5"/>
  <c r="BN386" i="5"/>
  <c r="BN387" i="5"/>
  <c r="BN388" i="5"/>
  <c r="BN389" i="5"/>
  <c r="BN390" i="5"/>
  <c r="BN391" i="5"/>
  <c r="BN392" i="5"/>
  <c r="BN393" i="5"/>
  <c r="BN394" i="5"/>
  <c r="BN395" i="5"/>
  <c r="BN396" i="5"/>
  <c r="BN397" i="5"/>
  <c r="BN398" i="5"/>
  <c r="BN399" i="5"/>
  <c r="BN400" i="5"/>
  <c r="BN401" i="5"/>
  <c r="BN402" i="5"/>
  <c r="BN403" i="5"/>
  <c r="BN404" i="5"/>
  <c r="BN405" i="5"/>
  <c r="BN406" i="5"/>
  <c r="BN407" i="5"/>
  <c r="BN408" i="5"/>
  <c r="BN409" i="5"/>
  <c r="BN410" i="5"/>
  <c r="BN411" i="5"/>
  <c r="BN412" i="5"/>
  <c r="BN413" i="5"/>
  <c r="BN414" i="5"/>
  <c r="BN415" i="5"/>
  <c r="BN416" i="5"/>
  <c r="BN417" i="5"/>
  <c r="BN418" i="5"/>
  <c r="BN419" i="5"/>
  <c r="BN420" i="5"/>
  <c r="BN421" i="5"/>
  <c r="BN422" i="5"/>
  <c r="BN423" i="5"/>
  <c r="BN424" i="5"/>
  <c r="BN425" i="5"/>
  <c r="BN426" i="5"/>
  <c r="BN427" i="5"/>
  <c r="BN428" i="5"/>
  <c r="BN429" i="5"/>
  <c r="BN430" i="5"/>
  <c r="BN431" i="5"/>
  <c r="BN432" i="5"/>
  <c r="BN433" i="5"/>
  <c r="BN434" i="5"/>
  <c r="BN435" i="5"/>
  <c r="BN436" i="5"/>
  <c r="BN437" i="5"/>
  <c r="BN438" i="5"/>
  <c r="BN439" i="5"/>
  <c r="BN440" i="5"/>
  <c r="BN441" i="5"/>
  <c r="BN442" i="5"/>
  <c r="BN443" i="5"/>
  <c r="BN444" i="5"/>
  <c r="BN445" i="5"/>
  <c r="BN446" i="5"/>
  <c r="BN447" i="5"/>
  <c r="BN448" i="5"/>
  <c r="BN449" i="5"/>
  <c r="BN450" i="5"/>
  <c r="BN451" i="5"/>
  <c r="BN452" i="5"/>
  <c r="BN453" i="5"/>
  <c r="BN454" i="5"/>
  <c r="BN455" i="5"/>
  <c r="BN456" i="5"/>
  <c r="BN457" i="5"/>
  <c r="BN458" i="5"/>
  <c r="BN459" i="5"/>
  <c r="BN460" i="5"/>
  <c r="BN461" i="5"/>
  <c r="BN462" i="5"/>
  <c r="BN463" i="5"/>
  <c r="BN464" i="5"/>
  <c r="BN465" i="5"/>
  <c r="BN466" i="5"/>
  <c r="BN467" i="5"/>
  <c r="BN468" i="5"/>
  <c r="BN469" i="5"/>
  <c r="BN470" i="5"/>
  <c r="BN471" i="5"/>
  <c r="BN472" i="5"/>
  <c r="BN473" i="5"/>
  <c r="BN474" i="5"/>
  <c r="BN475" i="5"/>
  <c r="BN476" i="5"/>
  <c r="BN477" i="5"/>
  <c r="BN478" i="5"/>
  <c r="BN479" i="5"/>
  <c r="BN480" i="5"/>
  <c r="BN481" i="5"/>
  <c r="BN482" i="5"/>
  <c r="BN483" i="5"/>
  <c r="BN484" i="5"/>
  <c r="BN485" i="5"/>
  <c r="BN486" i="5"/>
  <c r="BN487" i="5"/>
  <c r="BN488" i="5"/>
  <c r="BN489" i="5"/>
  <c r="BN490" i="5"/>
  <c r="BN491" i="5"/>
  <c r="BN492" i="5"/>
  <c r="BN493" i="5"/>
  <c r="BN494" i="5"/>
  <c r="BN495" i="5"/>
  <c r="BN496" i="5"/>
  <c r="BN497" i="5"/>
  <c r="BN498" i="5"/>
  <c r="BN499" i="5"/>
  <c r="BN500" i="5"/>
  <c r="BN501" i="5"/>
  <c r="BN2" i="5"/>
  <c r="BM3" i="5"/>
  <c r="BM4" i="5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1" i="5"/>
  <c r="BM92" i="5"/>
  <c r="BM93" i="5"/>
  <c r="BM94" i="5"/>
  <c r="BM95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123" i="5"/>
  <c r="BM124" i="5"/>
  <c r="BM125" i="5"/>
  <c r="BM126" i="5"/>
  <c r="BM127" i="5"/>
  <c r="BM128" i="5"/>
  <c r="BM129" i="5"/>
  <c r="BM130" i="5"/>
  <c r="BM131" i="5"/>
  <c r="BM132" i="5"/>
  <c r="BM133" i="5"/>
  <c r="BM134" i="5"/>
  <c r="BM135" i="5"/>
  <c r="BM136" i="5"/>
  <c r="BM137" i="5"/>
  <c r="BM138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53" i="5"/>
  <c r="BM154" i="5"/>
  <c r="BM155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M172" i="5"/>
  <c r="BM173" i="5"/>
  <c r="BM174" i="5"/>
  <c r="BM175" i="5"/>
  <c r="BM176" i="5"/>
  <c r="BM177" i="5"/>
  <c r="BM178" i="5"/>
  <c r="BM179" i="5"/>
  <c r="BM180" i="5"/>
  <c r="BM181" i="5"/>
  <c r="BM182" i="5"/>
  <c r="BM183" i="5"/>
  <c r="BM184" i="5"/>
  <c r="BM185" i="5"/>
  <c r="BM186" i="5"/>
  <c r="BM187" i="5"/>
  <c r="BM188" i="5"/>
  <c r="BM189" i="5"/>
  <c r="BM190" i="5"/>
  <c r="BM191" i="5"/>
  <c r="BM192" i="5"/>
  <c r="BM193" i="5"/>
  <c r="BM194" i="5"/>
  <c r="BM195" i="5"/>
  <c r="BM196" i="5"/>
  <c r="BM197" i="5"/>
  <c r="BM198" i="5"/>
  <c r="BM199" i="5"/>
  <c r="BM200" i="5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M228" i="5"/>
  <c r="BM229" i="5"/>
  <c r="BM230" i="5"/>
  <c r="BM231" i="5"/>
  <c r="BM232" i="5"/>
  <c r="BM233" i="5"/>
  <c r="BM234" i="5"/>
  <c r="BM235" i="5"/>
  <c r="BM236" i="5"/>
  <c r="BM237" i="5"/>
  <c r="BM238" i="5"/>
  <c r="BM239" i="5"/>
  <c r="BM240" i="5"/>
  <c r="BM241" i="5"/>
  <c r="BM242" i="5"/>
  <c r="BM243" i="5"/>
  <c r="BM244" i="5"/>
  <c r="BM245" i="5"/>
  <c r="BM246" i="5"/>
  <c r="BM247" i="5"/>
  <c r="BM248" i="5"/>
  <c r="BM249" i="5"/>
  <c r="BM250" i="5"/>
  <c r="BM251" i="5"/>
  <c r="BM252" i="5"/>
  <c r="BM253" i="5"/>
  <c r="BM254" i="5"/>
  <c r="BM255" i="5"/>
  <c r="BM256" i="5"/>
  <c r="BM257" i="5"/>
  <c r="BM258" i="5"/>
  <c r="BM259" i="5"/>
  <c r="BM260" i="5"/>
  <c r="BM261" i="5"/>
  <c r="BM262" i="5"/>
  <c r="BM263" i="5"/>
  <c r="BM264" i="5"/>
  <c r="BM265" i="5"/>
  <c r="BM266" i="5"/>
  <c r="BM267" i="5"/>
  <c r="BM268" i="5"/>
  <c r="BM269" i="5"/>
  <c r="BM270" i="5"/>
  <c r="BM271" i="5"/>
  <c r="BM272" i="5"/>
  <c r="BM273" i="5"/>
  <c r="BM274" i="5"/>
  <c r="BM275" i="5"/>
  <c r="BM276" i="5"/>
  <c r="BM277" i="5"/>
  <c r="BM278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98" i="5"/>
  <c r="BM299" i="5"/>
  <c r="BM300" i="5"/>
  <c r="BM301" i="5"/>
  <c r="BM302" i="5"/>
  <c r="BM303" i="5"/>
  <c r="BM304" i="5"/>
  <c r="BM305" i="5"/>
  <c r="BM306" i="5"/>
  <c r="BM307" i="5"/>
  <c r="BM308" i="5"/>
  <c r="BM309" i="5"/>
  <c r="BM310" i="5"/>
  <c r="BM311" i="5"/>
  <c r="BM312" i="5"/>
  <c r="BM313" i="5"/>
  <c r="BM314" i="5"/>
  <c r="BM315" i="5"/>
  <c r="BM316" i="5"/>
  <c r="BM317" i="5"/>
  <c r="BM318" i="5"/>
  <c r="BM319" i="5"/>
  <c r="BM320" i="5"/>
  <c r="BM321" i="5"/>
  <c r="BM322" i="5"/>
  <c r="BM323" i="5"/>
  <c r="BM324" i="5"/>
  <c r="BM325" i="5"/>
  <c r="BM326" i="5"/>
  <c r="BM327" i="5"/>
  <c r="BM328" i="5"/>
  <c r="BM329" i="5"/>
  <c r="BM330" i="5"/>
  <c r="BM331" i="5"/>
  <c r="BM332" i="5"/>
  <c r="BM333" i="5"/>
  <c r="BM334" i="5"/>
  <c r="BM335" i="5"/>
  <c r="BM336" i="5"/>
  <c r="BM337" i="5"/>
  <c r="BM338" i="5"/>
  <c r="BM339" i="5"/>
  <c r="BM340" i="5"/>
  <c r="BM341" i="5"/>
  <c r="BM342" i="5"/>
  <c r="BM343" i="5"/>
  <c r="BM344" i="5"/>
  <c r="BM345" i="5"/>
  <c r="BM346" i="5"/>
  <c r="BM347" i="5"/>
  <c r="BM348" i="5"/>
  <c r="BM349" i="5"/>
  <c r="BM350" i="5"/>
  <c r="BM351" i="5"/>
  <c r="BM352" i="5"/>
  <c r="BM353" i="5"/>
  <c r="BM354" i="5"/>
  <c r="BM355" i="5"/>
  <c r="BM356" i="5"/>
  <c r="BM357" i="5"/>
  <c r="BM358" i="5"/>
  <c r="BM359" i="5"/>
  <c r="BM360" i="5"/>
  <c r="BM361" i="5"/>
  <c r="BM362" i="5"/>
  <c r="BM363" i="5"/>
  <c r="BM364" i="5"/>
  <c r="BM365" i="5"/>
  <c r="BM366" i="5"/>
  <c r="BM367" i="5"/>
  <c r="BM368" i="5"/>
  <c r="BM369" i="5"/>
  <c r="BM370" i="5"/>
  <c r="BM371" i="5"/>
  <c r="BM372" i="5"/>
  <c r="BM373" i="5"/>
  <c r="BM374" i="5"/>
  <c r="BM375" i="5"/>
  <c r="BM376" i="5"/>
  <c r="BM377" i="5"/>
  <c r="BM378" i="5"/>
  <c r="BM379" i="5"/>
  <c r="BM380" i="5"/>
  <c r="BM381" i="5"/>
  <c r="BM382" i="5"/>
  <c r="BM383" i="5"/>
  <c r="BM384" i="5"/>
  <c r="BM385" i="5"/>
  <c r="BM386" i="5"/>
  <c r="BM387" i="5"/>
  <c r="BM388" i="5"/>
  <c r="BM389" i="5"/>
  <c r="BM390" i="5"/>
  <c r="BM391" i="5"/>
  <c r="BM392" i="5"/>
  <c r="BM393" i="5"/>
  <c r="BM394" i="5"/>
  <c r="BM395" i="5"/>
  <c r="BM396" i="5"/>
  <c r="BM397" i="5"/>
  <c r="BM398" i="5"/>
  <c r="BM399" i="5"/>
  <c r="BM400" i="5"/>
  <c r="BM401" i="5"/>
  <c r="BM402" i="5"/>
  <c r="BM403" i="5"/>
  <c r="BM404" i="5"/>
  <c r="BM405" i="5"/>
  <c r="BM406" i="5"/>
  <c r="BM407" i="5"/>
  <c r="BM408" i="5"/>
  <c r="BM409" i="5"/>
  <c r="BM410" i="5"/>
  <c r="BM411" i="5"/>
  <c r="BM412" i="5"/>
  <c r="BM413" i="5"/>
  <c r="BM414" i="5"/>
  <c r="BM415" i="5"/>
  <c r="BM416" i="5"/>
  <c r="BM417" i="5"/>
  <c r="BM418" i="5"/>
  <c r="BM419" i="5"/>
  <c r="BM420" i="5"/>
  <c r="BM421" i="5"/>
  <c r="BM422" i="5"/>
  <c r="BM423" i="5"/>
  <c r="BM424" i="5"/>
  <c r="BM425" i="5"/>
  <c r="BM426" i="5"/>
  <c r="BM427" i="5"/>
  <c r="BM428" i="5"/>
  <c r="BM429" i="5"/>
  <c r="BM430" i="5"/>
  <c r="BM431" i="5"/>
  <c r="BM432" i="5"/>
  <c r="BM433" i="5"/>
  <c r="BM434" i="5"/>
  <c r="BM435" i="5"/>
  <c r="BM436" i="5"/>
  <c r="BM437" i="5"/>
  <c r="BM438" i="5"/>
  <c r="BM439" i="5"/>
  <c r="BM440" i="5"/>
  <c r="BM441" i="5"/>
  <c r="BM442" i="5"/>
  <c r="BM443" i="5"/>
  <c r="BM444" i="5"/>
  <c r="BM445" i="5"/>
  <c r="BM446" i="5"/>
  <c r="BM447" i="5"/>
  <c r="BM448" i="5"/>
  <c r="BM449" i="5"/>
  <c r="BM450" i="5"/>
  <c r="BM451" i="5"/>
  <c r="BM452" i="5"/>
  <c r="BM453" i="5"/>
  <c r="BM454" i="5"/>
  <c r="BM455" i="5"/>
  <c r="BM456" i="5"/>
  <c r="BM457" i="5"/>
  <c r="BM458" i="5"/>
  <c r="BM459" i="5"/>
  <c r="BM460" i="5"/>
  <c r="BM461" i="5"/>
  <c r="BM462" i="5"/>
  <c r="BM463" i="5"/>
  <c r="BM464" i="5"/>
  <c r="BM465" i="5"/>
  <c r="BM466" i="5"/>
  <c r="BM467" i="5"/>
  <c r="BM468" i="5"/>
  <c r="BM469" i="5"/>
  <c r="BM470" i="5"/>
  <c r="BM471" i="5"/>
  <c r="BM472" i="5"/>
  <c r="BM473" i="5"/>
  <c r="BM474" i="5"/>
  <c r="BM475" i="5"/>
  <c r="BM476" i="5"/>
  <c r="BM477" i="5"/>
  <c r="BM478" i="5"/>
  <c r="BM479" i="5"/>
  <c r="BM480" i="5"/>
  <c r="BM481" i="5"/>
  <c r="BM482" i="5"/>
  <c r="BM483" i="5"/>
  <c r="BM484" i="5"/>
  <c r="BM485" i="5"/>
  <c r="BM486" i="5"/>
  <c r="BM487" i="5"/>
  <c r="BM488" i="5"/>
  <c r="BM489" i="5"/>
  <c r="BM490" i="5"/>
  <c r="BM491" i="5"/>
  <c r="BM492" i="5"/>
  <c r="BM493" i="5"/>
  <c r="BM494" i="5"/>
  <c r="BM495" i="5"/>
  <c r="BM496" i="5"/>
  <c r="BM497" i="5"/>
  <c r="BM498" i="5"/>
  <c r="BM499" i="5"/>
  <c r="BM500" i="5"/>
  <c r="BM501" i="5"/>
  <c r="BM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<sst xmlns="http://schemas.openxmlformats.org/spreadsheetml/2006/main" count="35114" uniqueCount="816">
  <si>
    <t>SOLDIER_ID</t>
  </si>
  <si>
    <t>LAST_NAME</t>
  </si>
  <si>
    <t>FIRST_NAME</t>
  </si>
  <si>
    <t>GENDER</t>
  </si>
  <si>
    <t>AGE</t>
  </si>
  <si>
    <t>HOME_STATE</t>
  </si>
  <si>
    <t>RANK</t>
  </si>
  <si>
    <t>PAY_GRADE</t>
  </si>
  <si>
    <t>MOS_CODE</t>
  </si>
  <si>
    <t>MOS_TITLE</t>
  </si>
  <si>
    <t>MOS_BRANCH</t>
  </si>
  <si>
    <t>BRIGADE</t>
  </si>
  <si>
    <t>BATTALION</t>
  </si>
  <si>
    <t>COMPANY</t>
  </si>
  <si>
    <t>PLATOON</t>
  </si>
  <si>
    <t>ENLISTMENT_DATE</t>
  </si>
  <si>
    <t>YEARS_OF_SERVICE</t>
  </si>
  <si>
    <t>STATUS</t>
  </si>
  <si>
    <t>DEPLOYMENT</t>
  </si>
  <si>
    <t>THEATER</t>
  </si>
  <si>
    <t>DEPLOY_MONTHS</t>
  </si>
  <si>
    <t>COMBAT_TOURS</t>
  </si>
  <si>
    <t>BASE_PAY_USD</t>
  </si>
  <si>
    <t>BAH_USD</t>
  </si>
  <si>
    <t>BAS_USD</t>
  </si>
  <si>
    <t>TOTAL_MONTHLY_PAY_USD</t>
  </si>
  <si>
    <t>ACFT_TOTAL_SCORE</t>
  </si>
  <si>
    <t>ACFT_STATUS</t>
  </si>
  <si>
    <t>RUN_TIME_MIN</t>
  </si>
  <si>
    <t>PUSHUPS_COUNT</t>
  </si>
  <si>
    <t>SITUPS_COUNT</t>
  </si>
  <si>
    <t>WEAPON</t>
  </si>
  <si>
    <t>WEAPON_SCORE</t>
  </si>
  <si>
    <t>WEAPON_QUALIFICATION</t>
  </si>
  <si>
    <t>EDUCATION</t>
  </si>
  <si>
    <t>SECURITY_CLEARANCE</t>
  </si>
  <si>
    <t>AIRBORNE_QUALIFIED</t>
  </si>
  <si>
    <t>AIR_ASSAULT_QUALIFIED</t>
  </si>
  <si>
    <t>RANGER_TAB</t>
  </si>
  <si>
    <t>VEHICLE_QUALIFIED</t>
  </si>
  <si>
    <t>AWARD_1</t>
  </si>
  <si>
    <t>AWARD_2</t>
  </si>
  <si>
    <t>EVAL_RATING</t>
  </si>
  <si>
    <t>LAST_PROMOTION_DATE</t>
  </si>
  <si>
    <t>INJURY_STATUS</t>
  </si>
  <si>
    <t>REENLIST_ELIGIBLE</t>
  </si>
  <si>
    <t>DAYS_UNTIL_ETS</t>
  </si>
  <si>
    <t>ETS_STATUS</t>
  </si>
  <si>
    <t>US-0001</t>
  </si>
  <si>
    <t>Anderson</t>
  </si>
  <si>
    <t>James</t>
  </si>
  <si>
    <t>M</t>
  </si>
  <si>
    <t>CO</t>
  </si>
  <si>
    <t>MSG</t>
  </si>
  <si>
    <t>E8</t>
  </si>
  <si>
    <t>13F</t>
  </si>
  <si>
    <t>Fire Support Specialist</t>
  </si>
  <si>
    <t>Combat Support</t>
  </si>
  <si>
    <t>2nd BCT</t>
  </si>
  <si>
    <t>2-4 AVN</t>
  </si>
  <si>
    <t>Alpha</t>
  </si>
  <si>
    <t>HQ PLT</t>
  </si>
  <si>
    <t>Deployed</t>
  </si>
  <si>
    <t>Peacetime</t>
  </si>
  <si>
    <t>CONUS</t>
  </si>
  <si>
    <t>PASS</t>
  </si>
  <si>
    <t>M4 Carbine</t>
  </si>
  <si>
    <t>SHARPSHOOTER</t>
  </si>
  <si>
    <t>AA Degree</t>
  </si>
  <si>
    <t>TS/SCI</t>
  </si>
  <si>
    <t>NO</t>
  </si>
  <si>
    <t>YES</t>
  </si>
  <si>
    <t>None</t>
  </si>
  <si>
    <t>Combat Medic Badge</t>
  </si>
  <si>
    <t>Outstanding</t>
  </si>
  <si>
    <t>Medical Hold</t>
  </si>
  <si>
    <t>Retained</t>
  </si>
  <si>
    <t>US-0002</t>
  </si>
  <si>
    <t>Harris</t>
  </si>
  <si>
    <t>DeShawn</t>
  </si>
  <si>
    <t>PA</t>
  </si>
  <si>
    <t>CPL</t>
  </si>
  <si>
    <t>E4</t>
  </si>
  <si>
    <t>35F</t>
  </si>
  <si>
    <t>Intelligence Analyst</t>
  </si>
  <si>
    <t>Intelligence</t>
  </si>
  <si>
    <t>3rd BCT</t>
  </si>
  <si>
    <t>21st BSB</t>
  </si>
  <si>
    <t>Charlie</t>
  </si>
  <si>
    <t>1st PLT</t>
  </si>
  <si>
    <t>Attached</t>
  </si>
  <si>
    <t>KFOR</t>
  </si>
  <si>
    <t>Kosovo</t>
  </si>
  <si>
    <t>M249 SAW</t>
  </si>
  <si>
    <t>EXPERT</t>
  </si>
  <si>
    <t>BA/BS Degree</t>
  </si>
  <si>
    <t>Top Secret</t>
  </si>
  <si>
    <t>Army Achievement Medal</t>
  </si>
  <si>
    <t>Qualified</t>
  </si>
  <si>
    <t>US-0003</t>
  </si>
  <si>
    <t>Young</t>
  </si>
  <si>
    <t>SSG</t>
  </si>
  <si>
    <t>E6</t>
  </si>
  <si>
    <t>88M</t>
  </si>
  <si>
    <t>Motor Transport Operator</t>
  </si>
  <si>
    <t>Logistics</t>
  </si>
  <si>
    <t>DISCOM</t>
  </si>
  <si>
    <t>1-41 IN</t>
  </si>
  <si>
    <t>Bravo</t>
  </si>
  <si>
    <t>4th PLT</t>
  </si>
  <si>
    <t>OIR</t>
  </si>
  <si>
    <t>Iraq/Syria</t>
  </si>
  <si>
    <t>M240B</t>
  </si>
  <si>
    <t>MARKSMAN</t>
  </si>
  <si>
    <t>Some College</t>
  </si>
  <si>
    <t>LMTV</t>
  </si>
  <si>
    <t>Airborne Badge</t>
  </si>
  <si>
    <t>Needs Improvement</t>
  </si>
  <si>
    <t>Profile</t>
  </si>
  <si>
    <t>US-0004</t>
  </si>
  <si>
    <t>Thompson</t>
  </si>
  <si>
    <t>Tanya</t>
  </si>
  <si>
    <t>F</t>
  </si>
  <si>
    <t>NC</t>
  </si>
  <si>
    <t>SGT</t>
  </si>
  <si>
    <t>E5</t>
  </si>
  <si>
    <t>CAB</t>
  </si>
  <si>
    <t>2-5 CAV</t>
  </si>
  <si>
    <t>Foxtrot</t>
  </si>
  <si>
    <t>Leave</t>
  </si>
  <si>
    <t>OEF</t>
  </si>
  <si>
    <t>Afghanistan</t>
  </si>
  <si>
    <t>M9 Pistol</t>
  </si>
  <si>
    <t>FMTV</t>
  </si>
  <si>
    <t>Bronze Star Medal</t>
  </si>
  <si>
    <t>Army Commendation Medal</t>
  </si>
  <si>
    <t>Highly Qualified</t>
  </si>
  <si>
    <t>Fit for Duty</t>
  </si>
  <si>
    <t>US-0005</t>
  </si>
  <si>
    <t>King</t>
  </si>
  <si>
    <t>Tyler</t>
  </si>
  <si>
    <t>AL</t>
  </si>
  <si>
    <t>SGM</t>
  </si>
  <si>
    <t>E9</t>
  </si>
  <si>
    <t>25B</t>
  </si>
  <si>
    <t>IT Specialist</t>
  </si>
  <si>
    <t>Signal</t>
  </si>
  <si>
    <t>15th BSB</t>
  </si>
  <si>
    <t>HHC</t>
  </si>
  <si>
    <t>2nd PLT</t>
  </si>
  <si>
    <t>Active Duty</t>
  </si>
  <si>
    <t>FAIL</t>
  </si>
  <si>
    <t>MA/MS Degree</t>
  </si>
  <si>
    <t>US-0006</t>
  </si>
  <si>
    <t>Taylor</t>
  </si>
  <si>
    <t>Michael</t>
  </si>
  <si>
    <t>CPT</t>
  </si>
  <si>
    <t>O3</t>
  </si>
  <si>
    <t>15T</t>
  </si>
  <si>
    <t>UH-60 Helicopter Repairer</t>
  </si>
  <si>
    <t>Aviation</t>
  </si>
  <si>
    <t>1-82 FA</t>
  </si>
  <si>
    <t>Delta</t>
  </si>
  <si>
    <t>OIF</t>
  </si>
  <si>
    <t>Iraq</t>
  </si>
  <si>
    <t>US-0007</t>
  </si>
  <si>
    <t>Clark</t>
  </si>
  <si>
    <t>Ryan</t>
  </si>
  <si>
    <t>KY</t>
  </si>
  <si>
    <t>SFC</t>
  </si>
  <si>
    <t>E7</t>
  </si>
  <si>
    <t>11C</t>
  </si>
  <si>
    <t>Indirect Fire Infantry</t>
  </si>
  <si>
    <t>Combat</t>
  </si>
  <si>
    <t>1st BCT</t>
  </si>
  <si>
    <t>1-4 AVN</t>
  </si>
  <si>
    <t>3rd PLT</t>
  </si>
  <si>
    <t>HS Diploma</t>
  </si>
  <si>
    <t>Combat Infantry Badge</t>
  </si>
  <si>
    <t>ETS Eligible</t>
  </si>
  <si>
    <t>US-0008</t>
  </si>
  <si>
    <t>Garcia</t>
  </si>
  <si>
    <t>Kevin</t>
  </si>
  <si>
    <t>MAJ</t>
  </si>
  <si>
    <t>O4</t>
  </si>
  <si>
    <t>68W</t>
  </si>
  <si>
    <t>Combat Medic</t>
  </si>
  <si>
    <t>Medical</t>
  </si>
  <si>
    <t>Secret</t>
  </si>
  <si>
    <t>US-0009</t>
  </si>
  <si>
    <t>Walker</t>
  </si>
  <si>
    <t>Marcus</t>
  </si>
  <si>
    <t>NY</t>
  </si>
  <si>
    <t>SPC</t>
  </si>
  <si>
    <t>E3</t>
  </si>
  <si>
    <t>TDY</t>
  </si>
  <si>
    <t>NTC Rotation</t>
  </si>
  <si>
    <t>Fort Irwin</t>
  </si>
  <si>
    <t>Limited Duty</t>
  </si>
  <si>
    <t>US-0010</t>
  </si>
  <si>
    <t>Carlos</t>
  </si>
  <si>
    <t>DIVARTY</t>
  </si>
  <si>
    <t>M2A3 Bradley</t>
  </si>
  <si>
    <t>Air Assault Badge</t>
  </si>
  <si>
    <t>US-0011</t>
  </si>
  <si>
    <t>Williams</t>
  </si>
  <si>
    <t>Brianna</t>
  </si>
  <si>
    <t>2-12 IN</t>
  </si>
  <si>
    <t>Transition</t>
  </si>
  <si>
    <t>US-0012</t>
  </si>
  <si>
    <t>Wright</t>
  </si>
  <si>
    <t>OH</t>
  </si>
  <si>
    <t>3-16 FA</t>
  </si>
  <si>
    <t>US-0013</t>
  </si>
  <si>
    <t>CA</t>
  </si>
  <si>
    <t>2LT</t>
  </si>
  <si>
    <t>O1</t>
  </si>
  <si>
    <t>25U</t>
  </si>
  <si>
    <t>Signal Support Specialist</t>
  </si>
  <si>
    <t>JRTC Rotation</t>
  </si>
  <si>
    <t>Fort Johnson</t>
  </si>
  <si>
    <t>Purple Heart</t>
  </si>
  <si>
    <t>US-0014</t>
  </si>
  <si>
    <t>Monique</t>
  </si>
  <si>
    <t>VA</t>
  </si>
  <si>
    <t>92A</t>
  </si>
  <si>
    <t>Automated Logistical Specialist</t>
  </si>
  <si>
    <t>Meritorious Service Medal</t>
  </si>
  <si>
    <t>US-0015</t>
  </si>
  <si>
    <t>Lewis</t>
  </si>
  <si>
    <t>Danielle</t>
  </si>
  <si>
    <t>HMMWV</t>
  </si>
  <si>
    <t>US-0016</t>
  </si>
  <si>
    <t>Luis</t>
  </si>
  <si>
    <t>PVT</t>
  </si>
  <si>
    <t>E1</t>
  </si>
  <si>
    <t>94F</t>
  </si>
  <si>
    <t>Special Electronic Devices Repairer</t>
  </si>
  <si>
    <t>Maintenance</t>
  </si>
  <si>
    <t>US-0017</t>
  </si>
  <si>
    <t>Lauren</t>
  </si>
  <si>
    <t>IN</t>
  </si>
  <si>
    <t>1SG</t>
  </si>
  <si>
    <t>M1126 Stryker</t>
  </si>
  <si>
    <t>US-0018</t>
  </si>
  <si>
    <t>Hall</t>
  </si>
  <si>
    <t>Crystal</t>
  </si>
  <si>
    <t>US-0019</t>
  </si>
  <si>
    <t>TN</t>
  </si>
  <si>
    <t>87th BSB</t>
  </si>
  <si>
    <t>US-0020</t>
  </si>
  <si>
    <t>Allen</t>
  </si>
  <si>
    <t>Derek</t>
  </si>
  <si>
    <t>42A</t>
  </si>
  <si>
    <t>Human Resources Specialist</t>
  </si>
  <si>
    <t>Admin</t>
  </si>
  <si>
    <t>US-0021</t>
  </si>
  <si>
    <t>Elijah</t>
  </si>
  <si>
    <t>US-0022</t>
  </si>
  <si>
    <t>Martinez</t>
  </si>
  <si>
    <t>19D</t>
  </si>
  <si>
    <t>Cavalry Scout</t>
  </si>
  <si>
    <t>US-0023</t>
  </si>
  <si>
    <t>Wilson</t>
  </si>
  <si>
    <t>Aaron</t>
  </si>
  <si>
    <t>Echo</t>
  </si>
  <si>
    <t>US-0024</t>
  </si>
  <si>
    <t>Moore</t>
  </si>
  <si>
    <t>11B</t>
  </si>
  <si>
    <t>Infantry</t>
  </si>
  <si>
    <t>M1A2 Abrams</t>
  </si>
  <si>
    <t>US-0025</t>
  </si>
  <si>
    <t>Brandon</t>
  </si>
  <si>
    <t>12B</t>
  </si>
  <si>
    <t>Combat Engineer</t>
  </si>
  <si>
    <t>3-66 AR</t>
  </si>
  <si>
    <t>US-0026</t>
  </si>
  <si>
    <t>Brown</t>
  </si>
  <si>
    <t>MO</t>
  </si>
  <si>
    <t>LTC</t>
  </si>
  <si>
    <t>O5</t>
  </si>
  <si>
    <t>US-0027</t>
  </si>
  <si>
    <t>Jackson</t>
  </si>
  <si>
    <t>SC</t>
  </si>
  <si>
    <t>US-0028</t>
  </si>
  <si>
    <t>COL</t>
  </si>
  <si>
    <t>O6</t>
  </si>
  <si>
    <t>Expert Infantryman Badge</t>
  </si>
  <si>
    <t>US-0029</t>
  </si>
  <si>
    <t>US-0030</t>
  </si>
  <si>
    <t>US-0031</t>
  </si>
  <si>
    <t>AZ</t>
  </si>
  <si>
    <t>31B</t>
  </si>
  <si>
    <t>Military Police</t>
  </si>
  <si>
    <t>Law Enforcement</t>
  </si>
  <si>
    <t>US-0032</t>
  </si>
  <si>
    <t>1-8 CAV</t>
  </si>
  <si>
    <t>US-0033</t>
  </si>
  <si>
    <t>PFC</t>
  </si>
  <si>
    <t>E2</t>
  </si>
  <si>
    <t>US-0034</t>
  </si>
  <si>
    <t>1LT</t>
  </si>
  <si>
    <t>O2</t>
  </si>
  <si>
    <t>US-0035</t>
  </si>
  <si>
    <t>US-0036</t>
  </si>
  <si>
    <t>MI</t>
  </si>
  <si>
    <t>US-0037</t>
  </si>
  <si>
    <t>US-0038</t>
  </si>
  <si>
    <t>Robinson</t>
  </si>
  <si>
    <t>US-0039</t>
  </si>
  <si>
    <t>US-0040</t>
  </si>
  <si>
    <t>GA</t>
  </si>
  <si>
    <t>US-0041</t>
  </si>
  <si>
    <t>Nicole</t>
  </si>
  <si>
    <t>US-0042</t>
  </si>
  <si>
    <t>US-0043</t>
  </si>
  <si>
    <t>TX</t>
  </si>
  <si>
    <t>US-0044</t>
  </si>
  <si>
    <t>US-0045</t>
  </si>
  <si>
    <t>US-0046</t>
  </si>
  <si>
    <t>US-0047</t>
  </si>
  <si>
    <t>US-0048</t>
  </si>
  <si>
    <t>IL</t>
  </si>
  <si>
    <t>US-0049</t>
  </si>
  <si>
    <t>US-0050</t>
  </si>
  <si>
    <t>FL</t>
  </si>
  <si>
    <t>US-0051</t>
  </si>
  <si>
    <t>US-0052</t>
  </si>
  <si>
    <t>US-0053</t>
  </si>
  <si>
    <t>US-0054</t>
  </si>
  <si>
    <t>Maria</t>
  </si>
  <si>
    <t>US-0055</t>
  </si>
  <si>
    <t>Nathan</t>
  </si>
  <si>
    <t>US-0056</t>
  </si>
  <si>
    <t>Sarah</t>
  </si>
  <si>
    <t>US-0057</t>
  </si>
  <si>
    <t>US-0058</t>
  </si>
  <si>
    <t>US-0059</t>
  </si>
  <si>
    <t>US-0060</t>
  </si>
  <si>
    <t>US-0061</t>
  </si>
  <si>
    <t>US-0062</t>
  </si>
  <si>
    <t>US-0063</t>
  </si>
  <si>
    <t>US-0064</t>
  </si>
  <si>
    <t>US-0065</t>
  </si>
  <si>
    <t>US-0066</t>
  </si>
  <si>
    <t>US-0067</t>
  </si>
  <si>
    <t>Johnson</t>
  </si>
  <si>
    <t>US-0068</t>
  </si>
  <si>
    <t>US-0069</t>
  </si>
  <si>
    <t>US-0070</t>
  </si>
  <si>
    <t>US-0071</t>
  </si>
  <si>
    <t>US-0072</t>
  </si>
  <si>
    <t>US-0073</t>
  </si>
  <si>
    <t>Jessica</t>
  </si>
  <si>
    <t>US-0074</t>
  </si>
  <si>
    <t>US-0075</t>
  </si>
  <si>
    <t>US-0076</t>
  </si>
  <si>
    <t>US-0077</t>
  </si>
  <si>
    <t>US-0078</t>
  </si>
  <si>
    <t>US-0079</t>
  </si>
  <si>
    <t>Jason</t>
  </si>
  <si>
    <t>US-0080</t>
  </si>
  <si>
    <t>US-0081</t>
  </si>
  <si>
    <t>US-0082</t>
  </si>
  <si>
    <t>US-0083</t>
  </si>
  <si>
    <t>US-0084</t>
  </si>
  <si>
    <t>US-0085</t>
  </si>
  <si>
    <t>US-0086</t>
  </si>
  <si>
    <t>US-0087</t>
  </si>
  <si>
    <t>Rachel</t>
  </si>
  <si>
    <t>US-0088</t>
  </si>
  <si>
    <t>US-0089</t>
  </si>
  <si>
    <t>US-0090</t>
  </si>
  <si>
    <t>US-0091</t>
  </si>
  <si>
    <t>US-0092</t>
  </si>
  <si>
    <t>Travis</t>
  </si>
  <si>
    <t>US-0093</t>
  </si>
  <si>
    <t>Davis</t>
  </si>
  <si>
    <t>US-0094</t>
  </si>
  <si>
    <t>US-0095</t>
  </si>
  <si>
    <t>US-0096</t>
  </si>
  <si>
    <t>US-0097</t>
  </si>
  <si>
    <t>WA</t>
  </si>
  <si>
    <t>US-0098</t>
  </si>
  <si>
    <t>US-0099</t>
  </si>
  <si>
    <t>US-0100</t>
  </si>
  <si>
    <t>US-0101</t>
  </si>
  <si>
    <t>US-0102</t>
  </si>
  <si>
    <t>US-0103</t>
  </si>
  <si>
    <t>US-0104</t>
  </si>
  <si>
    <t>US-0105</t>
  </si>
  <si>
    <t>US-0106</t>
  </si>
  <si>
    <t>US-0107</t>
  </si>
  <si>
    <t>US-0108</t>
  </si>
  <si>
    <t>Amanda</t>
  </si>
  <si>
    <t>US-0109</t>
  </si>
  <si>
    <t>Keisha</t>
  </si>
  <si>
    <t>US-0110</t>
  </si>
  <si>
    <t>US-0111</t>
  </si>
  <si>
    <t>US-0112</t>
  </si>
  <si>
    <t>US-0113</t>
  </si>
  <si>
    <t>US-0114</t>
  </si>
  <si>
    <t>US-0115</t>
  </si>
  <si>
    <t>US-0116</t>
  </si>
  <si>
    <t>US-0117</t>
  </si>
  <si>
    <t>US-0118</t>
  </si>
  <si>
    <t>US-0119</t>
  </si>
  <si>
    <t>US-0120</t>
  </si>
  <si>
    <t>US-0121</t>
  </si>
  <si>
    <t>US-0122</t>
  </si>
  <si>
    <t>US-0123</t>
  </si>
  <si>
    <t>US-0124</t>
  </si>
  <si>
    <t>US-0125</t>
  </si>
  <si>
    <t>US-0126</t>
  </si>
  <si>
    <t>US-0127</t>
  </si>
  <si>
    <t>US-0128</t>
  </si>
  <si>
    <t>US-0129</t>
  </si>
  <si>
    <t>US-0130</t>
  </si>
  <si>
    <t>US-0131</t>
  </si>
  <si>
    <t>US-0132</t>
  </si>
  <si>
    <t>US-0133</t>
  </si>
  <si>
    <t>US-0134</t>
  </si>
  <si>
    <t>US-0135</t>
  </si>
  <si>
    <t>US-0136</t>
  </si>
  <si>
    <t>US-0137</t>
  </si>
  <si>
    <t>US-0138</t>
  </si>
  <si>
    <t>US-0139</t>
  </si>
  <si>
    <t>US-0140</t>
  </si>
  <si>
    <t>US-0141</t>
  </si>
  <si>
    <t>US-0142</t>
  </si>
  <si>
    <t>US-0143</t>
  </si>
  <si>
    <t>US-0144</t>
  </si>
  <si>
    <t>US-0145</t>
  </si>
  <si>
    <t>US-0146</t>
  </si>
  <si>
    <t>US-0147</t>
  </si>
  <si>
    <t>US-0148</t>
  </si>
  <si>
    <t>US-0149</t>
  </si>
  <si>
    <t>US-0150</t>
  </si>
  <si>
    <t>US-0151</t>
  </si>
  <si>
    <t>US-0152</t>
  </si>
  <si>
    <t>US-0153</t>
  </si>
  <si>
    <t>US-0154</t>
  </si>
  <si>
    <t>US-0155</t>
  </si>
  <si>
    <t>US-0156</t>
  </si>
  <si>
    <t>US-0157</t>
  </si>
  <si>
    <t>US-0158</t>
  </si>
  <si>
    <t>US-0159</t>
  </si>
  <si>
    <t>US-0160</t>
  </si>
  <si>
    <t>US-0161</t>
  </si>
  <si>
    <t>US-0162</t>
  </si>
  <si>
    <t>US-0163</t>
  </si>
  <si>
    <t>US-0164</t>
  </si>
  <si>
    <t>US-0165</t>
  </si>
  <si>
    <t>US-0166</t>
  </si>
  <si>
    <t>US-0167</t>
  </si>
  <si>
    <t>US-0168</t>
  </si>
  <si>
    <t>US-0169</t>
  </si>
  <si>
    <t>US-0170</t>
  </si>
  <si>
    <t>US-0171</t>
  </si>
  <si>
    <t>US-0172</t>
  </si>
  <si>
    <t>US-0173</t>
  </si>
  <si>
    <t>US-0174</t>
  </si>
  <si>
    <t>US-0175</t>
  </si>
  <si>
    <t>US-0176</t>
  </si>
  <si>
    <t>US-0177</t>
  </si>
  <si>
    <t>US-0178</t>
  </si>
  <si>
    <t>US-0179</t>
  </si>
  <si>
    <t>US-0180</t>
  </si>
  <si>
    <t>US-0181</t>
  </si>
  <si>
    <t>US-0182</t>
  </si>
  <si>
    <t>US-0183</t>
  </si>
  <si>
    <t>US-0184</t>
  </si>
  <si>
    <t>US-0185</t>
  </si>
  <si>
    <t>US-0186</t>
  </si>
  <si>
    <t>US-0187</t>
  </si>
  <si>
    <t>US-0188</t>
  </si>
  <si>
    <t>US-0189</t>
  </si>
  <si>
    <t>US-0190</t>
  </si>
  <si>
    <t>US-0191</t>
  </si>
  <si>
    <t>US-0192</t>
  </si>
  <si>
    <t>US-0193</t>
  </si>
  <si>
    <t>US-0194</t>
  </si>
  <si>
    <t>US-0195</t>
  </si>
  <si>
    <t>US-0196</t>
  </si>
  <si>
    <t>US-0197</t>
  </si>
  <si>
    <t>US-0198</t>
  </si>
  <si>
    <t>US-0199</t>
  </si>
  <si>
    <t>US-0200</t>
  </si>
  <si>
    <t>US-0201</t>
  </si>
  <si>
    <t>US-0202</t>
  </si>
  <si>
    <t>US-0203</t>
  </si>
  <si>
    <t>US-0204</t>
  </si>
  <si>
    <t>US-0205</t>
  </si>
  <si>
    <t>US-0206</t>
  </si>
  <si>
    <t>US-0207</t>
  </si>
  <si>
    <t>US-0208</t>
  </si>
  <si>
    <t>US-0209</t>
  </si>
  <si>
    <t>US-0210</t>
  </si>
  <si>
    <t>US-0211</t>
  </si>
  <si>
    <t>US-0212</t>
  </si>
  <si>
    <t>US-0213</t>
  </si>
  <si>
    <t>Ashley</t>
  </si>
  <si>
    <t>US-0214</t>
  </si>
  <si>
    <t>US-0215</t>
  </si>
  <si>
    <t>US-0216</t>
  </si>
  <si>
    <t>US-0217</t>
  </si>
  <si>
    <t>US-0218</t>
  </si>
  <si>
    <t>US-0219</t>
  </si>
  <si>
    <t>US-0220</t>
  </si>
  <si>
    <t>US-0221</t>
  </si>
  <si>
    <t>US-0222</t>
  </si>
  <si>
    <t>US-0223</t>
  </si>
  <si>
    <t>US-0224</t>
  </si>
  <si>
    <t>US-0225</t>
  </si>
  <si>
    <t>US-0226</t>
  </si>
  <si>
    <t>US-0227</t>
  </si>
  <si>
    <t>US-0228</t>
  </si>
  <si>
    <t>US-0229</t>
  </si>
  <si>
    <t>US-0230</t>
  </si>
  <si>
    <t>US-0231</t>
  </si>
  <si>
    <t>US-0232</t>
  </si>
  <si>
    <t>US-0233</t>
  </si>
  <si>
    <t>US-0234</t>
  </si>
  <si>
    <t>US-0235</t>
  </si>
  <si>
    <t>US-0236</t>
  </si>
  <si>
    <t>US-0237</t>
  </si>
  <si>
    <t>US-0238</t>
  </si>
  <si>
    <t>US-0239</t>
  </si>
  <si>
    <t>US-0240</t>
  </si>
  <si>
    <t>US-0241</t>
  </si>
  <si>
    <t>US-0242</t>
  </si>
  <si>
    <t>US-0243</t>
  </si>
  <si>
    <t>US-0244</t>
  </si>
  <si>
    <t>US-0245</t>
  </si>
  <si>
    <t>US-0246</t>
  </si>
  <si>
    <t>US-0247</t>
  </si>
  <si>
    <t>US-0248</t>
  </si>
  <si>
    <t>US-0249</t>
  </si>
  <si>
    <t>US-0250</t>
  </si>
  <si>
    <t>US-0251</t>
  </si>
  <si>
    <t>US-0252</t>
  </si>
  <si>
    <t>US-0253</t>
  </si>
  <si>
    <t>US-0254</t>
  </si>
  <si>
    <t>US-0255</t>
  </si>
  <si>
    <t>US-0256</t>
  </si>
  <si>
    <t>US-0257</t>
  </si>
  <si>
    <t>US-0258</t>
  </si>
  <si>
    <t>US-0259</t>
  </si>
  <si>
    <t>US-0260</t>
  </si>
  <si>
    <t>US-0261</t>
  </si>
  <si>
    <t>US-0262</t>
  </si>
  <si>
    <t>US-0263</t>
  </si>
  <si>
    <t>US-0264</t>
  </si>
  <si>
    <t>US-0265</t>
  </si>
  <si>
    <t>US-0266</t>
  </si>
  <si>
    <t>US-0267</t>
  </si>
  <si>
    <t>US-0268</t>
  </si>
  <si>
    <t>US-0269</t>
  </si>
  <si>
    <t>US-0270</t>
  </si>
  <si>
    <t>US-0271</t>
  </si>
  <si>
    <t>US-0272</t>
  </si>
  <si>
    <t>US-0273</t>
  </si>
  <si>
    <t>US-0274</t>
  </si>
  <si>
    <t>US-0275</t>
  </si>
  <si>
    <t>US-0276</t>
  </si>
  <si>
    <t>US-0277</t>
  </si>
  <si>
    <t>US-0278</t>
  </si>
  <si>
    <t>US-0279</t>
  </si>
  <si>
    <t>US-0280</t>
  </si>
  <si>
    <t>US-0281</t>
  </si>
  <si>
    <t>US-0282</t>
  </si>
  <si>
    <t>US-0283</t>
  </si>
  <si>
    <t>US-0284</t>
  </si>
  <si>
    <t>US-0285</t>
  </si>
  <si>
    <t>US-0286</t>
  </si>
  <si>
    <t>US-0287</t>
  </si>
  <si>
    <t>US-0288</t>
  </si>
  <si>
    <t>US-0289</t>
  </si>
  <si>
    <t>US-0290</t>
  </si>
  <si>
    <t>US-0291</t>
  </si>
  <si>
    <t>US-0292</t>
  </si>
  <si>
    <t>US-0293</t>
  </si>
  <si>
    <t>US-0294</t>
  </si>
  <si>
    <t>US-0295</t>
  </si>
  <si>
    <t>US-0296</t>
  </si>
  <si>
    <t>US-0297</t>
  </si>
  <si>
    <t>US-0298</t>
  </si>
  <si>
    <t>US-0299</t>
  </si>
  <si>
    <t>US-0300</t>
  </si>
  <si>
    <t>US-0301</t>
  </si>
  <si>
    <t>US-0302</t>
  </si>
  <si>
    <t>US-0303</t>
  </si>
  <si>
    <t>US-0304</t>
  </si>
  <si>
    <t>US-0305</t>
  </si>
  <si>
    <t>US-0306</t>
  </si>
  <si>
    <t>US-0307</t>
  </si>
  <si>
    <t>US-0308</t>
  </si>
  <si>
    <t>US-0309</t>
  </si>
  <si>
    <t>US-0310</t>
  </si>
  <si>
    <t>US-0311</t>
  </si>
  <si>
    <t>US-0312</t>
  </si>
  <si>
    <t>US-0313</t>
  </si>
  <si>
    <t>US-0314</t>
  </si>
  <si>
    <t>US-0315</t>
  </si>
  <si>
    <t>US-0316</t>
  </si>
  <si>
    <t>US-0317</t>
  </si>
  <si>
    <t>US-0318</t>
  </si>
  <si>
    <t>US-0319</t>
  </si>
  <si>
    <t>US-0320</t>
  </si>
  <si>
    <t>US-0321</t>
  </si>
  <si>
    <t>US-0322</t>
  </si>
  <si>
    <t>US-0323</t>
  </si>
  <si>
    <t>US-0324</t>
  </si>
  <si>
    <t>US-0325</t>
  </si>
  <si>
    <t>US-0326</t>
  </si>
  <si>
    <t>US-0327</t>
  </si>
  <si>
    <t>US-0328</t>
  </si>
  <si>
    <t>US-0329</t>
  </si>
  <si>
    <t>US-0330</t>
  </si>
  <si>
    <t>US-0331</t>
  </si>
  <si>
    <t>US-0332</t>
  </si>
  <si>
    <t>US-0333</t>
  </si>
  <si>
    <t>US-0334</t>
  </si>
  <si>
    <t>US-0335</t>
  </si>
  <si>
    <t>US-0336</t>
  </si>
  <si>
    <t>US-0337</t>
  </si>
  <si>
    <t>US-0338</t>
  </si>
  <si>
    <t>US-0339</t>
  </si>
  <si>
    <t>US-0340</t>
  </si>
  <si>
    <t>US-0341</t>
  </si>
  <si>
    <t>US-0342</t>
  </si>
  <si>
    <t>US-0343</t>
  </si>
  <si>
    <t>US-0344</t>
  </si>
  <si>
    <t>US-0345</t>
  </si>
  <si>
    <t>US-0346</t>
  </si>
  <si>
    <t>US-0347</t>
  </si>
  <si>
    <t>US-0348</t>
  </si>
  <si>
    <t>US-0349</t>
  </si>
  <si>
    <t>US-0350</t>
  </si>
  <si>
    <t>US-0351</t>
  </si>
  <si>
    <t>US-0352</t>
  </si>
  <si>
    <t>US-0353</t>
  </si>
  <si>
    <t>US-0354</t>
  </si>
  <si>
    <t>US-0355</t>
  </si>
  <si>
    <t>US-0356</t>
  </si>
  <si>
    <t>US-0357</t>
  </si>
  <si>
    <t>US-0358</t>
  </si>
  <si>
    <t>US-0359</t>
  </si>
  <si>
    <t>US-0360</t>
  </si>
  <si>
    <t>US-0361</t>
  </si>
  <si>
    <t>US-0362</t>
  </si>
  <si>
    <t>US-0363</t>
  </si>
  <si>
    <t>US-0364</t>
  </si>
  <si>
    <t>US-0365</t>
  </si>
  <si>
    <t>US-0366</t>
  </si>
  <si>
    <t>US-0367</t>
  </si>
  <si>
    <t>US-0368</t>
  </si>
  <si>
    <t>US-0369</t>
  </si>
  <si>
    <t>US-0370</t>
  </si>
  <si>
    <t>US-0371</t>
  </si>
  <si>
    <t>US-0372</t>
  </si>
  <si>
    <t>US-0373</t>
  </si>
  <si>
    <t>US-0374</t>
  </si>
  <si>
    <t>US-0375</t>
  </si>
  <si>
    <t>US-0376</t>
  </si>
  <si>
    <t>US-0377</t>
  </si>
  <si>
    <t>US-0378</t>
  </si>
  <si>
    <t>US-0379</t>
  </si>
  <si>
    <t>US-0380</t>
  </si>
  <si>
    <t>US-0381</t>
  </si>
  <si>
    <t>US-0382</t>
  </si>
  <si>
    <t>US-0383</t>
  </si>
  <si>
    <t>US-0384</t>
  </si>
  <si>
    <t>US-0385</t>
  </si>
  <si>
    <t>US-0386</t>
  </si>
  <si>
    <t>US-0387</t>
  </si>
  <si>
    <t>US-0388</t>
  </si>
  <si>
    <t>US-0389</t>
  </si>
  <si>
    <t>US-0390</t>
  </si>
  <si>
    <t>US-0391</t>
  </si>
  <si>
    <t>US-0392</t>
  </si>
  <si>
    <t>US-0393</t>
  </si>
  <si>
    <t>US-0394</t>
  </si>
  <si>
    <t>US-0395</t>
  </si>
  <si>
    <t>US-0396</t>
  </si>
  <si>
    <t>US-0397</t>
  </si>
  <si>
    <t>US-0398</t>
  </si>
  <si>
    <t>US-0399</t>
  </si>
  <si>
    <t>US-0400</t>
  </si>
  <si>
    <t>US-0401</t>
  </si>
  <si>
    <t>US-0402</t>
  </si>
  <si>
    <t>US-0403</t>
  </si>
  <si>
    <t>US-0404</t>
  </si>
  <si>
    <t>US-0405</t>
  </si>
  <si>
    <t>US-0406</t>
  </si>
  <si>
    <t>US-0407</t>
  </si>
  <si>
    <t>US-0408</t>
  </si>
  <si>
    <t>US-0409</t>
  </si>
  <si>
    <t>US-0410</t>
  </si>
  <si>
    <t>US-0411</t>
  </si>
  <si>
    <t>US-0412</t>
  </si>
  <si>
    <t>US-0413</t>
  </si>
  <si>
    <t>US-0414</t>
  </si>
  <si>
    <t>US-0415</t>
  </si>
  <si>
    <t>US-0416</t>
  </si>
  <si>
    <t>US-0417</t>
  </si>
  <si>
    <t>US-0418</t>
  </si>
  <si>
    <t>US-0419</t>
  </si>
  <si>
    <t>US-0420</t>
  </si>
  <si>
    <t>US-0421</t>
  </si>
  <si>
    <t>US-0422</t>
  </si>
  <si>
    <t>US-0423</t>
  </si>
  <si>
    <t>US-0424</t>
  </si>
  <si>
    <t>US-0425</t>
  </si>
  <si>
    <t>US-0426</t>
  </si>
  <si>
    <t>US-0427</t>
  </si>
  <si>
    <t>US-0428</t>
  </si>
  <si>
    <t>US-0429</t>
  </si>
  <si>
    <t>US-0430</t>
  </si>
  <si>
    <t>US-0431</t>
  </si>
  <si>
    <t>US-0432</t>
  </si>
  <si>
    <t>US-0433</t>
  </si>
  <si>
    <t>US-0434</t>
  </si>
  <si>
    <t>US-0435</t>
  </si>
  <si>
    <t>US-0436</t>
  </si>
  <si>
    <t>US-0437</t>
  </si>
  <si>
    <t>US-0438</t>
  </si>
  <si>
    <t>US-0439</t>
  </si>
  <si>
    <t>US-0440</t>
  </si>
  <si>
    <t>US-0441</t>
  </si>
  <si>
    <t>US-0442</t>
  </si>
  <si>
    <t>US-0443</t>
  </si>
  <si>
    <t>US-0444</t>
  </si>
  <si>
    <t>US-0445</t>
  </si>
  <si>
    <t>US-0446</t>
  </si>
  <si>
    <t>US-0447</t>
  </si>
  <si>
    <t>US-0448</t>
  </si>
  <si>
    <t>US-0449</t>
  </si>
  <si>
    <t>US-0450</t>
  </si>
  <si>
    <t>US-0451</t>
  </si>
  <si>
    <t>US-0452</t>
  </si>
  <si>
    <t>US-0453</t>
  </si>
  <si>
    <t>US-0454</t>
  </si>
  <si>
    <t>US-0455</t>
  </si>
  <si>
    <t>US-0456</t>
  </si>
  <si>
    <t>US-0457</t>
  </si>
  <si>
    <t>US-0458</t>
  </si>
  <si>
    <t>US-0459</t>
  </si>
  <si>
    <t>US-0460</t>
  </si>
  <si>
    <t>US-0461</t>
  </si>
  <si>
    <t>US-0462</t>
  </si>
  <si>
    <t>US-0463</t>
  </si>
  <si>
    <t>US-0464</t>
  </si>
  <si>
    <t>US-0465</t>
  </si>
  <si>
    <t>US-0466</t>
  </si>
  <si>
    <t>US-0467</t>
  </si>
  <si>
    <t>US-0468</t>
  </si>
  <si>
    <t>US-0469</t>
  </si>
  <si>
    <t>US-0470</t>
  </si>
  <si>
    <t>US-0471</t>
  </si>
  <si>
    <t>US-0472</t>
  </si>
  <si>
    <t>US-0473</t>
  </si>
  <si>
    <t>US-0474</t>
  </si>
  <si>
    <t>US-0475</t>
  </si>
  <si>
    <t>US-0476</t>
  </si>
  <si>
    <t>US-0477</t>
  </si>
  <si>
    <t>US-0478</t>
  </si>
  <si>
    <t>US-0479</t>
  </si>
  <si>
    <t>US-0480</t>
  </si>
  <si>
    <t>US-0481</t>
  </si>
  <si>
    <t>US-0482</t>
  </si>
  <si>
    <t>US-0483</t>
  </si>
  <si>
    <t>US-0484</t>
  </si>
  <si>
    <t>US-0485</t>
  </si>
  <si>
    <t>US-0486</t>
  </si>
  <si>
    <t>US-0487</t>
  </si>
  <si>
    <t>US-0488</t>
  </si>
  <si>
    <t>US-0489</t>
  </si>
  <si>
    <t>US-0490</t>
  </si>
  <si>
    <t>US-0491</t>
  </si>
  <si>
    <t>US-0492</t>
  </si>
  <si>
    <t>US-0493</t>
  </si>
  <si>
    <t>US-0494</t>
  </si>
  <si>
    <t>US-0495</t>
  </si>
  <si>
    <t>US-0496</t>
  </si>
  <si>
    <t>US-0497</t>
  </si>
  <si>
    <t>US-0498</t>
  </si>
  <si>
    <t>US-0499</t>
  </si>
  <si>
    <t>US-0500</t>
  </si>
  <si>
    <t>Annual Pay</t>
  </si>
  <si>
    <t>Years of Service Group</t>
  </si>
  <si>
    <t>Fitness Grade</t>
  </si>
  <si>
    <t>Retension Risk</t>
  </si>
  <si>
    <t>Deployment Category</t>
  </si>
  <si>
    <t>High Performer Flag</t>
  </si>
  <si>
    <t>Leadership Pipeline</t>
  </si>
  <si>
    <t>Compensation Efficiency</t>
  </si>
  <si>
    <t>Elite Soldier Score</t>
  </si>
  <si>
    <t>15+ Years</t>
  </si>
  <si>
    <t>A</t>
  </si>
  <si>
    <t>No Combat</t>
  </si>
  <si>
    <t>Standard</t>
  </si>
  <si>
    <t>Not Ready</t>
  </si>
  <si>
    <t>0-5 Years</t>
  </si>
  <si>
    <t>C</t>
  </si>
  <si>
    <t>10-15 Years</t>
  </si>
  <si>
    <t>B</t>
  </si>
  <si>
    <t>1 Tour</t>
  </si>
  <si>
    <t>5-10 Years</t>
  </si>
  <si>
    <t>D</t>
  </si>
  <si>
    <t>Separated</t>
  </si>
  <si>
    <t>2 Tours</t>
  </si>
  <si>
    <t>Promotion Ready</t>
  </si>
  <si>
    <t>High Risk</t>
  </si>
  <si>
    <t>High Performer</t>
  </si>
  <si>
    <t>Medium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</si>
</sst>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42" applyFont="1"/>
    <xf numFmtId="4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1"/>
  <sheetViews>
    <sheetView topLeftCell="AR1" workbookViewId="0">
      <selection activeCell="AT15" sqref="AT15"/>
    </sheetView>
  </sheetViews>
  <sheetFormatPr defaultRowHeight="15" x14ac:dyDescent="0.25"/>
  <cols>
    <col min="1" max="1" width="11.140625" bestFit="1" customWidth="1"/>
    <col min="2" max="2" width="11.5703125" bestFit="1" customWidth="1"/>
    <col min="3" max="3" width="12.140625" bestFit="1" customWidth="1"/>
    <col min="4" max="4" width="8.140625" bestFit="1" customWidth="1"/>
    <col min="5" max="5" width="4.5703125" bestFit="1" customWidth="1"/>
    <col min="6" max="6" width="12.85546875" bestFit="1" customWidth="1"/>
    <col min="7" max="7" width="6" bestFit="1" customWidth="1"/>
    <col min="8" max="8" width="11.42578125" bestFit="1" customWidth="1"/>
    <col min="9" max="9" width="11.140625" bestFit="1" customWidth="1"/>
    <col min="10" max="10" width="32.42578125" bestFit="1" customWidth="1"/>
    <col min="11" max="11" width="16.42578125" bestFit="1" customWidth="1"/>
    <col min="12" max="12" width="8.7109375" bestFit="1" customWidth="1"/>
    <col min="13" max="13" width="11" bestFit="1" customWidth="1"/>
    <col min="14" max="14" width="10.140625" bestFit="1" customWidth="1"/>
    <col min="15" max="15" width="9.5703125" bestFit="1" customWidth="1"/>
    <col min="16" max="16" width="17.85546875" bestFit="1" customWidth="1"/>
    <col min="17" max="17" width="18.28515625" bestFit="1" customWidth="1"/>
    <col min="18" max="18" width="12.5703125" bestFit="1" customWidth="1"/>
    <col min="19" max="19" width="13.140625" bestFit="1" customWidth="1"/>
    <col min="20" max="20" width="12.28515625" bestFit="1" customWidth="1"/>
    <col min="21" max="21" width="16.7109375" bestFit="1" customWidth="1"/>
    <col min="22" max="22" width="15.7109375" bestFit="1" customWidth="1"/>
    <col min="23" max="23" width="14.5703125" bestFit="1" customWidth="1"/>
    <col min="24" max="24" width="9.28515625" bestFit="1" customWidth="1"/>
    <col min="25" max="25" width="9" bestFit="1" customWidth="1"/>
    <col min="26" max="26" width="25.85546875" bestFit="1" customWidth="1"/>
    <col min="27" max="27" width="19" bestFit="1" customWidth="1"/>
    <col min="28" max="28" width="13.140625" bestFit="1" customWidth="1"/>
    <col min="29" max="29" width="15.140625" bestFit="1" customWidth="1"/>
    <col min="30" max="30" width="16.5703125" bestFit="1" customWidth="1"/>
    <col min="31" max="31" width="14.42578125" bestFit="1" customWidth="1"/>
    <col min="32" max="32" width="11" bestFit="1" customWidth="1"/>
    <col min="33" max="33" width="16" bestFit="1" customWidth="1"/>
    <col min="34" max="34" width="24.42578125" bestFit="1" customWidth="1"/>
    <col min="35" max="35" width="14.5703125" bestFit="1" customWidth="1"/>
    <col min="36" max="37" width="20.7109375" bestFit="1" customWidth="1"/>
    <col min="38" max="38" width="23.42578125" bestFit="1" customWidth="1"/>
    <col min="39" max="39" width="12.7109375" bestFit="1" customWidth="1"/>
    <col min="40" max="40" width="18.7109375" bestFit="1" customWidth="1"/>
    <col min="41" max="42" width="26.42578125" bestFit="1" customWidth="1"/>
    <col min="43" max="43" width="19.5703125" bestFit="1" customWidth="1"/>
    <col min="44" max="44" width="23.42578125" bestFit="1" customWidth="1"/>
    <col min="45" max="45" width="14.85546875" bestFit="1" customWidth="1"/>
    <col min="46" max="46" width="17.5703125" bestFit="1" customWidth="1"/>
    <col min="47" max="47" width="15.85546875" bestFit="1" customWidth="1"/>
    <col min="48" max="48" width="11.5703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51</v>
      </c>
      <c r="E2">
        <v>40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s="1">
        <v>39065</v>
      </c>
      <c r="Q2">
        <v>17.5</v>
      </c>
      <c r="R2" t="s">
        <v>62</v>
      </c>
      <c r="S2" t="s">
        <v>63</v>
      </c>
      <c r="T2" t="s">
        <v>64</v>
      </c>
      <c r="U2">
        <v>0</v>
      </c>
      <c r="V2">
        <v>0</v>
      </c>
      <c r="W2">
        <v>4739</v>
      </c>
      <c r="X2">
        <v>0</v>
      </c>
      <c r="Y2">
        <v>422</v>
      </c>
      <c r="Z2">
        <v>5161</v>
      </c>
      <c r="AA2">
        <v>548</v>
      </c>
      <c r="AB2" t="s">
        <v>65</v>
      </c>
      <c r="AC2">
        <v>12.8</v>
      </c>
      <c r="AD2">
        <v>33</v>
      </c>
      <c r="AE2">
        <v>44</v>
      </c>
      <c r="AF2" t="s">
        <v>66</v>
      </c>
      <c r="AG2">
        <v>33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70</v>
      </c>
      <c r="AN2" t="s">
        <v>72</v>
      </c>
      <c r="AO2" t="s">
        <v>73</v>
      </c>
      <c r="AP2" t="s">
        <v>72</v>
      </c>
      <c r="AQ2" t="s">
        <v>74</v>
      </c>
      <c r="AR2" s="1">
        <v>44972</v>
      </c>
      <c r="AS2" t="s">
        <v>75</v>
      </c>
      <c r="AT2" t="s">
        <v>71</v>
      </c>
      <c r="AU2">
        <v>878</v>
      </c>
      <c r="AV2" t="s">
        <v>76</v>
      </c>
    </row>
    <row r="3" spans="1:48" x14ac:dyDescent="0.25">
      <c r="A3" t="s">
        <v>77</v>
      </c>
      <c r="B3" t="s">
        <v>78</v>
      </c>
      <c r="C3" t="s">
        <v>79</v>
      </c>
      <c r="D3" t="s">
        <v>51</v>
      </c>
      <c r="E3">
        <v>30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s="1">
        <v>44330</v>
      </c>
      <c r="Q3">
        <v>3</v>
      </c>
      <c r="R3" t="s">
        <v>90</v>
      </c>
      <c r="S3" t="s">
        <v>91</v>
      </c>
      <c r="T3" t="s">
        <v>92</v>
      </c>
      <c r="U3">
        <v>3</v>
      </c>
      <c r="V3">
        <v>0</v>
      </c>
      <c r="W3">
        <v>2504</v>
      </c>
      <c r="X3">
        <v>0</v>
      </c>
      <c r="Y3">
        <v>422</v>
      </c>
      <c r="Z3">
        <v>2926</v>
      </c>
      <c r="AA3">
        <v>475</v>
      </c>
      <c r="AB3" t="s">
        <v>65</v>
      </c>
      <c r="AC3">
        <v>17.2</v>
      </c>
      <c r="AD3">
        <v>73</v>
      </c>
      <c r="AE3">
        <v>70</v>
      </c>
      <c r="AF3" t="s">
        <v>93</v>
      </c>
      <c r="AG3">
        <v>38</v>
      </c>
      <c r="AH3" t="s">
        <v>94</v>
      </c>
      <c r="AI3" t="s">
        <v>95</v>
      </c>
      <c r="AJ3" t="s">
        <v>96</v>
      </c>
      <c r="AK3" t="s">
        <v>71</v>
      </c>
      <c r="AL3" t="s">
        <v>71</v>
      </c>
      <c r="AM3" t="s">
        <v>71</v>
      </c>
      <c r="AN3" t="s">
        <v>72</v>
      </c>
      <c r="AO3" t="s">
        <v>97</v>
      </c>
      <c r="AP3" t="s">
        <v>72</v>
      </c>
      <c r="AQ3" t="s">
        <v>98</v>
      </c>
      <c r="AR3" s="1">
        <v>44924</v>
      </c>
      <c r="AS3" t="s">
        <v>75</v>
      </c>
      <c r="AT3" t="s">
        <v>71</v>
      </c>
      <c r="AU3">
        <v>358</v>
      </c>
      <c r="AV3" t="s">
        <v>76</v>
      </c>
    </row>
    <row r="4" spans="1:48" x14ac:dyDescent="0.25">
      <c r="A4" t="s">
        <v>99</v>
      </c>
      <c r="B4" t="s">
        <v>100</v>
      </c>
      <c r="C4" t="s">
        <v>79</v>
      </c>
      <c r="D4" t="s">
        <v>51</v>
      </c>
      <c r="E4">
        <v>22</v>
      </c>
      <c r="F4" t="s">
        <v>80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109</v>
      </c>
      <c r="P4" s="1">
        <v>41461</v>
      </c>
      <c r="Q4">
        <v>10.9</v>
      </c>
      <c r="R4" t="s">
        <v>62</v>
      </c>
      <c r="S4" t="s">
        <v>110</v>
      </c>
      <c r="T4" t="s">
        <v>111</v>
      </c>
      <c r="U4">
        <v>7</v>
      </c>
      <c r="V4">
        <v>1</v>
      </c>
      <c r="W4">
        <v>2980</v>
      </c>
      <c r="X4">
        <v>0</v>
      </c>
      <c r="Y4">
        <v>422</v>
      </c>
      <c r="Z4">
        <v>3402</v>
      </c>
      <c r="AA4">
        <v>495</v>
      </c>
      <c r="AB4" t="s">
        <v>65</v>
      </c>
      <c r="AC4">
        <v>14.4</v>
      </c>
      <c r="AD4">
        <v>22</v>
      </c>
      <c r="AE4">
        <v>50</v>
      </c>
      <c r="AF4" t="s">
        <v>112</v>
      </c>
      <c r="AG4">
        <v>18</v>
      </c>
      <c r="AH4" t="s">
        <v>113</v>
      </c>
      <c r="AI4" t="s">
        <v>114</v>
      </c>
      <c r="AJ4" t="s">
        <v>69</v>
      </c>
      <c r="AK4" t="s">
        <v>70</v>
      </c>
      <c r="AL4" t="s">
        <v>70</v>
      </c>
      <c r="AM4" t="s">
        <v>70</v>
      </c>
      <c r="AN4" t="s">
        <v>115</v>
      </c>
      <c r="AO4" t="s">
        <v>73</v>
      </c>
      <c r="AP4" t="s">
        <v>116</v>
      </c>
      <c r="AQ4" t="s">
        <v>117</v>
      </c>
      <c r="AR4" s="1">
        <v>43427</v>
      </c>
      <c r="AS4" t="s">
        <v>118</v>
      </c>
      <c r="AT4" t="s">
        <v>71</v>
      </c>
      <c r="AU4">
        <v>1254</v>
      </c>
      <c r="AV4" t="s">
        <v>76</v>
      </c>
    </row>
    <row r="5" spans="1:48" x14ac:dyDescent="0.25">
      <c r="A5" t="s">
        <v>119</v>
      </c>
      <c r="B5" t="s">
        <v>120</v>
      </c>
      <c r="C5" t="s">
        <v>121</v>
      </c>
      <c r="D5" t="s">
        <v>122</v>
      </c>
      <c r="E5">
        <v>31</v>
      </c>
      <c r="F5" t="s">
        <v>123</v>
      </c>
      <c r="G5" t="s">
        <v>124</v>
      </c>
      <c r="H5" t="s">
        <v>125</v>
      </c>
      <c r="I5" t="s">
        <v>103</v>
      </c>
      <c r="J5" t="s">
        <v>104</v>
      </c>
      <c r="K5" t="s">
        <v>105</v>
      </c>
      <c r="L5" t="s">
        <v>126</v>
      </c>
      <c r="M5" t="s">
        <v>127</v>
      </c>
      <c r="N5" t="s">
        <v>128</v>
      </c>
      <c r="O5" t="s">
        <v>89</v>
      </c>
      <c r="P5" s="1">
        <v>39251</v>
      </c>
      <c r="Q5">
        <v>17</v>
      </c>
      <c r="R5" t="s">
        <v>129</v>
      </c>
      <c r="S5" t="s">
        <v>130</v>
      </c>
      <c r="T5" t="s">
        <v>131</v>
      </c>
      <c r="U5">
        <v>5</v>
      </c>
      <c r="V5">
        <v>0</v>
      </c>
      <c r="W5">
        <v>2730</v>
      </c>
      <c r="X5">
        <v>2193</v>
      </c>
      <c r="Y5">
        <v>422</v>
      </c>
      <c r="Z5">
        <v>5345</v>
      </c>
      <c r="AA5">
        <v>595</v>
      </c>
      <c r="AB5" t="s">
        <v>65</v>
      </c>
      <c r="AC5">
        <v>17.600000000000001</v>
      </c>
      <c r="AD5">
        <v>44</v>
      </c>
      <c r="AE5">
        <v>54</v>
      </c>
      <c r="AF5" t="s">
        <v>132</v>
      </c>
      <c r="AG5">
        <v>32</v>
      </c>
      <c r="AH5" t="s">
        <v>67</v>
      </c>
      <c r="AI5" t="s">
        <v>95</v>
      </c>
      <c r="AJ5" t="s">
        <v>96</v>
      </c>
      <c r="AK5" t="s">
        <v>70</v>
      </c>
      <c r="AL5" t="s">
        <v>71</v>
      </c>
      <c r="AM5" t="s">
        <v>70</v>
      </c>
      <c r="AN5" t="s">
        <v>133</v>
      </c>
      <c r="AO5" t="s">
        <v>134</v>
      </c>
      <c r="AP5" t="s">
        <v>135</v>
      </c>
      <c r="AQ5" t="s">
        <v>136</v>
      </c>
      <c r="AR5" s="1">
        <v>41240</v>
      </c>
      <c r="AS5" t="s">
        <v>137</v>
      </c>
      <c r="AT5" t="s">
        <v>71</v>
      </c>
      <c r="AU5">
        <v>1550</v>
      </c>
      <c r="AV5" t="s">
        <v>76</v>
      </c>
    </row>
    <row r="6" spans="1:48" x14ac:dyDescent="0.25">
      <c r="A6" t="s">
        <v>138</v>
      </c>
      <c r="B6" t="s">
        <v>139</v>
      </c>
      <c r="C6" t="s">
        <v>140</v>
      </c>
      <c r="D6" t="s">
        <v>51</v>
      </c>
      <c r="E6">
        <v>22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106</v>
      </c>
      <c r="M6" t="s">
        <v>147</v>
      </c>
      <c r="N6" t="s">
        <v>148</v>
      </c>
      <c r="O6" t="s">
        <v>149</v>
      </c>
      <c r="P6" s="1">
        <v>39605</v>
      </c>
      <c r="Q6">
        <v>16</v>
      </c>
      <c r="R6" t="s">
        <v>150</v>
      </c>
      <c r="S6" t="s">
        <v>110</v>
      </c>
      <c r="T6" t="s">
        <v>111</v>
      </c>
      <c r="U6">
        <v>5</v>
      </c>
      <c r="V6">
        <v>0</v>
      </c>
      <c r="W6">
        <v>5473</v>
      </c>
      <c r="X6">
        <v>0</v>
      </c>
      <c r="Y6">
        <v>422</v>
      </c>
      <c r="Z6">
        <v>5895</v>
      </c>
      <c r="AA6">
        <v>347</v>
      </c>
      <c r="AB6" t="s">
        <v>151</v>
      </c>
      <c r="AC6">
        <v>17.600000000000001</v>
      </c>
      <c r="AD6">
        <v>51</v>
      </c>
      <c r="AE6">
        <v>31</v>
      </c>
      <c r="AF6" t="s">
        <v>112</v>
      </c>
      <c r="AG6">
        <v>25</v>
      </c>
      <c r="AH6" t="s">
        <v>113</v>
      </c>
      <c r="AI6" t="s">
        <v>152</v>
      </c>
      <c r="AJ6" t="s">
        <v>69</v>
      </c>
      <c r="AK6" t="s">
        <v>71</v>
      </c>
      <c r="AL6" t="s">
        <v>70</v>
      </c>
      <c r="AM6" t="s">
        <v>70</v>
      </c>
      <c r="AN6" t="s">
        <v>72</v>
      </c>
      <c r="AO6" t="s">
        <v>73</v>
      </c>
      <c r="AP6" t="s">
        <v>72</v>
      </c>
      <c r="AQ6" t="s">
        <v>136</v>
      </c>
      <c r="AR6" s="1">
        <v>44417</v>
      </c>
      <c r="AS6" t="s">
        <v>118</v>
      </c>
      <c r="AT6" t="s">
        <v>71</v>
      </c>
      <c r="AU6">
        <v>1233</v>
      </c>
      <c r="AV6" t="s">
        <v>76</v>
      </c>
    </row>
    <row r="7" spans="1:48" x14ac:dyDescent="0.25">
      <c r="A7" t="s">
        <v>153</v>
      </c>
      <c r="B7" t="s">
        <v>154</v>
      </c>
      <c r="C7" t="s">
        <v>155</v>
      </c>
      <c r="D7" t="s">
        <v>51</v>
      </c>
      <c r="E7">
        <v>25</v>
      </c>
      <c r="F7" t="s">
        <v>80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t="s">
        <v>106</v>
      </c>
      <c r="M7" t="s">
        <v>161</v>
      </c>
      <c r="N7" t="s">
        <v>162</v>
      </c>
      <c r="O7" t="s">
        <v>61</v>
      </c>
      <c r="P7" s="1">
        <v>42051</v>
      </c>
      <c r="Q7">
        <v>9.3000000000000007</v>
      </c>
      <c r="R7" t="s">
        <v>150</v>
      </c>
      <c r="S7" t="s">
        <v>163</v>
      </c>
      <c r="T7" t="s">
        <v>164</v>
      </c>
      <c r="U7">
        <v>7</v>
      </c>
      <c r="V7">
        <v>1</v>
      </c>
      <c r="W7">
        <v>4836</v>
      </c>
      <c r="X7">
        <v>0</v>
      </c>
      <c r="Y7">
        <v>266</v>
      </c>
      <c r="Z7">
        <v>5102</v>
      </c>
      <c r="AA7">
        <v>407</v>
      </c>
      <c r="AB7" t="s">
        <v>65</v>
      </c>
      <c r="AC7">
        <v>15.4</v>
      </c>
      <c r="AD7">
        <v>57</v>
      </c>
      <c r="AE7">
        <v>65</v>
      </c>
      <c r="AF7" t="s">
        <v>93</v>
      </c>
      <c r="AG7">
        <v>16</v>
      </c>
      <c r="AH7" t="s">
        <v>113</v>
      </c>
      <c r="AI7" t="s">
        <v>95</v>
      </c>
      <c r="AJ7" t="s">
        <v>72</v>
      </c>
      <c r="AK7" t="s">
        <v>70</v>
      </c>
      <c r="AL7" t="s">
        <v>71</v>
      </c>
      <c r="AM7" t="s">
        <v>70</v>
      </c>
      <c r="AN7" t="s">
        <v>133</v>
      </c>
      <c r="AO7" t="s">
        <v>97</v>
      </c>
      <c r="AP7" t="s">
        <v>135</v>
      </c>
      <c r="AQ7" t="s">
        <v>98</v>
      </c>
      <c r="AR7" s="1">
        <v>45619</v>
      </c>
      <c r="AS7" t="s">
        <v>118</v>
      </c>
      <c r="AT7" t="s">
        <v>71</v>
      </c>
      <c r="AU7">
        <v>1436</v>
      </c>
      <c r="AV7" t="s">
        <v>76</v>
      </c>
    </row>
    <row r="8" spans="1:48" x14ac:dyDescent="0.25">
      <c r="A8" t="s">
        <v>165</v>
      </c>
      <c r="B8" t="s">
        <v>166</v>
      </c>
      <c r="C8" t="s">
        <v>167</v>
      </c>
      <c r="D8" t="s">
        <v>51</v>
      </c>
      <c r="E8">
        <v>32</v>
      </c>
      <c r="F8" t="s">
        <v>168</v>
      </c>
      <c r="G8" t="s">
        <v>169</v>
      </c>
      <c r="H8" t="s">
        <v>170</v>
      </c>
      <c r="I8" t="s">
        <v>171</v>
      </c>
      <c r="J8" t="s">
        <v>172</v>
      </c>
      <c r="K8" t="s">
        <v>173</v>
      </c>
      <c r="L8" t="s">
        <v>174</v>
      </c>
      <c r="M8" t="s">
        <v>175</v>
      </c>
      <c r="N8" t="s">
        <v>162</v>
      </c>
      <c r="O8" t="s">
        <v>176</v>
      </c>
      <c r="P8" s="1">
        <v>41822</v>
      </c>
      <c r="Q8">
        <v>9.9</v>
      </c>
      <c r="R8" t="s">
        <v>62</v>
      </c>
      <c r="S8" t="s">
        <v>91</v>
      </c>
      <c r="T8" t="s">
        <v>92</v>
      </c>
      <c r="U8">
        <v>14</v>
      </c>
      <c r="V8">
        <v>2</v>
      </c>
      <c r="W8">
        <v>3294</v>
      </c>
      <c r="X8">
        <v>0</v>
      </c>
      <c r="Y8">
        <v>422</v>
      </c>
      <c r="Z8">
        <v>3716</v>
      </c>
      <c r="AA8">
        <v>345</v>
      </c>
      <c r="AB8" t="s">
        <v>151</v>
      </c>
      <c r="AC8">
        <v>13</v>
      </c>
      <c r="AD8">
        <v>66</v>
      </c>
      <c r="AE8">
        <v>51</v>
      </c>
      <c r="AF8" t="s">
        <v>93</v>
      </c>
      <c r="AG8">
        <v>22</v>
      </c>
      <c r="AH8" t="s">
        <v>113</v>
      </c>
      <c r="AI8" t="s">
        <v>177</v>
      </c>
      <c r="AJ8" t="s">
        <v>96</v>
      </c>
      <c r="AK8" t="s">
        <v>70</v>
      </c>
      <c r="AL8" t="s">
        <v>71</v>
      </c>
      <c r="AM8" t="s">
        <v>71</v>
      </c>
      <c r="AN8" t="s">
        <v>115</v>
      </c>
      <c r="AO8" t="s">
        <v>73</v>
      </c>
      <c r="AP8" t="s">
        <v>178</v>
      </c>
      <c r="AQ8" t="s">
        <v>74</v>
      </c>
      <c r="AR8" s="1">
        <v>45064</v>
      </c>
      <c r="AS8" t="s">
        <v>137</v>
      </c>
      <c r="AT8" t="s">
        <v>71</v>
      </c>
      <c r="AU8">
        <v>-440</v>
      </c>
      <c r="AV8" t="s">
        <v>179</v>
      </c>
    </row>
    <row r="9" spans="1:48" x14ac:dyDescent="0.25">
      <c r="A9" t="s">
        <v>180</v>
      </c>
      <c r="B9" t="s">
        <v>181</v>
      </c>
      <c r="C9" t="s">
        <v>182</v>
      </c>
      <c r="D9" t="s">
        <v>51</v>
      </c>
      <c r="E9">
        <v>36</v>
      </c>
      <c r="F9" t="s">
        <v>168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126</v>
      </c>
      <c r="M9" t="s">
        <v>107</v>
      </c>
      <c r="N9" t="s">
        <v>128</v>
      </c>
      <c r="O9" t="s">
        <v>109</v>
      </c>
      <c r="P9" s="1">
        <v>38833</v>
      </c>
      <c r="Q9">
        <v>18.100000000000001</v>
      </c>
      <c r="R9" t="s">
        <v>62</v>
      </c>
      <c r="S9" t="s">
        <v>130</v>
      </c>
      <c r="T9" t="s">
        <v>131</v>
      </c>
      <c r="U9">
        <v>12</v>
      </c>
      <c r="V9">
        <v>2</v>
      </c>
      <c r="W9">
        <v>5696</v>
      </c>
      <c r="X9">
        <v>804</v>
      </c>
      <c r="Y9">
        <v>266</v>
      </c>
      <c r="Z9">
        <v>6766</v>
      </c>
      <c r="AA9">
        <v>522</v>
      </c>
      <c r="AB9" t="s">
        <v>65</v>
      </c>
      <c r="AC9">
        <v>14.8</v>
      </c>
      <c r="AD9">
        <v>70</v>
      </c>
      <c r="AE9">
        <v>80</v>
      </c>
      <c r="AF9" t="s">
        <v>112</v>
      </c>
      <c r="AG9">
        <v>29</v>
      </c>
      <c r="AH9" t="s">
        <v>113</v>
      </c>
      <c r="AI9" t="s">
        <v>177</v>
      </c>
      <c r="AJ9" t="s">
        <v>188</v>
      </c>
      <c r="AK9" t="s">
        <v>70</v>
      </c>
      <c r="AL9" t="s">
        <v>71</v>
      </c>
      <c r="AM9" t="s">
        <v>71</v>
      </c>
      <c r="AN9" t="s">
        <v>72</v>
      </c>
      <c r="AO9" t="s">
        <v>72</v>
      </c>
      <c r="AP9" t="s">
        <v>72</v>
      </c>
      <c r="AQ9" t="s">
        <v>74</v>
      </c>
      <c r="AR9" s="1">
        <v>43503</v>
      </c>
      <c r="AS9" t="s">
        <v>75</v>
      </c>
      <c r="AT9" t="s">
        <v>71</v>
      </c>
      <c r="AU9">
        <v>1452</v>
      </c>
      <c r="AV9" t="s">
        <v>76</v>
      </c>
    </row>
    <row r="10" spans="1:48" x14ac:dyDescent="0.25">
      <c r="A10" t="s">
        <v>189</v>
      </c>
      <c r="B10" t="s">
        <v>190</v>
      </c>
      <c r="C10" t="s">
        <v>191</v>
      </c>
      <c r="D10" t="s">
        <v>51</v>
      </c>
      <c r="E10">
        <v>30</v>
      </c>
      <c r="F10" t="s">
        <v>192</v>
      </c>
      <c r="G10" t="s">
        <v>193</v>
      </c>
      <c r="H10" t="s">
        <v>194</v>
      </c>
      <c r="I10" t="s">
        <v>144</v>
      </c>
      <c r="J10" t="s">
        <v>145</v>
      </c>
      <c r="K10" t="s">
        <v>146</v>
      </c>
      <c r="L10" t="s">
        <v>58</v>
      </c>
      <c r="M10" t="s">
        <v>127</v>
      </c>
      <c r="N10" t="s">
        <v>148</v>
      </c>
      <c r="O10" t="s">
        <v>89</v>
      </c>
      <c r="P10" s="1">
        <v>43884</v>
      </c>
      <c r="Q10">
        <v>4.3</v>
      </c>
      <c r="R10" t="s">
        <v>195</v>
      </c>
      <c r="S10" t="s">
        <v>196</v>
      </c>
      <c r="T10" t="s">
        <v>197</v>
      </c>
      <c r="U10">
        <v>0</v>
      </c>
      <c r="V10">
        <v>0</v>
      </c>
      <c r="W10">
        <v>2259</v>
      </c>
      <c r="X10">
        <v>1281</v>
      </c>
      <c r="Y10">
        <v>422</v>
      </c>
      <c r="Z10">
        <v>3962</v>
      </c>
      <c r="AA10">
        <v>416</v>
      </c>
      <c r="AB10" t="s">
        <v>65</v>
      </c>
      <c r="AC10">
        <v>13.5</v>
      </c>
      <c r="AD10">
        <v>76</v>
      </c>
      <c r="AE10">
        <v>66</v>
      </c>
      <c r="AF10" t="s">
        <v>66</v>
      </c>
      <c r="AG10">
        <v>35</v>
      </c>
      <c r="AH10" t="s">
        <v>67</v>
      </c>
      <c r="AI10" t="s">
        <v>68</v>
      </c>
      <c r="AJ10" t="s">
        <v>188</v>
      </c>
      <c r="AK10" t="s">
        <v>70</v>
      </c>
      <c r="AL10" t="s">
        <v>71</v>
      </c>
      <c r="AM10" t="s">
        <v>70</v>
      </c>
      <c r="AN10" t="s">
        <v>72</v>
      </c>
      <c r="AO10" t="s">
        <v>97</v>
      </c>
      <c r="AP10" t="s">
        <v>72</v>
      </c>
      <c r="AQ10" t="s">
        <v>117</v>
      </c>
      <c r="AR10" s="1">
        <v>45370</v>
      </c>
      <c r="AS10" t="s">
        <v>198</v>
      </c>
      <c r="AT10" t="s">
        <v>71</v>
      </c>
      <c r="AU10">
        <v>-203</v>
      </c>
      <c r="AV10" t="s">
        <v>179</v>
      </c>
    </row>
    <row r="11" spans="1:48" x14ac:dyDescent="0.25">
      <c r="A11" t="s">
        <v>199</v>
      </c>
      <c r="B11" t="s">
        <v>100</v>
      </c>
      <c r="C11" t="s">
        <v>200</v>
      </c>
      <c r="D11" t="s">
        <v>51</v>
      </c>
      <c r="E11">
        <v>22</v>
      </c>
      <c r="F11" t="s">
        <v>80</v>
      </c>
      <c r="G11" t="s">
        <v>81</v>
      </c>
      <c r="H11" t="s">
        <v>82</v>
      </c>
      <c r="I11" t="s">
        <v>171</v>
      </c>
      <c r="J11" t="s">
        <v>172</v>
      </c>
      <c r="K11" t="s">
        <v>173</v>
      </c>
      <c r="L11" t="s">
        <v>201</v>
      </c>
      <c r="M11" t="s">
        <v>107</v>
      </c>
      <c r="N11" t="s">
        <v>148</v>
      </c>
      <c r="O11" t="s">
        <v>176</v>
      </c>
      <c r="P11" s="1">
        <v>39438</v>
      </c>
      <c r="Q11">
        <v>16.399999999999999</v>
      </c>
      <c r="R11" t="s">
        <v>62</v>
      </c>
      <c r="S11" t="s">
        <v>110</v>
      </c>
      <c r="T11" t="s">
        <v>111</v>
      </c>
      <c r="U11">
        <v>2</v>
      </c>
      <c r="V11">
        <v>0</v>
      </c>
      <c r="W11">
        <v>2504</v>
      </c>
      <c r="X11">
        <v>1300</v>
      </c>
      <c r="Y11">
        <v>422</v>
      </c>
      <c r="Z11">
        <v>4226</v>
      </c>
      <c r="AA11">
        <v>444</v>
      </c>
      <c r="AB11" t="s">
        <v>65</v>
      </c>
      <c r="AC11">
        <v>14.9</v>
      </c>
      <c r="AD11">
        <v>48</v>
      </c>
      <c r="AE11">
        <v>64</v>
      </c>
      <c r="AF11" t="s">
        <v>66</v>
      </c>
      <c r="AG11">
        <v>37</v>
      </c>
      <c r="AH11" t="s">
        <v>94</v>
      </c>
      <c r="AI11" t="s">
        <v>68</v>
      </c>
      <c r="AJ11" t="s">
        <v>96</v>
      </c>
      <c r="AK11" t="s">
        <v>71</v>
      </c>
      <c r="AL11" t="s">
        <v>71</v>
      </c>
      <c r="AM11" t="s">
        <v>70</v>
      </c>
      <c r="AN11" t="s">
        <v>202</v>
      </c>
      <c r="AO11" t="s">
        <v>203</v>
      </c>
      <c r="AP11" t="s">
        <v>72</v>
      </c>
      <c r="AQ11" t="s">
        <v>136</v>
      </c>
      <c r="AR11" s="1">
        <v>44714</v>
      </c>
      <c r="AS11" t="s">
        <v>118</v>
      </c>
      <c r="AT11" t="s">
        <v>71</v>
      </c>
      <c r="AU11">
        <v>581</v>
      </c>
      <c r="AV11" t="s">
        <v>76</v>
      </c>
    </row>
    <row r="12" spans="1:48" x14ac:dyDescent="0.25">
      <c r="A12" t="s">
        <v>204</v>
      </c>
      <c r="B12" t="s">
        <v>205</v>
      </c>
      <c r="C12" t="s">
        <v>206</v>
      </c>
      <c r="D12" t="s">
        <v>122</v>
      </c>
      <c r="E12">
        <v>22</v>
      </c>
      <c r="F12" t="s">
        <v>52</v>
      </c>
      <c r="G12" t="s">
        <v>193</v>
      </c>
      <c r="H12" t="s">
        <v>194</v>
      </c>
      <c r="I12" t="s">
        <v>158</v>
      </c>
      <c r="J12" t="s">
        <v>159</v>
      </c>
      <c r="K12" t="s">
        <v>160</v>
      </c>
      <c r="L12" t="s">
        <v>126</v>
      </c>
      <c r="M12" t="s">
        <v>207</v>
      </c>
      <c r="N12" t="s">
        <v>60</v>
      </c>
      <c r="O12" t="s">
        <v>89</v>
      </c>
      <c r="P12" s="1">
        <v>41085</v>
      </c>
      <c r="Q12">
        <v>11.9</v>
      </c>
      <c r="R12" t="s">
        <v>208</v>
      </c>
      <c r="S12" t="s">
        <v>196</v>
      </c>
      <c r="T12" t="s">
        <v>197</v>
      </c>
      <c r="U12">
        <v>0</v>
      </c>
      <c r="V12">
        <v>0</v>
      </c>
      <c r="W12">
        <v>2259</v>
      </c>
      <c r="X12">
        <v>1067</v>
      </c>
      <c r="Y12">
        <v>422</v>
      </c>
      <c r="Z12">
        <v>3748</v>
      </c>
      <c r="AA12">
        <v>508</v>
      </c>
      <c r="AB12" t="s">
        <v>65</v>
      </c>
      <c r="AC12">
        <v>13.9</v>
      </c>
      <c r="AD12">
        <v>48</v>
      </c>
      <c r="AE12">
        <v>65</v>
      </c>
      <c r="AF12" t="s">
        <v>66</v>
      </c>
      <c r="AG12">
        <v>19</v>
      </c>
      <c r="AH12" t="s">
        <v>113</v>
      </c>
      <c r="AI12" t="s">
        <v>114</v>
      </c>
      <c r="AJ12" t="s">
        <v>72</v>
      </c>
      <c r="AK12" t="s">
        <v>70</v>
      </c>
      <c r="AL12" t="s">
        <v>70</v>
      </c>
      <c r="AM12" t="s">
        <v>70</v>
      </c>
      <c r="AN12" t="s">
        <v>72</v>
      </c>
      <c r="AO12" t="s">
        <v>97</v>
      </c>
      <c r="AP12" t="s">
        <v>72</v>
      </c>
      <c r="AQ12" t="s">
        <v>98</v>
      </c>
      <c r="AR12" s="1">
        <v>41235</v>
      </c>
      <c r="AS12" t="s">
        <v>137</v>
      </c>
      <c r="AT12" t="s">
        <v>71</v>
      </c>
      <c r="AU12">
        <v>965</v>
      </c>
      <c r="AV12" t="s">
        <v>76</v>
      </c>
    </row>
    <row r="13" spans="1:48" x14ac:dyDescent="0.25">
      <c r="A13" t="s">
        <v>209</v>
      </c>
      <c r="B13" t="s">
        <v>210</v>
      </c>
      <c r="C13" t="s">
        <v>182</v>
      </c>
      <c r="D13" t="s">
        <v>51</v>
      </c>
      <c r="E13">
        <v>25</v>
      </c>
      <c r="F13" t="s">
        <v>211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201</v>
      </c>
      <c r="M13" t="s">
        <v>212</v>
      </c>
      <c r="N13" t="s">
        <v>148</v>
      </c>
      <c r="O13" t="s">
        <v>149</v>
      </c>
      <c r="P13" s="1">
        <v>40292</v>
      </c>
      <c r="Q13">
        <v>14.1</v>
      </c>
      <c r="R13" t="s">
        <v>90</v>
      </c>
      <c r="S13" t="s">
        <v>196</v>
      </c>
      <c r="T13" t="s">
        <v>197</v>
      </c>
      <c r="U13">
        <v>0</v>
      </c>
      <c r="V13">
        <v>0</v>
      </c>
      <c r="W13">
        <v>2504</v>
      </c>
      <c r="X13">
        <v>0</v>
      </c>
      <c r="Y13">
        <v>422</v>
      </c>
      <c r="Z13">
        <v>2926</v>
      </c>
      <c r="AA13">
        <v>460</v>
      </c>
      <c r="AB13" t="s">
        <v>65</v>
      </c>
      <c r="AC13">
        <v>20</v>
      </c>
      <c r="AD13">
        <v>21</v>
      </c>
      <c r="AE13">
        <v>41</v>
      </c>
      <c r="AF13" t="s">
        <v>132</v>
      </c>
      <c r="AG13">
        <v>37</v>
      </c>
      <c r="AH13" t="s">
        <v>94</v>
      </c>
      <c r="AI13" t="s">
        <v>95</v>
      </c>
      <c r="AJ13" t="s">
        <v>72</v>
      </c>
      <c r="AK13" t="s">
        <v>70</v>
      </c>
      <c r="AL13" t="s">
        <v>71</v>
      </c>
      <c r="AM13" t="s">
        <v>70</v>
      </c>
      <c r="AN13" t="s">
        <v>72</v>
      </c>
      <c r="AO13" t="s">
        <v>72</v>
      </c>
      <c r="AP13" t="s">
        <v>134</v>
      </c>
      <c r="AQ13" t="s">
        <v>98</v>
      </c>
      <c r="AR13" s="1">
        <v>42043</v>
      </c>
      <c r="AS13" t="s">
        <v>75</v>
      </c>
      <c r="AT13" t="s">
        <v>71</v>
      </c>
      <c r="AU13">
        <v>413</v>
      </c>
      <c r="AV13" t="s">
        <v>76</v>
      </c>
    </row>
    <row r="14" spans="1:48" x14ac:dyDescent="0.25">
      <c r="A14" t="s">
        <v>213</v>
      </c>
      <c r="B14" t="s">
        <v>78</v>
      </c>
      <c r="C14" t="s">
        <v>155</v>
      </c>
      <c r="D14" t="s">
        <v>51</v>
      </c>
      <c r="E14">
        <v>26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K14" t="s">
        <v>146</v>
      </c>
      <c r="L14" t="s">
        <v>174</v>
      </c>
      <c r="M14" t="s">
        <v>207</v>
      </c>
      <c r="N14" t="s">
        <v>88</v>
      </c>
      <c r="O14" t="s">
        <v>61</v>
      </c>
      <c r="P14" s="1">
        <v>41627</v>
      </c>
      <c r="Q14">
        <v>10.5</v>
      </c>
      <c r="R14" t="s">
        <v>75</v>
      </c>
      <c r="S14" t="s">
        <v>219</v>
      </c>
      <c r="T14" t="s">
        <v>220</v>
      </c>
      <c r="U14">
        <v>0</v>
      </c>
      <c r="V14">
        <v>0</v>
      </c>
      <c r="W14">
        <v>3637</v>
      </c>
      <c r="X14">
        <v>1898</v>
      </c>
      <c r="Y14">
        <v>266</v>
      </c>
      <c r="Z14">
        <v>5801</v>
      </c>
      <c r="AA14">
        <v>381</v>
      </c>
      <c r="AB14" t="s">
        <v>65</v>
      </c>
      <c r="AC14">
        <v>20.5</v>
      </c>
      <c r="AD14">
        <v>27</v>
      </c>
      <c r="AE14">
        <v>46</v>
      </c>
      <c r="AF14" t="s">
        <v>112</v>
      </c>
      <c r="AG14">
        <v>17</v>
      </c>
      <c r="AH14" t="s">
        <v>113</v>
      </c>
      <c r="AI14" t="s">
        <v>95</v>
      </c>
      <c r="AJ14" t="s">
        <v>72</v>
      </c>
      <c r="AK14" t="s">
        <v>70</v>
      </c>
      <c r="AL14" t="s">
        <v>70</v>
      </c>
      <c r="AM14" t="s">
        <v>70</v>
      </c>
      <c r="AN14" t="s">
        <v>115</v>
      </c>
      <c r="AO14" t="s">
        <v>97</v>
      </c>
      <c r="AP14" t="s">
        <v>221</v>
      </c>
      <c r="AQ14" t="s">
        <v>117</v>
      </c>
      <c r="AR14" s="1">
        <v>42889</v>
      </c>
      <c r="AS14" t="s">
        <v>137</v>
      </c>
      <c r="AT14" t="s">
        <v>71</v>
      </c>
      <c r="AU14">
        <v>991</v>
      </c>
      <c r="AV14" t="s">
        <v>76</v>
      </c>
    </row>
    <row r="15" spans="1:48" x14ac:dyDescent="0.25">
      <c r="A15" t="s">
        <v>222</v>
      </c>
      <c r="B15" t="s">
        <v>210</v>
      </c>
      <c r="C15" t="s">
        <v>223</v>
      </c>
      <c r="D15" t="s">
        <v>122</v>
      </c>
      <c r="E15">
        <v>27</v>
      </c>
      <c r="F15" t="s">
        <v>224</v>
      </c>
      <c r="G15" t="s">
        <v>215</v>
      </c>
      <c r="H15" t="s">
        <v>216</v>
      </c>
      <c r="I15" t="s">
        <v>225</v>
      </c>
      <c r="J15" t="s">
        <v>226</v>
      </c>
      <c r="K15" t="s">
        <v>105</v>
      </c>
      <c r="L15" t="s">
        <v>86</v>
      </c>
      <c r="M15" t="s">
        <v>175</v>
      </c>
      <c r="N15" t="s">
        <v>128</v>
      </c>
      <c r="O15" t="s">
        <v>89</v>
      </c>
      <c r="P15" s="1">
        <v>44249</v>
      </c>
      <c r="Q15">
        <v>3.3</v>
      </c>
      <c r="R15" t="s">
        <v>208</v>
      </c>
      <c r="S15" t="s">
        <v>110</v>
      </c>
      <c r="T15" t="s">
        <v>111</v>
      </c>
      <c r="U15">
        <v>9</v>
      </c>
      <c r="V15">
        <v>1</v>
      </c>
      <c r="W15">
        <v>3637</v>
      </c>
      <c r="X15">
        <v>2165</v>
      </c>
      <c r="Y15">
        <v>266</v>
      </c>
      <c r="Z15">
        <v>6068</v>
      </c>
      <c r="AA15">
        <v>573</v>
      </c>
      <c r="AB15" t="s">
        <v>65</v>
      </c>
      <c r="AC15">
        <v>15.3</v>
      </c>
      <c r="AD15">
        <v>64</v>
      </c>
      <c r="AE15">
        <v>48</v>
      </c>
      <c r="AF15" t="s">
        <v>93</v>
      </c>
      <c r="AG15">
        <v>22</v>
      </c>
      <c r="AH15" t="s">
        <v>113</v>
      </c>
      <c r="AI15" t="s">
        <v>114</v>
      </c>
      <c r="AJ15" t="s">
        <v>96</v>
      </c>
      <c r="AK15" t="s">
        <v>70</v>
      </c>
      <c r="AL15" t="s">
        <v>70</v>
      </c>
      <c r="AM15" t="s">
        <v>71</v>
      </c>
      <c r="AN15" t="s">
        <v>115</v>
      </c>
      <c r="AO15" t="s">
        <v>227</v>
      </c>
      <c r="AP15" t="s">
        <v>227</v>
      </c>
      <c r="AQ15" t="s">
        <v>98</v>
      </c>
      <c r="AR15" s="1">
        <v>45537</v>
      </c>
      <c r="AS15" t="s">
        <v>198</v>
      </c>
      <c r="AT15" t="s">
        <v>71</v>
      </c>
      <c r="AU15">
        <v>819</v>
      </c>
      <c r="AV15" t="s">
        <v>76</v>
      </c>
    </row>
    <row r="16" spans="1:48" x14ac:dyDescent="0.25">
      <c r="A16" t="s">
        <v>228</v>
      </c>
      <c r="B16" t="s">
        <v>229</v>
      </c>
      <c r="C16" t="s">
        <v>230</v>
      </c>
      <c r="D16" t="s">
        <v>122</v>
      </c>
      <c r="E16">
        <v>32</v>
      </c>
      <c r="F16" t="s">
        <v>52</v>
      </c>
      <c r="G16" t="s">
        <v>169</v>
      </c>
      <c r="H16" t="s">
        <v>170</v>
      </c>
      <c r="I16" t="s">
        <v>103</v>
      </c>
      <c r="J16" t="s">
        <v>104</v>
      </c>
      <c r="K16" t="s">
        <v>105</v>
      </c>
      <c r="L16" t="s">
        <v>126</v>
      </c>
      <c r="M16" t="s">
        <v>59</v>
      </c>
      <c r="N16" t="s">
        <v>108</v>
      </c>
      <c r="O16" t="s">
        <v>89</v>
      </c>
      <c r="P16" s="1">
        <v>40677</v>
      </c>
      <c r="Q16">
        <v>13.1</v>
      </c>
      <c r="R16" t="s">
        <v>150</v>
      </c>
      <c r="S16" t="s">
        <v>63</v>
      </c>
      <c r="T16" t="s">
        <v>64</v>
      </c>
      <c r="U16">
        <v>0</v>
      </c>
      <c r="V16">
        <v>0</v>
      </c>
      <c r="W16">
        <v>3294</v>
      </c>
      <c r="X16">
        <v>2159</v>
      </c>
      <c r="Y16">
        <v>422</v>
      </c>
      <c r="Z16">
        <v>5875</v>
      </c>
      <c r="AA16">
        <v>410</v>
      </c>
      <c r="AB16" t="s">
        <v>65</v>
      </c>
      <c r="AC16">
        <v>13.3</v>
      </c>
      <c r="AD16">
        <v>80</v>
      </c>
      <c r="AE16">
        <v>78</v>
      </c>
      <c r="AF16" t="s">
        <v>112</v>
      </c>
      <c r="AG16">
        <v>23</v>
      </c>
      <c r="AH16" t="s">
        <v>113</v>
      </c>
      <c r="AI16" t="s">
        <v>152</v>
      </c>
      <c r="AJ16" t="s">
        <v>188</v>
      </c>
      <c r="AK16" t="s">
        <v>70</v>
      </c>
      <c r="AL16" t="s">
        <v>70</v>
      </c>
      <c r="AM16" t="s">
        <v>71</v>
      </c>
      <c r="AN16" t="s">
        <v>231</v>
      </c>
      <c r="AO16" t="s">
        <v>72</v>
      </c>
      <c r="AP16" t="s">
        <v>72</v>
      </c>
      <c r="AQ16" t="s">
        <v>136</v>
      </c>
      <c r="AR16" s="1">
        <v>44593</v>
      </c>
      <c r="AS16" t="s">
        <v>118</v>
      </c>
      <c r="AT16" t="s">
        <v>71</v>
      </c>
      <c r="AU16">
        <v>1136</v>
      </c>
      <c r="AV16" t="s">
        <v>76</v>
      </c>
    </row>
    <row r="17" spans="1:48" x14ac:dyDescent="0.25">
      <c r="A17" t="s">
        <v>232</v>
      </c>
      <c r="B17" t="s">
        <v>139</v>
      </c>
      <c r="C17" t="s">
        <v>233</v>
      </c>
      <c r="D17" t="s">
        <v>51</v>
      </c>
      <c r="E17">
        <v>23</v>
      </c>
      <c r="F17" t="s">
        <v>141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174</v>
      </c>
      <c r="M17" t="s">
        <v>212</v>
      </c>
      <c r="N17" t="s">
        <v>108</v>
      </c>
      <c r="O17" t="s">
        <v>149</v>
      </c>
      <c r="P17" s="1">
        <v>44053</v>
      </c>
      <c r="Q17">
        <v>3.8</v>
      </c>
      <c r="R17" t="s">
        <v>90</v>
      </c>
      <c r="S17" t="s">
        <v>63</v>
      </c>
      <c r="T17" t="s">
        <v>64</v>
      </c>
      <c r="U17">
        <v>0</v>
      </c>
      <c r="V17">
        <v>0</v>
      </c>
      <c r="W17">
        <v>1917</v>
      </c>
      <c r="X17">
        <v>0</v>
      </c>
      <c r="Y17">
        <v>422</v>
      </c>
      <c r="Z17">
        <v>2339</v>
      </c>
      <c r="AA17">
        <v>523</v>
      </c>
      <c r="AB17" t="s">
        <v>65</v>
      </c>
      <c r="AC17">
        <v>17.2</v>
      </c>
      <c r="AD17">
        <v>78</v>
      </c>
      <c r="AE17">
        <v>37</v>
      </c>
      <c r="AF17" t="s">
        <v>93</v>
      </c>
      <c r="AG17">
        <v>30</v>
      </c>
      <c r="AH17" t="s">
        <v>67</v>
      </c>
      <c r="AI17" t="s">
        <v>95</v>
      </c>
      <c r="AJ17" t="s">
        <v>69</v>
      </c>
      <c r="AK17" t="s">
        <v>70</v>
      </c>
      <c r="AL17" t="s">
        <v>70</v>
      </c>
      <c r="AM17" t="s">
        <v>70</v>
      </c>
      <c r="AN17" t="s">
        <v>133</v>
      </c>
      <c r="AO17" t="s">
        <v>72</v>
      </c>
      <c r="AP17" t="s">
        <v>203</v>
      </c>
      <c r="AQ17" t="s">
        <v>117</v>
      </c>
      <c r="AR17" s="1">
        <v>44398</v>
      </c>
      <c r="AS17" t="s">
        <v>75</v>
      </c>
      <c r="AT17" t="s">
        <v>71</v>
      </c>
      <c r="AU17">
        <v>1635</v>
      </c>
      <c r="AV17" t="s">
        <v>76</v>
      </c>
    </row>
    <row r="18" spans="1:48" x14ac:dyDescent="0.25">
      <c r="A18" t="s">
        <v>239</v>
      </c>
      <c r="B18" t="s">
        <v>120</v>
      </c>
      <c r="C18" t="s">
        <v>240</v>
      </c>
      <c r="D18" t="s">
        <v>122</v>
      </c>
      <c r="E18">
        <v>42</v>
      </c>
      <c r="F18" t="s">
        <v>241</v>
      </c>
      <c r="G18" t="s">
        <v>242</v>
      </c>
      <c r="H18" t="s">
        <v>54</v>
      </c>
      <c r="I18" t="s">
        <v>185</v>
      </c>
      <c r="J18" t="s">
        <v>186</v>
      </c>
      <c r="K18" t="s">
        <v>187</v>
      </c>
      <c r="L18" t="s">
        <v>174</v>
      </c>
      <c r="M18" t="s">
        <v>59</v>
      </c>
      <c r="N18" t="s">
        <v>88</v>
      </c>
      <c r="O18" t="s">
        <v>149</v>
      </c>
      <c r="P18" s="1">
        <v>40578</v>
      </c>
      <c r="Q18">
        <v>13.3</v>
      </c>
      <c r="R18" t="s">
        <v>75</v>
      </c>
      <c r="S18" t="s">
        <v>110</v>
      </c>
      <c r="T18" t="s">
        <v>111</v>
      </c>
      <c r="U18">
        <v>10</v>
      </c>
      <c r="V18">
        <v>1</v>
      </c>
      <c r="W18">
        <v>4739</v>
      </c>
      <c r="X18">
        <v>0</v>
      </c>
      <c r="Y18">
        <v>422</v>
      </c>
      <c r="Z18">
        <v>5161</v>
      </c>
      <c r="AA18">
        <v>368</v>
      </c>
      <c r="AB18" t="s">
        <v>65</v>
      </c>
      <c r="AC18">
        <v>13.7</v>
      </c>
      <c r="AD18">
        <v>34</v>
      </c>
      <c r="AE18">
        <v>54</v>
      </c>
      <c r="AF18" t="s">
        <v>93</v>
      </c>
      <c r="AG18">
        <v>18</v>
      </c>
      <c r="AH18" t="s">
        <v>113</v>
      </c>
      <c r="AI18" t="s">
        <v>177</v>
      </c>
      <c r="AJ18" t="s">
        <v>72</v>
      </c>
      <c r="AK18" t="s">
        <v>70</v>
      </c>
      <c r="AL18" t="s">
        <v>70</v>
      </c>
      <c r="AM18" t="s">
        <v>70</v>
      </c>
      <c r="AN18" t="s">
        <v>243</v>
      </c>
      <c r="AO18" t="s">
        <v>227</v>
      </c>
      <c r="AP18" t="s">
        <v>72</v>
      </c>
      <c r="AQ18" t="s">
        <v>74</v>
      </c>
      <c r="AR18" s="1">
        <v>42990</v>
      </c>
      <c r="AS18" t="s">
        <v>198</v>
      </c>
      <c r="AT18" t="s">
        <v>71</v>
      </c>
      <c r="AU18">
        <v>1097</v>
      </c>
      <c r="AV18" t="s">
        <v>76</v>
      </c>
    </row>
    <row r="19" spans="1:48" x14ac:dyDescent="0.25">
      <c r="A19" t="s">
        <v>244</v>
      </c>
      <c r="B19" t="s">
        <v>245</v>
      </c>
      <c r="C19" t="s">
        <v>246</v>
      </c>
      <c r="D19" t="s">
        <v>122</v>
      </c>
      <c r="E19">
        <v>19</v>
      </c>
      <c r="F19" t="s">
        <v>80</v>
      </c>
      <c r="G19" t="s">
        <v>53</v>
      </c>
      <c r="H19" t="s">
        <v>54</v>
      </c>
      <c r="I19" t="s">
        <v>185</v>
      </c>
      <c r="J19" t="s">
        <v>186</v>
      </c>
      <c r="K19" t="s">
        <v>187</v>
      </c>
      <c r="L19" t="s">
        <v>58</v>
      </c>
      <c r="M19" t="s">
        <v>207</v>
      </c>
      <c r="N19" t="s">
        <v>162</v>
      </c>
      <c r="O19" t="s">
        <v>109</v>
      </c>
      <c r="P19" s="1">
        <v>38590</v>
      </c>
      <c r="Q19">
        <v>18.8</v>
      </c>
      <c r="R19" t="s">
        <v>129</v>
      </c>
      <c r="S19" t="s">
        <v>91</v>
      </c>
      <c r="T19" t="s">
        <v>92</v>
      </c>
      <c r="U19">
        <v>10</v>
      </c>
      <c r="V19">
        <v>1</v>
      </c>
      <c r="W19">
        <v>4739</v>
      </c>
      <c r="X19">
        <v>2169</v>
      </c>
      <c r="Y19">
        <v>422</v>
      </c>
      <c r="Z19">
        <v>7330</v>
      </c>
      <c r="AA19">
        <v>355</v>
      </c>
      <c r="AB19" t="s">
        <v>151</v>
      </c>
      <c r="AC19">
        <v>18.7</v>
      </c>
      <c r="AD19">
        <v>73</v>
      </c>
      <c r="AE19">
        <v>59</v>
      </c>
      <c r="AF19" t="s">
        <v>66</v>
      </c>
      <c r="AG19">
        <v>28</v>
      </c>
      <c r="AH19" t="s">
        <v>113</v>
      </c>
      <c r="AI19" t="s">
        <v>95</v>
      </c>
      <c r="AJ19" t="s">
        <v>69</v>
      </c>
      <c r="AK19" t="s">
        <v>70</v>
      </c>
      <c r="AL19" t="s">
        <v>70</v>
      </c>
      <c r="AM19" t="s">
        <v>70</v>
      </c>
      <c r="AN19" t="s">
        <v>72</v>
      </c>
      <c r="AO19" t="s">
        <v>116</v>
      </c>
      <c r="AP19" t="s">
        <v>135</v>
      </c>
      <c r="AQ19" t="s">
        <v>136</v>
      </c>
      <c r="AR19" s="1">
        <v>41030</v>
      </c>
      <c r="AS19" t="s">
        <v>75</v>
      </c>
      <c r="AT19" t="s">
        <v>71</v>
      </c>
      <c r="AU19">
        <v>882</v>
      </c>
      <c r="AV19" t="s">
        <v>76</v>
      </c>
    </row>
    <row r="20" spans="1:48" x14ac:dyDescent="0.25">
      <c r="A20" t="s">
        <v>247</v>
      </c>
      <c r="B20" t="s">
        <v>166</v>
      </c>
      <c r="C20" t="s">
        <v>206</v>
      </c>
      <c r="D20" t="s">
        <v>122</v>
      </c>
      <c r="E20">
        <v>42</v>
      </c>
      <c r="F20" t="s">
        <v>248</v>
      </c>
      <c r="G20" t="s">
        <v>242</v>
      </c>
      <c r="H20" t="s">
        <v>54</v>
      </c>
      <c r="I20" t="s">
        <v>144</v>
      </c>
      <c r="J20" t="s">
        <v>145</v>
      </c>
      <c r="K20" t="s">
        <v>146</v>
      </c>
      <c r="L20" t="s">
        <v>174</v>
      </c>
      <c r="M20" t="s">
        <v>249</v>
      </c>
      <c r="N20" t="s">
        <v>60</v>
      </c>
      <c r="O20" t="s">
        <v>61</v>
      </c>
      <c r="P20" s="1">
        <v>38779</v>
      </c>
      <c r="Q20">
        <v>18.2</v>
      </c>
      <c r="R20" t="s">
        <v>75</v>
      </c>
      <c r="S20" t="s">
        <v>110</v>
      </c>
      <c r="T20" t="s">
        <v>111</v>
      </c>
      <c r="U20">
        <v>7</v>
      </c>
      <c r="V20">
        <v>1</v>
      </c>
      <c r="W20">
        <v>4739</v>
      </c>
      <c r="X20">
        <v>0</v>
      </c>
      <c r="Y20">
        <v>422</v>
      </c>
      <c r="Z20">
        <v>5161</v>
      </c>
      <c r="AA20">
        <v>305</v>
      </c>
      <c r="AB20" t="s">
        <v>151</v>
      </c>
      <c r="AC20">
        <v>19.100000000000001</v>
      </c>
      <c r="AD20">
        <v>61</v>
      </c>
      <c r="AE20">
        <v>32</v>
      </c>
      <c r="AF20" t="s">
        <v>93</v>
      </c>
      <c r="AG20">
        <v>22</v>
      </c>
      <c r="AH20" t="s">
        <v>113</v>
      </c>
      <c r="AI20" t="s">
        <v>114</v>
      </c>
      <c r="AJ20" t="s">
        <v>72</v>
      </c>
      <c r="AK20" t="s">
        <v>70</v>
      </c>
      <c r="AL20" t="s">
        <v>70</v>
      </c>
      <c r="AM20" t="s">
        <v>70</v>
      </c>
      <c r="AN20" t="s">
        <v>202</v>
      </c>
      <c r="AO20" t="s">
        <v>135</v>
      </c>
      <c r="AP20" t="s">
        <v>73</v>
      </c>
      <c r="AQ20" t="s">
        <v>98</v>
      </c>
      <c r="AR20" s="1">
        <v>41266</v>
      </c>
      <c r="AS20" t="s">
        <v>137</v>
      </c>
      <c r="AT20" t="s">
        <v>71</v>
      </c>
      <c r="AU20">
        <v>-58</v>
      </c>
      <c r="AV20" t="s">
        <v>179</v>
      </c>
    </row>
    <row r="21" spans="1:48" x14ac:dyDescent="0.25">
      <c r="A21" t="s">
        <v>250</v>
      </c>
      <c r="B21" t="s">
        <v>251</v>
      </c>
      <c r="C21" t="s">
        <v>252</v>
      </c>
      <c r="D21" t="s">
        <v>51</v>
      </c>
      <c r="E21">
        <v>18</v>
      </c>
      <c r="F21" t="s">
        <v>52</v>
      </c>
      <c r="G21" t="s">
        <v>156</v>
      </c>
      <c r="H21" t="s">
        <v>157</v>
      </c>
      <c r="I21" t="s">
        <v>253</v>
      </c>
      <c r="J21" t="s">
        <v>254</v>
      </c>
      <c r="K21" t="s">
        <v>255</v>
      </c>
      <c r="L21" t="s">
        <v>106</v>
      </c>
      <c r="M21" t="s">
        <v>107</v>
      </c>
      <c r="N21" t="s">
        <v>60</v>
      </c>
      <c r="O21" t="s">
        <v>61</v>
      </c>
      <c r="P21" s="1">
        <v>44010</v>
      </c>
      <c r="Q21">
        <v>3.9</v>
      </c>
      <c r="R21" t="s">
        <v>129</v>
      </c>
      <c r="S21" t="s">
        <v>196</v>
      </c>
      <c r="T21" t="s">
        <v>197</v>
      </c>
      <c r="U21">
        <v>0</v>
      </c>
      <c r="V21">
        <v>0</v>
      </c>
      <c r="W21">
        <v>4836</v>
      </c>
      <c r="X21">
        <v>0</v>
      </c>
      <c r="Y21">
        <v>266</v>
      </c>
      <c r="Z21">
        <v>5102</v>
      </c>
      <c r="AA21">
        <v>597</v>
      </c>
      <c r="AB21" t="s">
        <v>65</v>
      </c>
      <c r="AC21">
        <v>13.4</v>
      </c>
      <c r="AD21">
        <v>69</v>
      </c>
      <c r="AE21">
        <v>49</v>
      </c>
      <c r="AF21" t="s">
        <v>66</v>
      </c>
      <c r="AG21">
        <v>34</v>
      </c>
      <c r="AH21" t="s">
        <v>67</v>
      </c>
      <c r="AI21" t="s">
        <v>95</v>
      </c>
      <c r="AJ21" t="s">
        <v>96</v>
      </c>
      <c r="AK21" t="s">
        <v>71</v>
      </c>
      <c r="AL21" t="s">
        <v>70</v>
      </c>
      <c r="AM21" t="s">
        <v>70</v>
      </c>
      <c r="AN21" t="s">
        <v>243</v>
      </c>
      <c r="AO21" t="s">
        <v>72</v>
      </c>
      <c r="AP21" t="s">
        <v>72</v>
      </c>
      <c r="AQ21" t="s">
        <v>74</v>
      </c>
      <c r="AR21" s="1">
        <v>45132</v>
      </c>
      <c r="AS21" t="s">
        <v>137</v>
      </c>
      <c r="AT21" t="s">
        <v>71</v>
      </c>
      <c r="AU21">
        <v>1383</v>
      </c>
      <c r="AV21" t="s">
        <v>76</v>
      </c>
    </row>
    <row r="22" spans="1:48" x14ac:dyDescent="0.25">
      <c r="A22" t="s">
        <v>256</v>
      </c>
      <c r="B22" t="s">
        <v>181</v>
      </c>
      <c r="C22" t="s">
        <v>257</v>
      </c>
      <c r="D22" t="s">
        <v>51</v>
      </c>
      <c r="E22">
        <v>33</v>
      </c>
      <c r="F22" t="s">
        <v>211</v>
      </c>
      <c r="G22" t="s">
        <v>242</v>
      </c>
      <c r="H22" t="s">
        <v>54</v>
      </c>
      <c r="I22" t="s">
        <v>225</v>
      </c>
      <c r="J22" t="s">
        <v>226</v>
      </c>
      <c r="K22" t="s">
        <v>105</v>
      </c>
      <c r="L22" t="s">
        <v>201</v>
      </c>
      <c r="M22" t="s">
        <v>249</v>
      </c>
      <c r="N22" t="s">
        <v>162</v>
      </c>
      <c r="O22" t="s">
        <v>109</v>
      </c>
      <c r="P22" s="1">
        <v>44341</v>
      </c>
      <c r="Q22">
        <v>3</v>
      </c>
      <c r="R22" t="s">
        <v>195</v>
      </c>
      <c r="S22" t="s">
        <v>63</v>
      </c>
      <c r="T22" t="s">
        <v>64</v>
      </c>
      <c r="U22">
        <v>0</v>
      </c>
      <c r="V22">
        <v>0</v>
      </c>
      <c r="W22">
        <v>4739</v>
      </c>
      <c r="X22">
        <v>1349</v>
      </c>
      <c r="Y22">
        <v>422</v>
      </c>
      <c r="Z22">
        <v>6510</v>
      </c>
      <c r="AA22">
        <v>432</v>
      </c>
      <c r="AB22" t="s">
        <v>65</v>
      </c>
      <c r="AC22">
        <v>19.7</v>
      </c>
      <c r="AD22">
        <v>73</v>
      </c>
      <c r="AE22">
        <v>35</v>
      </c>
      <c r="AF22" t="s">
        <v>132</v>
      </c>
      <c r="AG22">
        <v>23</v>
      </c>
      <c r="AH22" t="s">
        <v>113</v>
      </c>
      <c r="AI22" t="s">
        <v>68</v>
      </c>
      <c r="AJ22" t="s">
        <v>72</v>
      </c>
      <c r="AK22" t="s">
        <v>70</v>
      </c>
      <c r="AL22" t="s">
        <v>70</v>
      </c>
      <c r="AM22" t="s">
        <v>70</v>
      </c>
      <c r="AN22" t="s">
        <v>72</v>
      </c>
      <c r="AO22" t="s">
        <v>72</v>
      </c>
      <c r="AP22" t="s">
        <v>72</v>
      </c>
      <c r="AQ22" t="s">
        <v>74</v>
      </c>
      <c r="AR22" s="1">
        <v>45417</v>
      </c>
      <c r="AS22" t="s">
        <v>75</v>
      </c>
      <c r="AT22" t="s">
        <v>71</v>
      </c>
      <c r="AU22">
        <v>631</v>
      </c>
      <c r="AV22" t="s">
        <v>76</v>
      </c>
    </row>
    <row r="23" spans="1:48" x14ac:dyDescent="0.25">
      <c r="A23" t="s">
        <v>258</v>
      </c>
      <c r="B23" t="s">
        <v>259</v>
      </c>
      <c r="C23" t="s">
        <v>155</v>
      </c>
      <c r="D23" t="s">
        <v>51</v>
      </c>
      <c r="E23">
        <v>26</v>
      </c>
      <c r="F23" t="s">
        <v>224</v>
      </c>
      <c r="G23" t="s">
        <v>53</v>
      </c>
      <c r="H23" t="s">
        <v>54</v>
      </c>
      <c r="I23" t="s">
        <v>260</v>
      </c>
      <c r="J23" t="s">
        <v>261</v>
      </c>
      <c r="K23" t="s">
        <v>173</v>
      </c>
      <c r="L23" t="s">
        <v>126</v>
      </c>
      <c r="M23" t="s">
        <v>249</v>
      </c>
      <c r="N23" t="s">
        <v>148</v>
      </c>
      <c r="O23" t="s">
        <v>149</v>
      </c>
      <c r="P23" s="1">
        <v>44010</v>
      </c>
      <c r="Q23">
        <v>3.9</v>
      </c>
      <c r="R23" t="s">
        <v>75</v>
      </c>
      <c r="S23" t="s">
        <v>91</v>
      </c>
      <c r="T23" t="s">
        <v>92</v>
      </c>
      <c r="U23">
        <v>15</v>
      </c>
      <c r="V23">
        <v>2</v>
      </c>
      <c r="W23">
        <v>4739</v>
      </c>
      <c r="X23">
        <v>0</v>
      </c>
      <c r="Y23">
        <v>422</v>
      </c>
      <c r="Z23">
        <v>5161</v>
      </c>
      <c r="AA23">
        <v>414</v>
      </c>
      <c r="AB23" t="s">
        <v>65</v>
      </c>
      <c r="AC23">
        <v>13.3</v>
      </c>
      <c r="AD23">
        <v>34</v>
      </c>
      <c r="AE23">
        <v>55</v>
      </c>
      <c r="AF23" t="s">
        <v>112</v>
      </c>
      <c r="AG23">
        <v>37</v>
      </c>
      <c r="AH23" t="s">
        <v>94</v>
      </c>
      <c r="AI23" t="s">
        <v>68</v>
      </c>
      <c r="AJ23" t="s">
        <v>96</v>
      </c>
      <c r="AK23" t="s">
        <v>70</v>
      </c>
      <c r="AL23" t="s">
        <v>70</v>
      </c>
      <c r="AM23" t="s">
        <v>70</v>
      </c>
      <c r="AN23" t="s">
        <v>72</v>
      </c>
      <c r="AO23" t="s">
        <v>116</v>
      </c>
      <c r="AP23" t="s">
        <v>72</v>
      </c>
      <c r="AQ23" t="s">
        <v>117</v>
      </c>
      <c r="AR23" s="1">
        <v>44225</v>
      </c>
      <c r="AS23" t="s">
        <v>118</v>
      </c>
      <c r="AT23" t="s">
        <v>71</v>
      </c>
      <c r="AU23">
        <v>792</v>
      </c>
      <c r="AV23" t="s">
        <v>76</v>
      </c>
    </row>
    <row r="24" spans="1:48" x14ac:dyDescent="0.25">
      <c r="A24" t="s">
        <v>262</v>
      </c>
      <c r="B24" t="s">
        <v>263</v>
      </c>
      <c r="C24" t="s">
        <v>264</v>
      </c>
      <c r="D24" t="s">
        <v>51</v>
      </c>
      <c r="E24">
        <v>40</v>
      </c>
      <c r="F24" t="s">
        <v>192</v>
      </c>
      <c r="G24" t="s">
        <v>169</v>
      </c>
      <c r="H24" t="s">
        <v>170</v>
      </c>
      <c r="I24" t="s">
        <v>260</v>
      </c>
      <c r="J24" t="s">
        <v>261</v>
      </c>
      <c r="K24" t="s">
        <v>173</v>
      </c>
      <c r="L24" t="s">
        <v>126</v>
      </c>
      <c r="M24" t="s">
        <v>207</v>
      </c>
      <c r="N24" t="s">
        <v>265</v>
      </c>
      <c r="O24" t="s">
        <v>61</v>
      </c>
      <c r="P24" s="1">
        <v>44580</v>
      </c>
      <c r="Q24">
        <v>2.4</v>
      </c>
      <c r="R24" t="s">
        <v>195</v>
      </c>
      <c r="S24" t="s">
        <v>63</v>
      </c>
      <c r="T24" t="s">
        <v>64</v>
      </c>
      <c r="U24">
        <v>0</v>
      </c>
      <c r="V24">
        <v>0</v>
      </c>
      <c r="W24">
        <v>3294</v>
      </c>
      <c r="X24">
        <v>2022</v>
      </c>
      <c r="Y24">
        <v>422</v>
      </c>
      <c r="Z24">
        <v>5738</v>
      </c>
      <c r="AA24">
        <v>441</v>
      </c>
      <c r="AB24" t="s">
        <v>65</v>
      </c>
      <c r="AC24">
        <v>20.8</v>
      </c>
      <c r="AD24">
        <v>73</v>
      </c>
      <c r="AE24">
        <v>42</v>
      </c>
      <c r="AF24" t="s">
        <v>93</v>
      </c>
      <c r="AG24">
        <v>27</v>
      </c>
      <c r="AH24" t="s">
        <v>113</v>
      </c>
      <c r="AI24" t="s">
        <v>95</v>
      </c>
      <c r="AJ24" t="s">
        <v>72</v>
      </c>
      <c r="AK24" t="s">
        <v>71</v>
      </c>
      <c r="AL24" t="s">
        <v>70</v>
      </c>
      <c r="AM24" t="s">
        <v>70</v>
      </c>
      <c r="AN24" t="s">
        <v>115</v>
      </c>
      <c r="AO24" t="s">
        <v>178</v>
      </c>
      <c r="AP24" t="s">
        <v>72</v>
      </c>
      <c r="AQ24" t="s">
        <v>98</v>
      </c>
      <c r="AR24" s="1">
        <v>45144</v>
      </c>
      <c r="AS24" t="s">
        <v>137</v>
      </c>
      <c r="AT24" t="s">
        <v>71</v>
      </c>
      <c r="AU24">
        <v>1422</v>
      </c>
      <c r="AV24" t="s">
        <v>76</v>
      </c>
    </row>
    <row r="25" spans="1:48" x14ac:dyDescent="0.25">
      <c r="A25" t="s">
        <v>266</v>
      </c>
      <c r="B25" t="s">
        <v>267</v>
      </c>
      <c r="C25" t="s">
        <v>230</v>
      </c>
      <c r="D25" t="s">
        <v>122</v>
      </c>
      <c r="E25">
        <v>45</v>
      </c>
      <c r="F25" t="s">
        <v>241</v>
      </c>
      <c r="G25" t="s">
        <v>101</v>
      </c>
      <c r="H25" t="s">
        <v>102</v>
      </c>
      <c r="I25" t="s">
        <v>268</v>
      </c>
      <c r="J25" t="s">
        <v>269</v>
      </c>
      <c r="K25" t="s">
        <v>173</v>
      </c>
      <c r="L25" t="s">
        <v>86</v>
      </c>
      <c r="M25" t="s">
        <v>249</v>
      </c>
      <c r="N25" t="s">
        <v>60</v>
      </c>
      <c r="O25" t="s">
        <v>89</v>
      </c>
      <c r="P25" s="1">
        <v>41635</v>
      </c>
      <c r="Q25">
        <v>10.4</v>
      </c>
      <c r="R25" t="s">
        <v>90</v>
      </c>
      <c r="S25" t="s">
        <v>91</v>
      </c>
      <c r="T25" t="s">
        <v>92</v>
      </c>
      <c r="U25">
        <v>2</v>
      </c>
      <c r="V25">
        <v>0</v>
      </c>
      <c r="W25">
        <v>2980</v>
      </c>
      <c r="X25">
        <v>0</v>
      </c>
      <c r="Y25">
        <v>422</v>
      </c>
      <c r="Z25">
        <v>3402</v>
      </c>
      <c r="AA25">
        <v>445</v>
      </c>
      <c r="AB25" t="s">
        <v>65</v>
      </c>
      <c r="AC25">
        <v>13.8</v>
      </c>
      <c r="AD25">
        <v>71</v>
      </c>
      <c r="AE25">
        <v>66</v>
      </c>
      <c r="AF25" t="s">
        <v>66</v>
      </c>
      <c r="AG25">
        <v>23</v>
      </c>
      <c r="AH25" t="s">
        <v>113</v>
      </c>
      <c r="AI25" t="s">
        <v>95</v>
      </c>
      <c r="AJ25" t="s">
        <v>69</v>
      </c>
      <c r="AK25" t="s">
        <v>70</v>
      </c>
      <c r="AL25" t="s">
        <v>70</v>
      </c>
      <c r="AM25" t="s">
        <v>70</v>
      </c>
      <c r="AN25" t="s">
        <v>270</v>
      </c>
      <c r="AO25" t="s">
        <v>97</v>
      </c>
      <c r="AP25" t="s">
        <v>227</v>
      </c>
      <c r="AQ25" t="s">
        <v>98</v>
      </c>
      <c r="AR25" s="1">
        <v>42087</v>
      </c>
      <c r="AS25" t="s">
        <v>75</v>
      </c>
      <c r="AT25" t="s">
        <v>71</v>
      </c>
      <c r="AU25">
        <v>351</v>
      </c>
      <c r="AV25" t="s">
        <v>76</v>
      </c>
    </row>
    <row r="26" spans="1:48" x14ac:dyDescent="0.25">
      <c r="A26" t="s">
        <v>271</v>
      </c>
      <c r="B26" t="s">
        <v>210</v>
      </c>
      <c r="C26" t="s">
        <v>272</v>
      </c>
      <c r="D26" t="s">
        <v>51</v>
      </c>
      <c r="E26">
        <v>25</v>
      </c>
      <c r="F26" t="s">
        <v>192</v>
      </c>
      <c r="G26" t="s">
        <v>193</v>
      </c>
      <c r="H26" t="s">
        <v>194</v>
      </c>
      <c r="I26" t="s">
        <v>273</v>
      </c>
      <c r="J26" t="s">
        <v>274</v>
      </c>
      <c r="K26" t="s">
        <v>57</v>
      </c>
      <c r="L26" t="s">
        <v>58</v>
      </c>
      <c r="M26" t="s">
        <v>275</v>
      </c>
      <c r="N26" t="s">
        <v>148</v>
      </c>
      <c r="O26" t="s">
        <v>89</v>
      </c>
      <c r="P26" s="1">
        <v>39635</v>
      </c>
      <c r="Q26">
        <v>15.9</v>
      </c>
      <c r="R26" t="s">
        <v>90</v>
      </c>
      <c r="S26" t="s">
        <v>163</v>
      </c>
      <c r="T26" t="s">
        <v>164</v>
      </c>
      <c r="U26">
        <v>13</v>
      </c>
      <c r="V26">
        <v>2</v>
      </c>
      <c r="W26">
        <v>2259</v>
      </c>
      <c r="X26">
        <v>1722</v>
      </c>
      <c r="Y26">
        <v>422</v>
      </c>
      <c r="Z26">
        <v>4403</v>
      </c>
      <c r="AA26">
        <v>434</v>
      </c>
      <c r="AB26" t="s">
        <v>65</v>
      </c>
      <c r="AC26">
        <v>15</v>
      </c>
      <c r="AD26">
        <v>34</v>
      </c>
      <c r="AE26">
        <v>48</v>
      </c>
      <c r="AF26" t="s">
        <v>132</v>
      </c>
      <c r="AG26">
        <v>18</v>
      </c>
      <c r="AH26" t="s">
        <v>113</v>
      </c>
      <c r="AI26" t="s">
        <v>68</v>
      </c>
      <c r="AJ26" t="s">
        <v>188</v>
      </c>
      <c r="AK26" t="s">
        <v>70</v>
      </c>
      <c r="AL26" t="s">
        <v>71</v>
      </c>
      <c r="AM26" t="s">
        <v>70</v>
      </c>
      <c r="AN26" t="s">
        <v>72</v>
      </c>
      <c r="AO26" t="s">
        <v>72</v>
      </c>
      <c r="AP26" t="s">
        <v>72</v>
      </c>
      <c r="AQ26" t="s">
        <v>117</v>
      </c>
      <c r="AR26" s="1">
        <v>40807</v>
      </c>
      <c r="AS26" t="s">
        <v>118</v>
      </c>
      <c r="AT26" t="s">
        <v>71</v>
      </c>
      <c r="AU26">
        <v>759</v>
      </c>
      <c r="AV26" t="s">
        <v>76</v>
      </c>
    </row>
    <row r="27" spans="1:48" x14ac:dyDescent="0.25">
      <c r="A27" t="s">
        <v>276</v>
      </c>
      <c r="B27" t="s">
        <v>277</v>
      </c>
      <c r="C27" t="s">
        <v>200</v>
      </c>
      <c r="D27" t="s">
        <v>51</v>
      </c>
      <c r="E27">
        <v>34</v>
      </c>
      <c r="F27" t="s">
        <v>278</v>
      </c>
      <c r="G27" t="s">
        <v>279</v>
      </c>
      <c r="H27" t="s">
        <v>280</v>
      </c>
      <c r="I27" t="s">
        <v>260</v>
      </c>
      <c r="J27" t="s">
        <v>261</v>
      </c>
      <c r="K27" t="s">
        <v>173</v>
      </c>
      <c r="L27" t="s">
        <v>86</v>
      </c>
      <c r="M27" t="s">
        <v>59</v>
      </c>
      <c r="N27" t="s">
        <v>162</v>
      </c>
      <c r="O27" t="s">
        <v>176</v>
      </c>
      <c r="P27" s="1">
        <v>42452</v>
      </c>
      <c r="Q27">
        <v>8.1999999999999993</v>
      </c>
      <c r="R27" t="s">
        <v>90</v>
      </c>
      <c r="S27" t="s">
        <v>63</v>
      </c>
      <c r="T27" t="s">
        <v>64</v>
      </c>
      <c r="U27">
        <v>0</v>
      </c>
      <c r="V27">
        <v>0</v>
      </c>
      <c r="W27">
        <v>6618</v>
      </c>
      <c r="X27">
        <v>1811</v>
      </c>
      <c r="Y27">
        <v>266</v>
      </c>
      <c r="Z27">
        <v>8695</v>
      </c>
      <c r="AA27">
        <v>455</v>
      </c>
      <c r="AB27" t="s">
        <v>65</v>
      </c>
      <c r="AC27">
        <v>13.2</v>
      </c>
      <c r="AD27">
        <v>22</v>
      </c>
      <c r="AE27">
        <v>57</v>
      </c>
      <c r="AF27" t="s">
        <v>112</v>
      </c>
      <c r="AG27">
        <v>16</v>
      </c>
      <c r="AH27" t="s">
        <v>113</v>
      </c>
      <c r="AI27" t="s">
        <v>68</v>
      </c>
      <c r="AJ27" t="s">
        <v>96</v>
      </c>
      <c r="AK27" t="s">
        <v>71</v>
      </c>
      <c r="AL27" t="s">
        <v>71</v>
      </c>
      <c r="AM27" t="s">
        <v>70</v>
      </c>
      <c r="AN27" t="s">
        <v>231</v>
      </c>
      <c r="AO27" t="s">
        <v>97</v>
      </c>
      <c r="AP27" t="s">
        <v>72</v>
      </c>
      <c r="AQ27" t="s">
        <v>136</v>
      </c>
      <c r="AR27" s="1">
        <v>44970</v>
      </c>
      <c r="AS27" t="s">
        <v>118</v>
      </c>
      <c r="AT27" t="s">
        <v>71</v>
      </c>
      <c r="AU27">
        <v>1514</v>
      </c>
      <c r="AV27" t="s">
        <v>76</v>
      </c>
    </row>
    <row r="28" spans="1:48" x14ac:dyDescent="0.25">
      <c r="A28" t="s">
        <v>281</v>
      </c>
      <c r="B28" t="s">
        <v>282</v>
      </c>
      <c r="C28" t="s">
        <v>167</v>
      </c>
      <c r="D28" t="s">
        <v>51</v>
      </c>
      <c r="E28">
        <v>24</v>
      </c>
      <c r="F28" t="s">
        <v>283</v>
      </c>
      <c r="G28" t="s">
        <v>183</v>
      </c>
      <c r="H28" t="s">
        <v>184</v>
      </c>
      <c r="I28" t="s">
        <v>83</v>
      </c>
      <c r="J28" t="s">
        <v>84</v>
      </c>
      <c r="K28" t="s">
        <v>85</v>
      </c>
      <c r="L28" t="s">
        <v>86</v>
      </c>
      <c r="M28" t="s">
        <v>175</v>
      </c>
      <c r="N28" t="s">
        <v>60</v>
      </c>
      <c r="O28" t="s">
        <v>149</v>
      </c>
      <c r="P28" s="1">
        <v>41054</v>
      </c>
      <c r="Q28">
        <v>12</v>
      </c>
      <c r="R28" t="s">
        <v>90</v>
      </c>
      <c r="S28" t="s">
        <v>91</v>
      </c>
      <c r="T28" t="s">
        <v>92</v>
      </c>
      <c r="U28">
        <v>15</v>
      </c>
      <c r="V28">
        <v>2</v>
      </c>
      <c r="W28">
        <v>5696</v>
      </c>
      <c r="X28">
        <v>1390</v>
      </c>
      <c r="Y28">
        <v>266</v>
      </c>
      <c r="Z28">
        <v>7352</v>
      </c>
      <c r="AA28">
        <v>522</v>
      </c>
      <c r="AB28" t="s">
        <v>65</v>
      </c>
      <c r="AC28">
        <v>19.399999999999999</v>
      </c>
      <c r="AD28">
        <v>55</v>
      </c>
      <c r="AE28">
        <v>32</v>
      </c>
      <c r="AF28" t="s">
        <v>66</v>
      </c>
      <c r="AG28">
        <v>26</v>
      </c>
      <c r="AH28" t="s">
        <v>113</v>
      </c>
      <c r="AI28" t="s">
        <v>68</v>
      </c>
      <c r="AJ28" t="s">
        <v>72</v>
      </c>
      <c r="AK28" t="s">
        <v>70</v>
      </c>
      <c r="AL28" t="s">
        <v>70</v>
      </c>
      <c r="AM28" t="s">
        <v>71</v>
      </c>
      <c r="AN28" t="s">
        <v>270</v>
      </c>
      <c r="AO28" t="s">
        <v>134</v>
      </c>
      <c r="AP28" t="s">
        <v>72</v>
      </c>
      <c r="AQ28" t="s">
        <v>74</v>
      </c>
      <c r="AR28" s="1">
        <v>42576</v>
      </c>
      <c r="AS28" t="s">
        <v>198</v>
      </c>
      <c r="AT28" t="s">
        <v>71</v>
      </c>
      <c r="AU28">
        <v>593</v>
      </c>
      <c r="AV28" t="s">
        <v>76</v>
      </c>
    </row>
    <row r="29" spans="1:48" x14ac:dyDescent="0.25">
      <c r="A29" t="s">
        <v>284</v>
      </c>
      <c r="B29" t="s">
        <v>229</v>
      </c>
      <c r="C29" t="s">
        <v>252</v>
      </c>
      <c r="D29" t="s">
        <v>51</v>
      </c>
      <c r="E29">
        <v>25</v>
      </c>
      <c r="F29" t="s">
        <v>278</v>
      </c>
      <c r="G29" t="s">
        <v>285</v>
      </c>
      <c r="H29" t="s">
        <v>286</v>
      </c>
      <c r="I29" t="s">
        <v>171</v>
      </c>
      <c r="J29" t="s">
        <v>172</v>
      </c>
      <c r="K29" t="s">
        <v>173</v>
      </c>
      <c r="L29" t="s">
        <v>174</v>
      </c>
      <c r="M29" t="s">
        <v>175</v>
      </c>
      <c r="N29" t="s">
        <v>148</v>
      </c>
      <c r="O29" t="s">
        <v>149</v>
      </c>
      <c r="P29" s="1">
        <v>44167</v>
      </c>
      <c r="Q29">
        <v>3.5</v>
      </c>
      <c r="R29" t="s">
        <v>208</v>
      </c>
      <c r="S29" t="s">
        <v>130</v>
      </c>
      <c r="T29" t="s">
        <v>131</v>
      </c>
      <c r="U29">
        <v>9</v>
      </c>
      <c r="V29">
        <v>1</v>
      </c>
      <c r="W29">
        <v>7668</v>
      </c>
      <c r="X29">
        <v>0</v>
      </c>
      <c r="Y29">
        <v>266</v>
      </c>
      <c r="Z29">
        <v>7934</v>
      </c>
      <c r="AA29">
        <v>348</v>
      </c>
      <c r="AB29" t="s">
        <v>151</v>
      </c>
      <c r="AC29">
        <v>17.2</v>
      </c>
      <c r="AD29">
        <v>25</v>
      </c>
      <c r="AE29">
        <v>44</v>
      </c>
      <c r="AF29" t="s">
        <v>132</v>
      </c>
      <c r="AG29">
        <v>19</v>
      </c>
      <c r="AH29" t="s">
        <v>113</v>
      </c>
      <c r="AI29" t="s">
        <v>152</v>
      </c>
      <c r="AJ29" t="s">
        <v>96</v>
      </c>
      <c r="AK29" t="s">
        <v>70</v>
      </c>
      <c r="AL29" t="s">
        <v>70</v>
      </c>
      <c r="AM29" t="s">
        <v>70</v>
      </c>
      <c r="AN29" t="s">
        <v>72</v>
      </c>
      <c r="AO29" t="s">
        <v>72</v>
      </c>
      <c r="AP29" t="s">
        <v>287</v>
      </c>
      <c r="AQ29" t="s">
        <v>117</v>
      </c>
      <c r="AR29" s="1">
        <v>45058</v>
      </c>
      <c r="AS29" t="s">
        <v>118</v>
      </c>
      <c r="AT29" t="s">
        <v>71</v>
      </c>
      <c r="AU29">
        <v>1581</v>
      </c>
      <c r="AV29" t="s">
        <v>76</v>
      </c>
    </row>
    <row r="30" spans="1:48" x14ac:dyDescent="0.25">
      <c r="A30" t="s">
        <v>288</v>
      </c>
      <c r="B30" t="s">
        <v>49</v>
      </c>
      <c r="C30" t="s">
        <v>79</v>
      </c>
      <c r="D30" t="s">
        <v>51</v>
      </c>
      <c r="E30">
        <v>25</v>
      </c>
      <c r="F30" t="s">
        <v>52</v>
      </c>
      <c r="G30" t="s">
        <v>183</v>
      </c>
      <c r="H30" t="s">
        <v>184</v>
      </c>
      <c r="I30" t="s">
        <v>83</v>
      </c>
      <c r="J30" t="s">
        <v>84</v>
      </c>
      <c r="K30" t="s">
        <v>85</v>
      </c>
      <c r="L30" t="s">
        <v>201</v>
      </c>
      <c r="M30" t="s">
        <v>207</v>
      </c>
      <c r="N30" t="s">
        <v>128</v>
      </c>
      <c r="O30" t="s">
        <v>89</v>
      </c>
      <c r="P30" s="1">
        <v>40670</v>
      </c>
      <c r="Q30">
        <v>13.1</v>
      </c>
      <c r="R30" t="s">
        <v>195</v>
      </c>
      <c r="S30" t="s">
        <v>219</v>
      </c>
      <c r="T30" t="s">
        <v>220</v>
      </c>
      <c r="U30">
        <v>0</v>
      </c>
      <c r="V30">
        <v>0</v>
      </c>
      <c r="W30">
        <v>5696</v>
      </c>
      <c r="X30">
        <v>1411</v>
      </c>
      <c r="Y30">
        <v>266</v>
      </c>
      <c r="Z30">
        <v>7373</v>
      </c>
      <c r="AA30">
        <v>537</v>
      </c>
      <c r="AB30" t="s">
        <v>65</v>
      </c>
      <c r="AC30">
        <v>19.899999999999999</v>
      </c>
      <c r="AD30">
        <v>48</v>
      </c>
      <c r="AE30">
        <v>64</v>
      </c>
      <c r="AF30" t="s">
        <v>112</v>
      </c>
      <c r="AG30">
        <v>26</v>
      </c>
      <c r="AH30" t="s">
        <v>113</v>
      </c>
      <c r="AI30" t="s">
        <v>177</v>
      </c>
      <c r="AJ30" t="s">
        <v>188</v>
      </c>
      <c r="AK30" t="s">
        <v>70</v>
      </c>
      <c r="AL30" t="s">
        <v>70</v>
      </c>
      <c r="AM30" t="s">
        <v>70</v>
      </c>
      <c r="AN30" t="s">
        <v>133</v>
      </c>
      <c r="AO30" t="s">
        <v>203</v>
      </c>
      <c r="AP30" t="s">
        <v>227</v>
      </c>
      <c r="AQ30" t="s">
        <v>74</v>
      </c>
      <c r="AR30" s="1">
        <v>43667</v>
      </c>
      <c r="AS30" t="s">
        <v>75</v>
      </c>
      <c r="AT30" t="s">
        <v>71</v>
      </c>
      <c r="AU30">
        <v>1081</v>
      </c>
      <c r="AV30" t="s">
        <v>76</v>
      </c>
    </row>
    <row r="31" spans="1:48" x14ac:dyDescent="0.25">
      <c r="A31" t="s">
        <v>289</v>
      </c>
      <c r="B31" t="s">
        <v>205</v>
      </c>
      <c r="C31" t="s">
        <v>167</v>
      </c>
      <c r="D31" t="s">
        <v>51</v>
      </c>
      <c r="E31">
        <v>45</v>
      </c>
      <c r="F31" t="s">
        <v>168</v>
      </c>
      <c r="G31" t="s">
        <v>124</v>
      </c>
      <c r="H31" t="s">
        <v>125</v>
      </c>
      <c r="I31" t="s">
        <v>103</v>
      </c>
      <c r="J31" t="s">
        <v>104</v>
      </c>
      <c r="K31" t="s">
        <v>105</v>
      </c>
      <c r="L31" t="s">
        <v>201</v>
      </c>
      <c r="M31" t="s">
        <v>161</v>
      </c>
      <c r="N31" t="s">
        <v>128</v>
      </c>
      <c r="O31" t="s">
        <v>89</v>
      </c>
      <c r="P31" s="1">
        <v>41959</v>
      </c>
      <c r="Q31">
        <v>9.5</v>
      </c>
      <c r="R31" t="s">
        <v>90</v>
      </c>
      <c r="S31" t="s">
        <v>163</v>
      </c>
      <c r="T31" t="s">
        <v>164</v>
      </c>
      <c r="U31">
        <v>14</v>
      </c>
      <c r="V31">
        <v>2</v>
      </c>
      <c r="W31">
        <v>2730</v>
      </c>
      <c r="X31">
        <v>0</v>
      </c>
      <c r="Y31">
        <v>422</v>
      </c>
      <c r="Z31">
        <v>3152</v>
      </c>
      <c r="AA31">
        <v>328</v>
      </c>
      <c r="AB31" t="s">
        <v>151</v>
      </c>
      <c r="AC31">
        <v>16</v>
      </c>
      <c r="AD31">
        <v>61</v>
      </c>
      <c r="AE31">
        <v>39</v>
      </c>
      <c r="AF31" t="s">
        <v>132</v>
      </c>
      <c r="AG31">
        <v>24</v>
      </c>
      <c r="AH31" t="s">
        <v>113</v>
      </c>
      <c r="AI31" t="s">
        <v>177</v>
      </c>
      <c r="AJ31" t="s">
        <v>96</v>
      </c>
      <c r="AK31" t="s">
        <v>70</v>
      </c>
      <c r="AL31" t="s">
        <v>70</v>
      </c>
      <c r="AM31" t="s">
        <v>70</v>
      </c>
      <c r="AN31" t="s">
        <v>72</v>
      </c>
      <c r="AO31" t="s">
        <v>221</v>
      </c>
      <c r="AP31" t="s">
        <v>227</v>
      </c>
      <c r="AQ31" t="s">
        <v>136</v>
      </c>
      <c r="AR31" s="1">
        <v>44443</v>
      </c>
      <c r="AS31" t="s">
        <v>137</v>
      </c>
      <c r="AT31" t="s">
        <v>71</v>
      </c>
      <c r="AU31">
        <v>677</v>
      </c>
      <c r="AV31" t="s">
        <v>76</v>
      </c>
    </row>
    <row r="32" spans="1:48" x14ac:dyDescent="0.25">
      <c r="A32" t="s">
        <v>290</v>
      </c>
      <c r="B32" t="s">
        <v>166</v>
      </c>
      <c r="C32" t="s">
        <v>79</v>
      </c>
      <c r="D32" t="s">
        <v>51</v>
      </c>
      <c r="E32">
        <v>37</v>
      </c>
      <c r="F32" t="s">
        <v>291</v>
      </c>
      <c r="G32" t="s">
        <v>81</v>
      </c>
      <c r="H32" t="s">
        <v>82</v>
      </c>
      <c r="I32" t="s">
        <v>292</v>
      </c>
      <c r="J32" t="s">
        <v>293</v>
      </c>
      <c r="K32" t="s">
        <v>294</v>
      </c>
      <c r="L32" t="s">
        <v>106</v>
      </c>
      <c r="M32" t="s">
        <v>59</v>
      </c>
      <c r="N32" t="s">
        <v>128</v>
      </c>
      <c r="O32" t="s">
        <v>89</v>
      </c>
      <c r="P32" s="1">
        <v>41987</v>
      </c>
      <c r="Q32">
        <v>9.5</v>
      </c>
      <c r="R32" t="s">
        <v>208</v>
      </c>
      <c r="S32" t="s">
        <v>130</v>
      </c>
      <c r="T32" t="s">
        <v>131</v>
      </c>
      <c r="U32">
        <v>9</v>
      </c>
      <c r="V32">
        <v>1</v>
      </c>
      <c r="W32">
        <v>2504</v>
      </c>
      <c r="X32">
        <v>0</v>
      </c>
      <c r="Y32">
        <v>422</v>
      </c>
      <c r="Z32">
        <v>2926</v>
      </c>
      <c r="AA32">
        <v>473</v>
      </c>
      <c r="AB32" t="s">
        <v>65</v>
      </c>
      <c r="AC32">
        <v>15.3</v>
      </c>
      <c r="AD32">
        <v>23</v>
      </c>
      <c r="AE32">
        <v>48</v>
      </c>
      <c r="AF32" t="s">
        <v>112</v>
      </c>
      <c r="AG32">
        <v>29</v>
      </c>
      <c r="AH32" t="s">
        <v>113</v>
      </c>
      <c r="AI32" t="s">
        <v>152</v>
      </c>
      <c r="AJ32" t="s">
        <v>188</v>
      </c>
      <c r="AK32" t="s">
        <v>70</v>
      </c>
      <c r="AL32" t="s">
        <v>71</v>
      </c>
      <c r="AM32" t="s">
        <v>71</v>
      </c>
      <c r="AN32" t="s">
        <v>115</v>
      </c>
      <c r="AO32" t="s">
        <v>178</v>
      </c>
      <c r="AP32" t="s">
        <v>72</v>
      </c>
      <c r="AQ32" t="s">
        <v>74</v>
      </c>
      <c r="AR32" s="1">
        <v>42226</v>
      </c>
      <c r="AS32" t="s">
        <v>118</v>
      </c>
      <c r="AT32" t="s">
        <v>71</v>
      </c>
      <c r="AU32">
        <v>451</v>
      </c>
      <c r="AV32" t="s">
        <v>76</v>
      </c>
    </row>
    <row r="33" spans="1:48" x14ac:dyDescent="0.25">
      <c r="A33" t="s">
        <v>295</v>
      </c>
      <c r="B33" t="s">
        <v>49</v>
      </c>
      <c r="C33" t="s">
        <v>240</v>
      </c>
      <c r="D33" t="s">
        <v>122</v>
      </c>
      <c r="E33">
        <v>30</v>
      </c>
      <c r="F33" t="s">
        <v>241</v>
      </c>
      <c r="G33" t="s">
        <v>279</v>
      </c>
      <c r="H33" t="s">
        <v>280</v>
      </c>
      <c r="I33" t="s">
        <v>217</v>
      </c>
      <c r="J33" t="s">
        <v>218</v>
      </c>
      <c r="K33" t="s">
        <v>146</v>
      </c>
      <c r="L33" t="s">
        <v>106</v>
      </c>
      <c r="M33" t="s">
        <v>296</v>
      </c>
      <c r="N33" t="s">
        <v>128</v>
      </c>
      <c r="O33" t="s">
        <v>109</v>
      </c>
      <c r="P33" s="1">
        <v>40709</v>
      </c>
      <c r="Q33">
        <v>13</v>
      </c>
      <c r="R33" t="s">
        <v>62</v>
      </c>
      <c r="S33" t="s">
        <v>219</v>
      </c>
      <c r="T33" t="s">
        <v>220</v>
      </c>
      <c r="U33">
        <v>0</v>
      </c>
      <c r="V33">
        <v>0</v>
      </c>
      <c r="W33">
        <v>6618</v>
      </c>
      <c r="X33">
        <v>0</v>
      </c>
      <c r="Y33">
        <v>266</v>
      </c>
      <c r="Z33">
        <v>6884</v>
      </c>
      <c r="AA33">
        <v>590</v>
      </c>
      <c r="AB33" t="s">
        <v>65</v>
      </c>
      <c r="AC33">
        <v>13.1</v>
      </c>
      <c r="AD33">
        <v>80</v>
      </c>
      <c r="AE33">
        <v>52</v>
      </c>
      <c r="AF33" t="s">
        <v>112</v>
      </c>
      <c r="AG33">
        <v>36</v>
      </c>
      <c r="AH33" t="s">
        <v>94</v>
      </c>
      <c r="AI33" t="s">
        <v>68</v>
      </c>
      <c r="AJ33" t="s">
        <v>69</v>
      </c>
      <c r="AK33" t="s">
        <v>70</v>
      </c>
      <c r="AL33" t="s">
        <v>71</v>
      </c>
      <c r="AM33" t="s">
        <v>70</v>
      </c>
      <c r="AN33" t="s">
        <v>243</v>
      </c>
      <c r="AO33" t="s">
        <v>227</v>
      </c>
      <c r="AP33" t="s">
        <v>287</v>
      </c>
      <c r="AQ33" t="s">
        <v>117</v>
      </c>
      <c r="AR33" s="1">
        <v>40723</v>
      </c>
      <c r="AS33" t="s">
        <v>75</v>
      </c>
      <c r="AT33" t="s">
        <v>71</v>
      </c>
      <c r="AU33">
        <v>1121</v>
      </c>
      <c r="AV33" t="s">
        <v>76</v>
      </c>
    </row>
    <row r="34" spans="1:48" x14ac:dyDescent="0.25">
      <c r="A34" t="s">
        <v>297</v>
      </c>
      <c r="B34" t="s">
        <v>251</v>
      </c>
      <c r="C34" t="s">
        <v>50</v>
      </c>
      <c r="D34" t="s">
        <v>51</v>
      </c>
      <c r="E34">
        <v>41</v>
      </c>
      <c r="F34" t="s">
        <v>192</v>
      </c>
      <c r="G34" t="s">
        <v>298</v>
      </c>
      <c r="H34" t="s">
        <v>299</v>
      </c>
      <c r="I34" t="s">
        <v>236</v>
      </c>
      <c r="J34" t="s">
        <v>237</v>
      </c>
      <c r="K34" t="s">
        <v>238</v>
      </c>
      <c r="L34" t="s">
        <v>201</v>
      </c>
      <c r="M34" t="s">
        <v>59</v>
      </c>
      <c r="N34" t="s">
        <v>162</v>
      </c>
      <c r="O34" t="s">
        <v>176</v>
      </c>
      <c r="P34" s="1">
        <v>44707</v>
      </c>
      <c r="Q34">
        <v>2</v>
      </c>
      <c r="R34" t="s">
        <v>195</v>
      </c>
      <c r="S34" t="s">
        <v>196</v>
      </c>
      <c r="T34" t="s">
        <v>197</v>
      </c>
      <c r="U34">
        <v>0</v>
      </c>
      <c r="V34">
        <v>0</v>
      </c>
      <c r="W34">
        <v>2149</v>
      </c>
      <c r="X34">
        <v>1271</v>
      </c>
      <c r="Y34">
        <v>422</v>
      </c>
      <c r="Z34">
        <v>3842</v>
      </c>
      <c r="AA34">
        <v>418</v>
      </c>
      <c r="AB34" t="s">
        <v>65</v>
      </c>
      <c r="AC34">
        <v>14.4</v>
      </c>
      <c r="AD34">
        <v>32</v>
      </c>
      <c r="AE34">
        <v>69</v>
      </c>
      <c r="AF34" t="s">
        <v>93</v>
      </c>
      <c r="AG34">
        <v>36</v>
      </c>
      <c r="AH34" t="s">
        <v>94</v>
      </c>
      <c r="AI34" t="s">
        <v>177</v>
      </c>
      <c r="AJ34" t="s">
        <v>69</v>
      </c>
      <c r="AK34" t="s">
        <v>71</v>
      </c>
      <c r="AL34" t="s">
        <v>70</v>
      </c>
      <c r="AM34" t="s">
        <v>70</v>
      </c>
      <c r="AN34" t="s">
        <v>72</v>
      </c>
      <c r="AO34" t="s">
        <v>97</v>
      </c>
      <c r="AP34" t="s">
        <v>72</v>
      </c>
      <c r="AQ34" t="s">
        <v>136</v>
      </c>
      <c r="AR34" s="1">
        <v>45412</v>
      </c>
      <c r="AS34" t="s">
        <v>75</v>
      </c>
      <c r="AT34" t="s">
        <v>71</v>
      </c>
      <c r="AU34">
        <v>219</v>
      </c>
      <c r="AV34" t="s">
        <v>76</v>
      </c>
    </row>
    <row r="35" spans="1:48" x14ac:dyDescent="0.25">
      <c r="A35" t="s">
        <v>300</v>
      </c>
      <c r="B35" t="s">
        <v>245</v>
      </c>
      <c r="C35" t="s">
        <v>233</v>
      </c>
      <c r="D35" t="s">
        <v>51</v>
      </c>
      <c r="E35">
        <v>26</v>
      </c>
      <c r="F35" t="s">
        <v>168</v>
      </c>
      <c r="G35" t="s">
        <v>301</v>
      </c>
      <c r="H35" t="s">
        <v>302</v>
      </c>
      <c r="I35" t="s">
        <v>103</v>
      </c>
      <c r="J35" t="s">
        <v>104</v>
      </c>
      <c r="K35" t="s">
        <v>105</v>
      </c>
      <c r="L35" t="s">
        <v>201</v>
      </c>
      <c r="M35" t="s">
        <v>207</v>
      </c>
      <c r="N35" t="s">
        <v>128</v>
      </c>
      <c r="O35" t="s">
        <v>149</v>
      </c>
      <c r="P35" s="1">
        <v>40458</v>
      </c>
      <c r="Q35">
        <v>13.7</v>
      </c>
      <c r="R35" t="s">
        <v>90</v>
      </c>
      <c r="S35" t="s">
        <v>196</v>
      </c>
      <c r="T35" t="s">
        <v>197</v>
      </c>
      <c r="U35">
        <v>0</v>
      </c>
      <c r="V35">
        <v>0</v>
      </c>
      <c r="W35">
        <v>4188</v>
      </c>
      <c r="X35">
        <v>1786</v>
      </c>
      <c r="Y35">
        <v>266</v>
      </c>
      <c r="Z35">
        <v>6240</v>
      </c>
      <c r="AA35">
        <v>529</v>
      </c>
      <c r="AB35" t="s">
        <v>65</v>
      </c>
      <c r="AC35">
        <v>18.8</v>
      </c>
      <c r="AD35">
        <v>41</v>
      </c>
      <c r="AE35">
        <v>37</v>
      </c>
      <c r="AF35" t="s">
        <v>66</v>
      </c>
      <c r="AG35">
        <v>20</v>
      </c>
      <c r="AH35" t="s">
        <v>113</v>
      </c>
      <c r="AI35" t="s">
        <v>177</v>
      </c>
      <c r="AJ35" t="s">
        <v>96</v>
      </c>
      <c r="AK35" t="s">
        <v>71</v>
      </c>
      <c r="AL35" t="s">
        <v>70</v>
      </c>
      <c r="AM35" t="s">
        <v>71</v>
      </c>
      <c r="AN35" t="s">
        <v>72</v>
      </c>
      <c r="AO35" t="s">
        <v>72</v>
      </c>
      <c r="AP35" t="s">
        <v>72</v>
      </c>
      <c r="AQ35" t="s">
        <v>74</v>
      </c>
      <c r="AR35" s="1">
        <v>42326</v>
      </c>
      <c r="AS35" t="s">
        <v>198</v>
      </c>
      <c r="AT35" t="s">
        <v>71</v>
      </c>
      <c r="AU35">
        <v>1060</v>
      </c>
      <c r="AV35" t="s">
        <v>76</v>
      </c>
    </row>
    <row r="36" spans="1:48" x14ac:dyDescent="0.25">
      <c r="A36" t="s">
        <v>303</v>
      </c>
      <c r="B36" t="s">
        <v>210</v>
      </c>
      <c r="C36" t="s">
        <v>140</v>
      </c>
      <c r="D36" t="s">
        <v>51</v>
      </c>
      <c r="E36">
        <v>30</v>
      </c>
      <c r="F36" t="s">
        <v>278</v>
      </c>
      <c r="G36" t="s">
        <v>53</v>
      </c>
      <c r="H36" t="s">
        <v>54</v>
      </c>
      <c r="I36" t="s">
        <v>185</v>
      </c>
      <c r="J36" t="s">
        <v>186</v>
      </c>
      <c r="K36" t="s">
        <v>187</v>
      </c>
      <c r="L36" t="s">
        <v>174</v>
      </c>
      <c r="M36" t="s">
        <v>87</v>
      </c>
      <c r="N36" t="s">
        <v>148</v>
      </c>
      <c r="O36" t="s">
        <v>176</v>
      </c>
      <c r="P36" s="1">
        <v>43350</v>
      </c>
      <c r="Q36">
        <v>5.7</v>
      </c>
      <c r="R36" t="s">
        <v>150</v>
      </c>
      <c r="S36" t="s">
        <v>130</v>
      </c>
      <c r="T36" t="s">
        <v>131</v>
      </c>
      <c r="U36">
        <v>2</v>
      </c>
      <c r="V36">
        <v>0</v>
      </c>
      <c r="W36">
        <v>4739</v>
      </c>
      <c r="X36">
        <v>2101</v>
      </c>
      <c r="Y36">
        <v>422</v>
      </c>
      <c r="Z36">
        <v>7262</v>
      </c>
      <c r="AA36">
        <v>499</v>
      </c>
      <c r="AB36" t="s">
        <v>65</v>
      </c>
      <c r="AC36">
        <v>20.2</v>
      </c>
      <c r="AD36">
        <v>39</v>
      </c>
      <c r="AE36">
        <v>71</v>
      </c>
      <c r="AF36" t="s">
        <v>66</v>
      </c>
      <c r="AG36">
        <v>20</v>
      </c>
      <c r="AH36" t="s">
        <v>113</v>
      </c>
      <c r="AI36" t="s">
        <v>68</v>
      </c>
      <c r="AJ36" t="s">
        <v>72</v>
      </c>
      <c r="AK36" t="s">
        <v>70</v>
      </c>
      <c r="AL36" t="s">
        <v>70</v>
      </c>
      <c r="AM36" t="s">
        <v>70</v>
      </c>
      <c r="AN36" t="s">
        <v>133</v>
      </c>
      <c r="AO36" t="s">
        <v>135</v>
      </c>
      <c r="AP36" t="s">
        <v>134</v>
      </c>
      <c r="AQ36" t="s">
        <v>74</v>
      </c>
      <c r="AR36" s="1">
        <v>43733</v>
      </c>
      <c r="AS36" t="s">
        <v>198</v>
      </c>
      <c r="AT36" t="s">
        <v>71</v>
      </c>
      <c r="AU36">
        <v>1199</v>
      </c>
      <c r="AV36" t="s">
        <v>76</v>
      </c>
    </row>
    <row r="37" spans="1:48" x14ac:dyDescent="0.25">
      <c r="A37" t="s">
        <v>304</v>
      </c>
      <c r="B37" t="s">
        <v>100</v>
      </c>
      <c r="C37" t="s">
        <v>167</v>
      </c>
      <c r="D37" t="s">
        <v>51</v>
      </c>
      <c r="E37">
        <v>38</v>
      </c>
      <c r="F37" t="s">
        <v>305</v>
      </c>
      <c r="G37" t="s">
        <v>183</v>
      </c>
      <c r="H37" t="s">
        <v>184</v>
      </c>
      <c r="I37" t="s">
        <v>217</v>
      </c>
      <c r="J37" t="s">
        <v>218</v>
      </c>
      <c r="K37" t="s">
        <v>146</v>
      </c>
      <c r="L37" t="s">
        <v>174</v>
      </c>
      <c r="M37" t="s">
        <v>59</v>
      </c>
      <c r="N37" t="s">
        <v>88</v>
      </c>
      <c r="O37" t="s">
        <v>149</v>
      </c>
      <c r="P37" s="1">
        <v>41985</v>
      </c>
      <c r="Q37">
        <v>9.5</v>
      </c>
      <c r="R37" t="s">
        <v>90</v>
      </c>
      <c r="S37" t="s">
        <v>91</v>
      </c>
      <c r="T37" t="s">
        <v>92</v>
      </c>
      <c r="U37">
        <v>7</v>
      </c>
      <c r="V37">
        <v>1</v>
      </c>
      <c r="W37">
        <v>5696</v>
      </c>
      <c r="X37">
        <v>0</v>
      </c>
      <c r="Y37">
        <v>266</v>
      </c>
      <c r="Z37">
        <v>5962</v>
      </c>
      <c r="AA37">
        <v>473</v>
      </c>
      <c r="AB37" t="s">
        <v>65</v>
      </c>
      <c r="AC37">
        <v>20.8</v>
      </c>
      <c r="AD37">
        <v>43</v>
      </c>
      <c r="AE37">
        <v>64</v>
      </c>
      <c r="AF37" t="s">
        <v>66</v>
      </c>
      <c r="AG37">
        <v>28</v>
      </c>
      <c r="AH37" t="s">
        <v>113</v>
      </c>
      <c r="AI37" t="s">
        <v>177</v>
      </c>
      <c r="AJ37" t="s">
        <v>69</v>
      </c>
      <c r="AK37" t="s">
        <v>71</v>
      </c>
      <c r="AL37" t="s">
        <v>70</v>
      </c>
      <c r="AM37" t="s">
        <v>70</v>
      </c>
      <c r="AN37" t="s">
        <v>202</v>
      </c>
      <c r="AO37" t="s">
        <v>134</v>
      </c>
      <c r="AP37" t="s">
        <v>72</v>
      </c>
      <c r="AQ37" t="s">
        <v>136</v>
      </c>
      <c r="AR37" s="1">
        <v>42155</v>
      </c>
      <c r="AS37" t="s">
        <v>137</v>
      </c>
      <c r="AT37" t="s">
        <v>71</v>
      </c>
      <c r="AU37">
        <v>340</v>
      </c>
      <c r="AV37" t="s">
        <v>76</v>
      </c>
    </row>
    <row r="38" spans="1:48" x14ac:dyDescent="0.25">
      <c r="A38" t="s">
        <v>306</v>
      </c>
      <c r="B38" t="s">
        <v>251</v>
      </c>
      <c r="C38" t="s">
        <v>155</v>
      </c>
      <c r="D38" t="s">
        <v>51</v>
      </c>
      <c r="E38">
        <v>18</v>
      </c>
      <c r="F38" t="s">
        <v>123</v>
      </c>
      <c r="G38" t="s">
        <v>169</v>
      </c>
      <c r="H38" t="s">
        <v>170</v>
      </c>
      <c r="I38" t="s">
        <v>144</v>
      </c>
      <c r="J38" t="s">
        <v>145</v>
      </c>
      <c r="K38" t="s">
        <v>146</v>
      </c>
      <c r="L38" t="s">
        <v>58</v>
      </c>
      <c r="M38" t="s">
        <v>161</v>
      </c>
      <c r="N38" t="s">
        <v>128</v>
      </c>
      <c r="O38" t="s">
        <v>149</v>
      </c>
      <c r="P38" s="1">
        <v>44813</v>
      </c>
      <c r="Q38">
        <v>1.7</v>
      </c>
      <c r="R38" t="s">
        <v>150</v>
      </c>
      <c r="S38" t="s">
        <v>63</v>
      </c>
      <c r="T38" t="s">
        <v>64</v>
      </c>
      <c r="U38">
        <v>0</v>
      </c>
      <c r="V38">
        <v>0</v>
      </c>
      <c r="W38">
        <v>3294</v>
      </c>
      <c r="X38">
        <v>805</v>
      </c>
      <c r="Y38">
        <v>422</v>
      </c>
      <c r="Z38">
        <v>4521</v>
      </c>
      <c r="AA38">
        <v>566</v>
      </c>
      <c r="AB38" t="s">
        <v>65</v>
      </c>
      <c r="AC38">
        <v>19.8</v>
      </c>
      <c r="AD38">
        <v>29</v>
      </c>
      <c r="AE38">
        <v>38</v>
      </c>
      <c r="AF38" t="s">
        <v>112</v>
      </c>
      <c r="AG38">
        <v>21</v>
      </c>
      <c r="AH38" t="s">
        <v>113</v>
      </c>
      <c r="AI38" t="s">
        <v>68</v>
      </c>
      <c r="AJ38" t="s">
        <v>96</v>
      </c>
      <c r="AK38" t="s">
        <v>70</v>
      </c>
      <c r="AL38" t="s">
        <v>70</v>
      </c>
      <c r="AM38" t="s">
        <v>70</v>
      </c>
      <c r="AN38" t="s">
        <v>72</v>
      </c>
      <c r="AO38" t="s">
        <v>97</v>
      </c>
      <c r="AP38" t="s">
        <v>135</v>
      </c>
      <c r="AQ38" t="s">
        <v>98</v>
      </c>
      <c r="AR38" s="1">
        <v>45424</v>
      </c>
      <c r="AS38" t="s">
        <v>137</v>
      </c>
      <c r="AT38" t="s">
        <v>70</v>
      </c>
      <c r="AU38">
        <v>1654</v>
      </c>
      <c r="AV38" t="s">
        <v>76</v>
      </c>
    </row>
    <row r="39" spans="1:48" x14ac:dyDescent="0.25">
      <c r="A39" t="s">
        <v>307</v>
      </c>
      <c r="B39" t="s">
        <v>308</v>
      </c>
      <c r="C39" t="s">
        <v>79</v>
      </c>
      <c r="D39" t="s">
        <v>51</v>
      </c>
      <c r="E39">
        <v>33</v>
      </c>
      <c r="F39" t="s">
        <v>278</v>
      </c>
      <c r="G39" t="s">
        <v>279</v>
      </c>
      <c r="H39" t="s">
        <v>280</v>
      </c>
      <c r="I39" t="s">
        <v>292</v>
      </c>
      <c r="J39" t="s">
        <v>293</v>
      </c>
      <c r="K39" t="s">
        <v>294</v>
      </c>
      <c r="L39" t="s">
        <v>86</v>
      </c>
      <c r="M39" t="s">
        <v>147</v>
      </c>
      <c r="N39" t="s">
        <v>148</v>
      </c>
      <c r="O39" t="s">
        <v>89</v>
      </c>
      <c r="P39" s="1">
        <v>42055</v>
      </c>
      <c r="Q39">
        <v>9.3000000000000007</v>
      </c>
      <c r="R39" t="s">
        <v>90</v>
      </c>
      <c r="S39" t="s">
        <v>63</v>
      </c>
      <c r="T39" t="s">
        <v>64</v>
      </c>
      <c r="U39">
        <v>0</v>
      </c>
      <c r="V39">
        <v>0</v>
      </c>
      <c r="W39">
        <v>6618</v>
      </c>
      <c r="X39">
        <v>0</v>
      </c>
      <c r="Y39">
        <v>266</v>
      </c>
      <c r="Z39">
        <v>6884</v>
      </c>
      <c r="AA39">
        <v>556</v>
      </c>
      <c r="AB39" t="s">
        <v>65</v>
      </c>
      <c r="AC39">
        <v>18.7</v>
      </c>
      <c r="AD39">
        <v>78</v>
      </c>
      <c r="AE39">
        <v>72</v>
      </c>
      <c r="AF39" t="s">
        <v>112</v>
      </c>
      <c r="AG39">
        <v>30</v>
      </c>
      <c r="AH39" t="s">
        <v>67</v>
      </c>
      <c r="AI39" t="s">
        <v>177</v>
      </c>
      <c r="AJ39" t="s">
        <v>69</v>
      </c>
      <c r="AK39" t="s">
        <v>70</v>
      </c>
      <c r="AL39" t="s">
        <v>70</v>
      </c>
      <c r="AM39" t="s">
        <v>71</v>
      </c>
      <c r="AN39" t="s">
        <v>72</v>
      </c>
      <c r="AO39" t="s">
        <v>72</v>
      </c>
      <c r="AP39" t="s">
        <v>135</v>
      </c>
      <c r="AQ39" t="s">
        <v>74</v>
      </c>
      <c r="AR39" s="1">
        <v>42612</v>
      </c>
      <c r="AS39" t="s">
        <v>137</v>
      </c>
      <c r="AT39" t="s">
        <v>71</v>
      </c>
      <c r="AU39">
        <v>-231</v>
      </c>
      <c r="AV39" t="s">
        <v>179</v>
      </c>
    </row>
    <row r="40" spans="1:48" x14ac:dyDescent="0.25">
      <c r="A40" t="s">
        <v>309</v>
      </c>
      <c r="B40" t="s">
        <v>100</v>
      </c>
      <c r="C40" t="s">
        <v>272</v>
      </c>
      <c r="D40" t="s">
        <v>51</v>
      </c>
      <c r="E40">
        <v>28</v>
      </c>
      <c r="F40" t="s">
        <v>52</v>
      </c>
      <c r="G40" t="s">
        <v>215</v>
      </c>
      <c r="H40" t="s">
        <v>216</v>
      </c>
      <c r="I40" t="s">
        <v>253</v>
      </c>
      <c r="J40" t="s">
        <v>254</v>
      </c>
      <c r="K40" t="s">
        <v>255</v>
      </c>
      <c r="L40" t="s">
        <v>201</v>
      </c>
      <c r="M40" t="s">
        <v>147</v>
      </c>
      <c r="N40" t="s">
        <v>88</v>
      </c>
      <c r="O40" t="s">
        <v>109</v>
      </c>
      <c r="P40" s="1">
        <v>42494</v>
      </c>
      <c r="Q40">
        <v>8.1</v>
      </c>
      <c r="R40" t="s">
        <v>90</v>
      </c>
      <c r="S40" t="s">
        <v>63</v>
      </c>
      <c r="T40" t="s">
        <v>64</v>
      </c>
      <c r="U40">
        <v>0</v>
      </c>
      <c r="V40">
        <v>0</v>
      </c>
      <c r="W40">
        <v>3637</v>
      </c>
      <c r="X40">
        <v>0</v>
      </c>
      <c r="Y40">
        <v>266</v>
      </c>
      <c r="Z40">
        <v>3903</v>
      </c>
      <c r="AA40">
        <v>572</v>
      </c>
      <c r="AB40" t="s">
        <v>65</v>
      </c>
      <c r="AC40">
        <v>19.2</v>
      </c>
      <c r="AD40">
        <v>27</v>
      </c>
      <c r="AE40">
        <v>71</v>
      </c>
      <c r="AF40" t="s">
        <v>93</v>
      </c>
      <c r="AG40">
        <v>29</v>
      </c>
      <c r="AH40" t="s">
        <v>113</v>
      </c>
      <c r="AI40" t="s">
        <v>68</v>
      </c>
      <c r="AJ40" t="s">
        <v>69</v>
      </c>
      <c r="AK40" t="s">
        <v>70</v>
      </c>
      <c r="AL40" t="s">
        <v>70</v>
      </c>
      <c r="AM40" t="s">
        <v>71</v>
      </c>
      <c r="AN40" t="s">
        <v>72</v>
      </c>
      <c r="AO40" t="s">
        <v>287</v>
      </c>
      <c r="AP40" t="s">
        <v>227</v>
      </c>
      <c r="AQ40" t="s">
        <v>117</v>
      </c>
      <c r="AR40" s="1">
        <v>42995</v>
      </c>
      <c r="AS40" t="s">
        <v>75</v>
      </c>
      <c r="AT40" t="s">
        <v>71</v>
      </c>
      <c r="AU40">
        <v>1442</v>
      </c>
      <c r="AV40" t="s">
        <v>76</v>
      </c>
    </row>
    <row r="41" spans="1:48" x14ac:dyDescent="0.25">
      <c r="A41" t="s">
        <v>310</v>
      </c>
      <c r="B41" t="s">
        <v>259</v>
      </c>
      <c r="C41" t="s">
        <v>79</v>
      </c>
      <c r="D41" t="s">
        <v>51</v>
      </c>
      <c r="E41">
        <v>25</v>
      </c>
      <c r="F41" t="s">
        <v>311</v>
      </c>
      <c r="G41" t="s">
        <v>193</v>
      </c>
      <c r="H41" t="s">
        <v>194</v>
      </c>
      <c r="I41" t="s">
        <v>253</v>
      </c>
      <c r="J41" t="s">
        <v>254</v>
      </c>
      <c r="K41" t="s">
        <v>255</v>
      </c>
      <c r="L41" t="s">
        <v>174</v>
      </c>
      <c r="M41" t="s">
        <v>59</v>
      </c>
      <c r="N41" t="s">
        <v>265</v>
      </c>
      <c r="O41" t="s">
        <v>176</v>
      </c>
      <c r="P41" s="1">
        <v>39418</v>
      </c>
      <c r="Q41">
        <v>16.5</v>
      </c>
      <c r="R41" t="s">
        <v>208</v>
      </c>
      <c r="S41" t="s">
        <v>63</v>
      </c>
      <c r="T41" t="s">
        <v>64</v>
      </c>
      <c r="U41">
        <v>0</v>
      </c>
      <c r="V41">
        <v>0</v>
      </c>
      <c r="W41">
        <v>2259</v>
      </c>
      <c r="X41">
        <v>922</v>
      </c>
      <c r="Y41">
        <v>422</v>
      </c>
      <c r="Z41">
        <v>3603</v>
      </c>
      <c r="AA41">
        <v>506</v>
      </c>
      <c r="AB41" t="s">
        <v>65</v>
      </c>
      <c r="AC41">
        <v>18.2</v>
      </c>
      <c r="AD41">
        <v>46</v>
      </c>
      <c r="AE41">
        <v>52</v>
      </c>
      <c r="AF41" t="s">
        <v>66</v>
      </c>
      <c r="AG41">
        <v>25</v>
      </c>
      <c r="AH41" t="s">
        <v>113</v>
      </c>
      <c r="AI41" t="s">
        <v>68</v>
      </c>
      <c r="AJ41" t="s">
        <v>188</v>
      </c>
      <c r="AK41" t="s">
        <v>70</v>
      </c>
      <c r="AL41" t="s">
        <v>70</v>
      </c>
      <c r="AM41" t="s">
        <v>70</v>
      </c>
      <c r="AN41" t="s">
        <v>72</v>
      </c>
      <c r="AO41" t="s">
        <v>116</v>
      </c>
      <c r="AP41" t="s">
        <v>72</v>
      </c>
      <c r="AQ41" t="s">
        <v>136</v>
      </c>
      <c r="AR41" s="1">
        <v>41365</v>
      </c>
      <c r="AS41" t="s">
        <v>75</v>
      </c>
      <c r="AT41" t="s">
        <v>71</v>
      </c>
      <c r="AU41">
        <v>426</v>
      </c>
      <c r="AV41" t="s">
        <v>76</v>
      </c>
    </row>
    <row r="42" spans="1:48" x14ac:dyDescent="0.25">
      <c r="A42" t="s">
        <v>312</v>
      </c>
      <c r="B42" t="s">
        <v>245</v>
      </c>
      <c r="C42" t="s">
        <v>313</v>
      </c>
      <c r="D42" t="s">
        <v>122</v>
      </c>
      <c r="E42">
        <v>28</v>
      </c>
      <c r="F42" t="s">
        <v>123</v>
      </c>
      <c r="G42" t="s">
        <v>234</v>
      </c>
      <c r="H42" t="s">
        <v>235</v>
      </c>
      <c r="I42" t="s">
        <v>225</v>
      </c>
      <c r="J42" t="s">
        <v>226</v>
      </c>
      <c r="K42" t="s">
        <v>105</v>
      </c>
      <c r="L42" t="s">
        <v>106</v>
      </c>
      <c r="M42" t="s">
        <v>59</v>
      </c>
      <c r="N42" t="s">
        <v>88</v>
      </c>
      <c r="O42" t="s">
        <v>89</v>
      </c>
      <c r="P42" s="1">
        <v>39830</v>
      </c>
      <c r="Q42">
        <v>15.4</v>
      </c>
      <c r="R42" t="s">
        <v>129</v>
      </c>
      <c r="S42" t="s">
        <v>110</v>
      </c>
      <c r="T42" t="s">
        <v>111</v>
      </c>
      <c r="U42">
        <v>9</v>
      </c>
      <c r="V42">
        <v>1</v>
      </c>
      <c r="W42">
        <v>1917</v>
      </c>
      <c r="X42">
        <v>1495</v>
      </c>
      <c r="Y42">
        <v>422</v>
      </c>
      <c r="Z42">
        <v>3834</v>
      </c>
      <c r="AA42">
        <v>579</v>
      </c>
      <c r="AB42" t="s">
        <v>65</v>
      </c>
      <c r="AC42">
        <v>12.6</v>
      </c>
      <c r="AD42">
        <v>75</v>
      </c>
      <c r="AE42">
        <v>39</v>
      </c>
      <c r="AF42" t="s">
        <v>132</v>
      </c>
      <c r="AG42">
        <v>18</v>
      </c>
      <c r="AH42" t="s">
        <v>113</v>
      </c>
      <c r="AI42" t="s">
        <v>68</v>
      </c>
      <c r="AJ42" t="s">
        <v>188</v>
      </c>
      <c r="AK42" t="s">
        <v>70</v>
      </c>
      <c r="AL42" t="s">
        <v>70</v>
      </c>
      <c r="AM42" t="s">
        <v>70</v>
      </c>
      <c r="AN42" t="s">
        <v>115</v>
      </c>
      <c r="AO42" t="s">
        <v>178</v>
      </c>
      <c r="AP42" t="s">
        <v>135</v>
      </c>
      <c r="AQ42" t="s">
        <v>136</v>
      </c>
      <c r="AR42" s="1">
        <v>44698</v>
      </c>
      <c r="AS42" t="s">
        <v>75</v>
      </c>
      <c r="AT42" t="s">
        <v>71</v>
      </c>
      <c r="AU42">
        <v>-153</v>
      </c>
      <c r="AV42" t="s">
        <v>179</v>
      </c>
    </row>
    <row r="43" spans="1:48" x14ac:dyDescent="0.25">
      <c r="A43" t="s">
        <v>314</v>
      </c>
      <c r="B43" t="s">
        <v>181</v>
      </c>
      <c r="C43" t="s">
        <v>233</v>
      </c>
      <c r="D43" t="s">
        <v>51</v>
      </c>
      <c r="E43">
        <v>37</v>
      </c>
      <c r="F43" t="s">
        <v>214</v>
      </c>
      <c r="G43" t="s">
        <v>298</v>
      </c>
      <c r="H43" t="s">
        <v>299</v>
      </c>
      <c r="I43" t="s">
        <v>158</v>
      </c>
      <c r="J43" t="s">
        <v>159</v>
      </c>
      <c r="K43" t="s">
        <v>160</v>
      </c>
      <c r="L43" t="s">
        <v>174</v>
      </c>
      <c r="M43" t="s">
        <v>207</v>
      </c>
      <c r="N43" t="s">
        <v>162</v>
      </c>
      <c r="O43" t="s">
        <v>109</v>
      </c>
      <c r="P43" s="1">
        <v>42331</v>
      </c>
      <c r="Q43">
        <v>8.5</v>
      </c>
      <c r="R43" t="s">
        <v>208</v>
      </c>
      <c r="S43" t="s">
        <v>63</v>
      </c>
      <c r="T43" t="s">
        <v>64</v>
      </c>
      <c r="U43">
        <v>0</v>
      </c>
      <c r="V43">
        <v>0</v>
      </c>
      <c r="W43">
        <v>2149</v>
      </c>
      <c r="X43">
        <v>1705</v>
      </c>
      <c r="Y43">
        <v>422</v>
      </c>
      <c r="Z43">
        <v>4276</v>
      </c>
      <c r="AA43">
        <v>348</v>
      </c>
      <c r="AB43" t="s">
        <v>151</v>
      </c>
      <c r="AC43">
        <v>14.8</v>
      </c>
      <c r="AD43">
        <v>68</v>
      </c>
      <c r="AE43">
        <v>62</v>
      </c>
      <c r="AF43" t="s">
        <v>112</v>
      </c>
      <c r="AG43">
        <v>29</v>
      </c>
      <c r="AH43" t="s">
        <v>113</v>
      </c>
      <c r="AI43" t="s">
        <v>177</v>
      </c>
      <c r="AJ43" t="s">
        <v>96</v>
      </c>
      <c r="AK43" t="s">
        <v>71</v>
      </c>
      <c r="AL43" t="s">
        <v>71</v>
      </c>
      <c r="AM43" t="s">
        <v>70</v>
      </c>
      <c r="AN43" t="s">
        <v>72</v>
      </c>
      <c r="AO43" t="s">
        <v>97</v>
      </c>
      <c r="AP43" t="s">
        <v>72</v>
      </c>
      <c r="AQ43" t="s">
        <v>74</v>
      </c>
      <c r="AR43" s="1">
        <v>42870</v>
      </c>
      <c r="AS43" t="s">
        <v>118</v>
      </c>
      <c r="AT43" t="s">
        <v>71</v>
      </c>
      <c r="AU43">
        <v>62</v>
      </c>
      <c r="AV43" t="s">
        <v>179</v>
      </c>
    </row>
    <row r="44" spans="1:48" x14ac:dyDescent="0.25">
      <c r="A44" t="s">
        <v>315</v>
      </c>
      <c r="B44" t="s">
        <v>267</v>
      </c>
      <c r="C44" t="s">
        <v>252</v>
      </c>
      <c r="D44" t="s">
        <v>51</v>
      </c>
      <c r="E44">
        <v>30</v>
      </c>
      <c r="F44" t="s">
        <v>316</v>
      </c>
      <c r="G44" t="s">
        <v>81</v>
      </c>
      <c r="H44" t="s">
        <v>82</v>
      </c>
      <c r="I44" t="s">
        <v>268</v>
      </c>
      <c r="J44" t="s">
        <v>269</v>
      </c>
      <c r="K44" t="s">
        <v>173</v>
      </c>
      <c r="L44" t="s">
        <v>126</v>
      </c>
      <c r="M44" t="s">
        <v>59</v>
      </c>
      <c r="N44" t="s">
        <v>162</v>
      </c>
      <c r="O44" t="s">
        <v>149</v>
      </c>
      <c r="P44" s="1">
        <v>39411</v>
      </c>
      <c r="Q44">
        <v>16.5</v>
      </c>
      <c r="R44" t="s">
        <v>208</v>
      </c>
      <c r="S44" t="s">
        <v>91</v>
      </c>
      <c r="T44" t="s">
        <v>92</v>
      </c>
      <c r="U44">
        <v>7</v>
      </c>
      <c r="V44">
        <v>1</v>
      </c>
      <c r="W44">
        <v>2504</v>
      </c>
      <c r="X44">
        <v>1824</v>
      </c>
      <c r="Y44">
        <v>422</v>
      </c>
      <c r="Z44">
        <v>4750</v>
      </c>
      <c r="AA44">
        <v>311</v>
      </c>
      <c r="AB44" t="s">
        <v>151</v>
      </c>
      <c r="AC44">
        <v>13.1</v>
      </c>
      <c r="AD44">
        <v>75</v>
      </c>
      <c r="AE44">
        <v>77</v>
      </c>
      <c r="AF44" t="s">
        <v>132</v>
      </c>
      <c r="AG44">
        <v>16</v>
      </c>
      <c r="AH44" t="s">
        <v>113</v>
      </c>
      <c r="AI44" t="s">
        <v>68</v>
      </c>
      <c r="AJ44" t="s">
        <v>69</v>
      </c>
      <c r="AK44" t="s">
        <v>70</v>
      </c>
      <c r="AL44" t="s">
        <v>70</v>
      </c>
      <c r="AM44" t="s">
        <v>71</v>
      </c>
      <c r="AN44" t="s">
        <v>115</v>
      </c>
      <c r="AO44" t="s">
        <v>287</v>
      </c>
      <c r="AP44" t="s">
        <v>221</v>
      </c>
      <c r="AQ44" t="s">
        <v>74</v>
      </c>
      <c r="AR44" s="1">
        <v>42852</v>
      </c>
      <c r="AS44" t="s">
        <v>118</v>
      </c>
      <c r="AT44" t="s">
        <v>71</v>
      </c>
      <c r="AU44">
        <v>982</v>
      </c>
      <c r="AV44" t="s">
        <v>76</v>
      </c>
    </row>
    <row r="45" spans="1:48" x14ac:dyDescent="0.25">
      <c r="A45" t="s">
        <v>317</v>
      </c>
      <c r="B45" t="s">
        <v>277</v>
      </c>
      <c r="C45" t="s">
        <v>257</v>
      </c>
      <c r="D45" t="s">
        <v>51</v>
      </c>
      <c r="E45">
        <v>26</v>
      </c>
      <c r="F45" t="s">
        <v>211</v>
      </c>
      <c r="G45" t="s">
        <v>53</v>
      </c>
      <c r="H45" t="s">
        <v>54</v>
      </c>
      <c r="I45" t="s">
        <v>253</v>
      </c>
      <c r="J45" t="s">
        <v>254</v>
      </c>
      <c r="K45" t="s">
        <v>255</v>
      </c>
      <c r="L45" t="s">
        <v>201</v>
      </c>
      <c r="M45" t="s">
        <v>212</v>
      </c>
      <c r="N45" t="s">
        <v>148</v>
      </c>
      <c r="O45" t="s">
        <v>89</v>
      </c>
      <c r="P45" s="1">
        <v>41595</v>
      </c>
      <c r="Q45">
        <v>10.5</v>
      </c>
      <c r="R45" t="s">
        <v>195</v>
      </c>
      <c r="S45" t="s">
        <v>196</v>
      </c>
      <c r="T45" t="s">
        <v>197</v>
      </c>
      <c r="U45">
        <v>0</v>
      </c>
      <c r="V45">
        <v>0</v>
      </c>
      <c r="W45">
        <v>4739</v>
      </c>
      <c r="X45">
        <v>1435</v>
      </c>
      <c r="Y45">
        <v>422</v>
      </c>
      <c r="Z45">
        <v>6596</v>
      </c>
      <c r="AA45">
        <v>329</v>
      </c>
      <c r="AB45" t="s">
        <v>151</v>
      </c>
      <c r="AC45">
        <v>14.4</v>
      </c>
      <c r="AD45">
        <v>69</v>
      </c>
      <c r="AE45">
        <v>40</v>
      </c>
      <c r="AF45" t="s">
        <v>66</v>
      </c>
      <c r="AG45">
        <v>32</v>
      </c>
      <c r="AH45" t="s">
        <v>67</v>
      </c>
      <c r="AI45" t="s">
        <v>114</v>
      </c>
      <c r="AJ45" t="s">
        <v>188</v>
      </c>
      <c r="AK45" t="s">
        <v>70</v>
      </c>
      <c r="AL45" t="s">
        <v>71</v>
      </c>
      <c r="AM45" t="s">
        <v>70</v>
      </c>
      <c r="AN45" t="s">
        <v>133</v>
      </c>
      <c r="AO45" t="s">
        <v>203</v>
      </c>
      <c r="AP45" t="s">
        <v>72</v>
      </c>
      <c r="AQ45" t="s">
        <v>117</v>
      </c>
      <c r="AR45" s="1">
        <v>41892</v>
      </c>
      <c r="AS45" t="s">
        <v>118</v>
      </c>
      <c r="AT45" t="s">
        <v>71</v>
      </c>
      <c r="AU45">
        <v>225</v>
      </c>
      <c r="AV45" t="s">
        <v>76</v>
      </c>
    </row>
    <row r="46" spans="1:48" x14ac:dyDescent="0.25">
      <c r="A46" t="s">
        <v>318</v>
      </c>
      <c r="B46" t="s">
        <v>251</v>
      </c>
      <c r="C46" t="s">
        <v>230</v>
      </c>
      <c r="D46" t="s">
        <v>122</v>
      </c>
      <c r="E46">
        <v>29</v>
      </c>
      <c r="F46" t="s">
        <v>224</v>
      </c>
      <c r="G46" t="s">
        <v>279</v>
      </c>
      <c r="H46" t="s">
        <v>280</v>
      </c>
      <c r="I46" t="s">
        <v>158</v>
      </c>
      <c r="J46" t="s">
        <v>159</v>
      </c>
      <c r="K46" t="s">
        <v>160</v>
      </c>
      <c r="L46" t="s">
        <v>201</v>
      </c>
      <c r="M46" t="s">
        <v>175</v>
      </c>
      <c r="N46" t="s">
        <v>265</v>
      </c>
      <c r="O46" t="s">
        <v>61</v>
      </c>
      <c r="P46" s="1">
        <v>41000</v>
      </c>
      <c r="Q46">
        <v>12.2</v>
      </c>
      <c r="R46" t="s">
        <v>195</v>
      </c>
      <c r="S46" t="s">
        <v>196</v>
      </c>
      <c r="T46" t="s">
        <v>197</v>
      </c>
      <c r="U46">
        <v>0</v>
      </c>
      <c r="V46">
        <v>0</v>
      </c>
      <c r="W46">
        <v>6618</v>
      </c>
      <c r="X46">
        <v>2084</v>
      </c>
      <c r="Y46">
        <v>266</v>
      </c>
      <c r="Z46">
        <v>8968</v>
      </c>
      <c r="AA46">
        <v>516</v>
      </c>
      <c r="AB46" t="s">
        <v>65</v>
      </c>
      <c r="AC46">
        <v>13.8</v>
      </c>
      <c r="AD46">
        <v>24</v>
      </c>
      <c r="AE46">
        <v>60</v>
      </c>
      <c r="AF46" t="s">
        <v>112</v>
      </c>
      <c r="AG46">
        <v>24</v>
      </c>
      <c r="AH46" t="s">
        <v>113</v>
      </c>
      <c r="AI46" t="s">
        <v>177</v>
      </c>
      <c r="AJ46" t="s">
        <v>69</v>
      </c>
      <c r="AK46" t="s">
        <v>70</v>
      </c>
      <c r="AL46" t="s">
        <v>71</v>
      </c>
      <c r="AM46" t="s">
        <v>71</v>
      </c>
      <c r="AN46" t="s">
        <v>115</v>
      </c>
      <c r="AO46" t="s">
        <v>116</v>
      </c>
      <c r="AP46" t="s">
        <v>72</v>
      </c>
      <c r="AQ46" t="s">
        <v>136</v>
      </c>
      <c r="AR46" s="1">
        <v>44058</v>
      </c>
      <c r="AS46" t="s">
        <v>137</v>
      </c>
      <c r="AT46" t="s">
        <v>71</v>
      </c>
      <c r="AU46">
        <v>1395</v>
      </c>
      <c r="AV46" t="s">
        <v>76</v>
      </c>
    </row>
    <row r="47" spans="1:48" x14ac:dyDescent="0.25">
      <c r="A47" t="s">
        <v>319</v>
      </c>
      <c r="B47" t="s">
        <v>251</v>
      </c>
      <c r="C47" t="s">
        <v>200</v>
      </c>
      <c r="D47" t="s">
        <v>51</v>
      </c>
      <c r="E47">
        <v>39</v>
      </c>
      <c r="F47" t="s">
        <v>305</v>
      </c>
      <c r="G47" t="s">
        <v>169</v>
      </c>
      <c r="H47" t="s">
        <v>170</v>
      </c>
      <c r="I47" t="s">
        <v>83</v>
      </c>
      <c r="J47" t="s">
        <v>84</v>
      </c>
      <c r="K47" t="s">
        <v>85</v>
      </c>
      <c r="L47" t="s">
        <v>201</v>
      </c>
      <c r="M47" t="s">
        <v>249</v>
      </c>
      <c r="N47" t="s">
        <v>148</v>
      </c>
      <c r="O47" t="s">
        <v>149</v>
      </c>
      <c r="P47" s="1">
        <v>38859</v>
      </c>
      <c r="Q47">
        <v>18</v>
      </c>
      <c r="R47" t="s">
        <v>195</v>
      </c>
      <c r="S47" t="s">
        <v>91</v>
      </c>
      <c r="T47" t="s">
        <v>92</v>
      </c>
      <c r="U47">
        <v>3</v>
      </c>
      <c r="V47">
        <v>0</v>
      </c>
      <c r="W47">
        <v>3294</v>
      </c>
      <c r="X47">
        <v>0</v>
      </c>
      <c r="Y47">
        <v>422</v>
      </c>
      <c r="Z47">
        <v>3716</v>
      </c>
      <c r="AA47">
        <v>416</v>
      </c>
      <c r="AB47" t="s">
        <v>65</v>
      </c>
      <c r="AC47">
        <v>16.8</v>
      </c>
      <c r="AD47">
        <v>31</v>
      </c>
      <c r="AE47">
        <v>32</v>
      </c>
      <c r="AF47" t="s">
        <v>132</v>
      </c>
      <c r="AG47">
        <v>30</v>
      </c>
      <c r="AH47" t="s">
        <v>67</v>
      </c>
      <c r="AI47" t="s">
        <v>177</v>
      </c>
      <c r="AJ47" t="s">
        <v>96</v>
      </c>
      <c r="AK47" t="s">
        <v>70</v>
      </c>
      <c r="AL47" t="s">
        <v>70</v>
      </c>
      <c r="AM47" t="s">
        <v>70</v>
      </c>
      <c r="AN47" t="s">
        <v>72</v>
      </c>
      <c r="AO47" t="s">
        <v>203</v>
      </c>
      <c r="AP47" t="s">
        <v>178</v>
      </c>
      <c r="AQ47" t="s">
        <v>117</v>
      </c>
      <c r="AR47" s="1">
        <v>39492</v>
      </c>
      <c r="AS47" t="s">
        <v>75</v>
      </c>
      <c r="AT47" t="s">
        <v>71</v>
      </c>
      <c r="AU47">
        <v>1785</v>
      </c>
      <c r="AV47" t="s">
        <v>76</v>
      </c>
    </row>
    <row r="48" spans="1:48" x14ac:dyDescent="0.25">
      <c r="A48" t="s">
        <v>320</v>
      </c>
      <c r="B48" t="s">
        <v>49</v>
      </c>
      <c r="C48" t="s">
        <v>206</v>
      </c>
      <c r="D48" t="s">
        <v>122</v>
      </c>
      <c r="E48">
        <v>27</v>
      </c>
      <c r="F48" t="s">
        <v>123</v>
      </c>
      <c r="G48" t="s">
        <v>124</v>
      </c>
      <c r="H48" t="s">
        <v>125</v>
      </c>
      <c r="I48" t="s">
        <v>83</v>
      </c>
      <c r="J48" t="s">
        <v>84</v>
      </c>
      <c r="K48" t="s">
        <v>85</v>
      </c>
      <c r="L48" t="s">
        <v>174</v>
      </c>
      <c r="M48" t="s">
        <v>87</v>
      </c>
      <c r="N48" t="s">
        <v>265</v>
      </c>
      <c r="O48" t="s">
        <v>149</v>
      </c>
      <c r="P48" s="1">
        <v>41218</v>
      </c>
      <c r="Q48">
        <v>11.6</v>
      </c>
      <c r="R48" t="s">
        <v>129</v>
      </c>
      <c r="S48" t="s">
        <v>110</v>
      </c>
      <c r="T48" t="s">
        <v>111</v>
      </c>
      <c r="U48">
        <v>12</v>
      </c>
      <c r="V48">
        <v>2</v>
      </c>
      <c r="W48">
        <v>2730</v>
      </c>
      <c r="X48">
        <v>0</v>
      </c>
      <c r="Y48">
        <v>422</v>
      </c>
      <c r="Z48">
        <v>3152</v>
      </c>
      <c r="AA48">
        <v>458</v>
      </c>
      <c r="AB48" t="s">
        <v>65</v>
      </c>
      <c r="AC48">
        <v>15.1</v>
      </c>
      <c r="AD48">
        <v>44</v>
      </c>
      <c r="AE48">
        <v>71</v>
      </c>
      <c r="AF48" t="s">
        <v>93</v>
      </c>
      <c r="AG48">
        <v>37</v>
      </c>
      <c r="AH48" t="s">
        <v>94</v>
      </c>
      <c r="AI48" t="s">
        <v>114</v>
      </c>
      <c r="AJ48" t="s">
        <v>69</v>
      </c>
      <c r="AK48" t="s">
        <v>70</v>
      </c>
      <c r="AL48" t="s">
        <v>71</v>
      </c>
      <c r="AM48" t="s">
        <v>70</v>
      </c>
      <c r="AN48" t="s">
        <v>231</v>
      </c>
      <c r="AO48" t="s">
        <v>72</v>
      </c>
      <c r="AP48" t="s">
        <v>72</v>
      </c>
      <c r="AQ48" t="s">
        <v>136</v>
      </c>
      <c r="AR48" s="1">
        <v>42481</v>
      </c>
      <c r="AS48" t="s">
        <v>75</v>
      </c>
      <c r="AT48" t="s">
        <v>71</v>
      </c>
      <c r="AU48">
        <v>427</v>
      </c>
      <c r="AV48" t="s">
        <v>76</v>
      </c>
    </row>
    <row r="49" spans="1:48" x14ac:dyDescent="0.25">
      <c r="A49" t="s">
        <v>321</v>
      </c>
      <c r="B49" t="s">
        <v>259</v>
      </c>
      <c r="C49" t="s">
        <v>233</v>
      </c>
      <c r="D49" t="s">
        <v>51</v>
      </c>
      <c r="E49">
        <v>39</v>
      </c>
      <c r="F49" t="s">
        <v>322</v>
      </c>
      <c r="G49" t="s">
        <v>142</v>
      </c>
      <c r="H49" t="s">
        <v>143</v>
      </c>
      <c r="I49" t="s">
        <v>144</v>
      </c>
      <c r="J49" t="s">
        <v>145</v>
      </c>
      <c r="K49" t="s">
        <v>146</v>
      </c>
      <c r="L49" t="s">
        <v>174</v>
      </c>
      <c r="M49" t="s">
        <v>147</v>
      </c>
      <c r="N49" t="s">
        <v>128</v>
      </c>
      <c r="O49" t="s">
        <v>61</v>
      </c>
      <c r="P49" s="1">
        <v>44403</v>
      </c>
      <c r="Q49">
        <v>2.9</v>
      </c>
      <c r="R49" t="s">
        <v>129</v>
      </c>
      <c r="S49" t="s">
        <v>63</v>
      </c>
      <c r="T49" t="s">
        <v>64</v>
      </c>
      <c r="U49">
        <v>0</v>
      </c>
      <c r="V49">
        <v>0</v>
      </c>
      <c r="W49">
        <v>5473</v>
      </c>
      <c r="X49">
        <v>877</v>
      </c>
      <c r="Y49">
        <v>422</v>
      </c>
      <c r="Z49">
        <v>6772</v>
      </c>
      <c r="AA49">
        <v>595</v>
      </c>
      <c r="AB49" t="s">
        <v>65</v>
      </c>
      <c r="AC49">
        <v>19.899999999999999</v>
      </c>
      <c r="AD49">
        <v>59</v>
      </c>
      <c r="AE49">
        <v>38</v>
      </c>
      <c r="AF49" t="s">
        <v>132</v>
      </c>
      <c r="AG49">
        <v>20</v>
      </c>
      <c r="AH49" t="s">
        <v>113</v>
      </c>
      <c r="AI49" t="s">
        <v>95</v>
      </c>
      <c r="AJ49" t="s">
        <v>69</v>
      </c>
      <c r="AK49" t="s">
        <v>71</v>
      </c>
      <c r="AL49" t="s">
        <v>70</v>
      </c>
      <c r="AM49" t="s">
        <v>70</v>
      </c>
      <c r="AN49" t="s">
        <v>231</v>
      </c>
      <c r="AO49" t="s">
        <v>178</v>
      </c>
      <c r="AP49" t="s">
        <v>72</v>
      </c>
      <c r="AQ49" t="s">
        <v>98</v>
      </c>
      <c r="AR49" s="1">
        <v>44676</v>
      </c>
      <c r="AS49" t="s">
        <v>75</v>
      </c>
      <c r="AT49" t="s">
        <v>71</v>
      </c>
      <c r="AU49">
        <v>1687</v>
      </c>
      <c r="AV49" t="s">
        <v>76</v>
      </c>
    </row>
    <row r="50" spans="1:48" x14ac:dyDescent="0.25">
      <c r="A50" t="s">
        <v>323</v>
      </c>
      <c r="B50" t="s">
        <v>308</v>
      </c>
      <c r="C50" t="s">
        <v>252</v>
      </c>
      <c r="D50" t="s">
        <v>51</v>
      </c>
      <c r="E50">
        <v>26</v>
      </c>
      <c r="F50" t="s">
        <v>278</v>
      </c>
      <c r="G50" t="s">
        <v>169</v>
      </c>
      <c r="H50" t="s">
        <v>170</v>
      </c>
      <c r="I50" t="s">
        <v>83</v>
      </c>
      <c r="J50" t="s">
        <v>84</v>
      </c>
      <c r="K50" t="s">
        <v>85</v>
      </c>
      <c r="L50" t="s">
        <v>106</v>
      </c>
      <c r="M50" t="s">
        <v>87</v>
      </c>
      <c r="N50" t="s">
        <v>162</v>
      </c>
      <c r="O50" t="s">
        <v>109</v>
      </c>
      <c r="P50" s="1">
        <v>44656</v>
      </c>
      <c r="Q50">
        <v>2.2000000000000002</v>
      </c>
      <c r="R50" t="s">
        <v>129</v>
      </c>
      <c r="S50" t="s">
        <v>110</v>
      </c>
      <c r="T50" t="s">
        <v>111</v>
      </c>
      <c r="U50">
        <v>12</v>
      </c>
      <c r="V50">
        <v>2</v>
      </c>
      <c r="W50">
        <v>3294</v>
      </c>
      <c r="X50">
        <v>1829</v>
      </c>
      <c r="Y50">
        <v>422</v>
      </c>
      <c r="Z50">
        <v>5545</v>
      </c>
      <c r="AA50">
        <v>599</v>
      </c>
      <c r="AB50" t="s">
        <v>65</v>
      </c>
      <c r="AC50">
        <v>20.7</v>
      </c>
      <c r="AD50">
        <v>72</v>
      </c>
      <c r="AE50">
        <v>42</v>
      </c>
      <c r="AF50" t="s">
        <v>93</v>
      </c>
      <c r="AG50">
        <v>24</v>
      </c>
      <c r="AH50" t="s">
        <v>113</v>
      </c>
      <c r="AI50" t="s">
        <v>152</v>
      </c>
      <c r="AJ50" t="s">
        <v>72</v>
      </c>
      <c r="AK50" t="s">
        <v>70</v>
      </c>
      <c r="AL50" t="s">
        <v>71</v>
      </c>
      <c r="AM50" t="s">
        <v>70</v>
      </c>
      <c r="AN50" t="s">
        <v>270</v>
      </c>
      <c r="AO50" t="s">
        <v>135</v>
      </c>
      <c r="AP50" t="s">
        <v>221</v>
      </c>
      <c r="AQ50" t="s">
        <v>136</v>
      </c>
      <c r="AR50" s="1">
        <v>45016</v>
      </c>
      <c r="AS50" t="s">
        <v>118</v>
      </c>
      <c r="AT50" t="s">
        <v>71</v>
      </c>
      <c r="AU50">
        <v>1347</v>
      </c>
      <c r="AV50" t="s">
        <v>76</v>
      </c>
    </row>
    <row r="51" spans="1:48" x14ac:dyDescent="0.25">
      <c r="A51" t="s">
        <v>324</v>
      </c>
      <c r="B51" t="s">
        <v>166</v>
      </c>
      <c r="C51" t="s">
        <v>50</v>
      </c>
      <c r="D51" t="s">
        <v>51</v>
      </c>
      <c r="E51">
        <v>18</v>
      </c>
      <c r="F51" t="s">
        <v>325</v>
      </c>
      <c r="G51" t="s">
        <v>298</v>
      </c>
      <c r="H51" t="s">
        <v>299</v>
      </c>
      <c r="I51" t="s">
        <v>253</v>
      </c>
      <c r="J51" t="s">
        <v>254</v>
      </c>
      <c r="K51" t="s">
        <v>255</v>
      </c>
      <c r="L51" t="s">
        <v>201</v>
      </c>
      <c r="M51" t="s">
        <v>161</v>
      </c>
      <c r="N51" t="s">
        <v>108</v>
      </c>
      <c r="O51" t="s">
        <v>109</v>
      </c>
      <c r="P51" s="1">
        <v>39021</v>
      </c>
      <c r="Q51">
        <v>17.600000000000001</v>
      </c>
      <c r="R51" t="s">
        <v>129</v>
      </c>
      <c r="S51" t="s">
        <v>110</v>
      </c>
      <c r="T51" t="s">
        <v>111</v>
      </c>
      <c r="U51">
        <v>7</v>
      </c>
      <c r="V51">
        <v>1</v>
      </c>
      <c r="W51">
        <v>2149</v>
      </c>
      <c r="X51">
        <v>857</v>
      </c>
      <c r="Y51">
        <v>422</v>
      </c>
      <c r="Z51">
        <v>3428</v>
      </c>
      <c r="AA51">
        <v>461</v>
      </c>
      <c r="AB51" t="s">
        <v>65</v>
      </c>
      <c r="AC51">
        <v>20.399999999999999</v>
      </c>
      <c r="AD51">
        <v>73</v>
      </c>
      <c r="AE51">
        <v>75</v>
      </c>
      <c r="AF51" t="s">
        <v>93</v>
      </c>
      <c r="AG51">
        <v>20</v>
      </c>
      <c r="AH51" t="s">
        <v>113</v>
      </c>
      <c r="AI51" t="s">
        <v>177</v>
      </c>
      <c r="AJ51" t="s">
        <v>188</v>
      </c>
      <c r="AK51" t="s">
        <v>70</v>
      </c>
      <c r="AL51" t="s">
        <v>70</v>
      </c>
      <c r="AM51" t="s">
        <v>70</v>
      </c>
      <c r="AN51" t="s">
        <v>72</v>
      </c>
      <c r="AO51" t="s">
        <v>135</v>
      </c>
      <c r="AP51" t="s">
        <v>72</v>
      </c>
      <c r="AQ51" t="s">
        <v>74</v>
      </c>
      <c r="AR51" s="1">
        <v>39942</v>
      </c>
      <c r="AS51" t="s">
        <v>75</v>
      </c>
      <c r="AT51" t="s">
        <v>71</v>
      </c>
      <c r="AU51">
        <v>1747</v>
      </c>
      <c r="AV51" t="s">
        <v>76</v>
      </c>
    </row>
    <row r="52" spans="1:48" x14ac:dyDescent="0.25">
      <c r="A52" t="s">
        <v>326</v>
      </c>
      <c r="B52" t="s">
        <v>154</v>
      </c>
      <c r="C52" t="s">
        <v>223</v>
      </c>
      <c r="D52" t="s">
        <v>122</v>
      </c>
      <c r="E52">
        <v>25</v>
      </c>
      <c r="F52" t="s">
        <v>241</v>
      </c>
      <c r="G52" t="s">
        <v>53</v>
      </c>
      <c r="H52" t="s">
        <v>54</v>
      </c>
      <c r="I52" t="s">
        <v>217</v>
      </c>
      <c r="J52" t="s">
        <v>218</v>
      </c>
      <c r="K52" t="s">
        <v>146</v>
      </c>
      <c r="L52" t="s">
        <v>174</v>
      </c>
      <c r="M52" t="s">
        <v>296</v>
      </c>
      <c r="N52" t="s">
        <v>108</v>
      </c>
      <c r="O52" t="s">
        <v>109</v>
      </c>
      <c r="P52" s="1">
        <v>43587</v>
      </c>
      <c r="Q52">
        <v>5.0999999999999996</v>
      </c>
      <c r="R52" t="s">
        <v>195</v>
      </c>
      <c r="S52" t="s">
        <v>196</v>
      </c>
      <c r="T52" t="s">
        <v>197</v>
      </c>
      <c r="U52">
        <v>0</v>
      </c>
      <c r="V52">
        <v>0</v>
      </c>
      <c r="W52">
        <v>4739</v>
      </c>
      <c r="X52">
        <v>2075</v>
      </c>
      <c r="Y52">
        <v>422</v>
      </c>
      <c r="Z52">
        <v>7236</v>
      </c>
      <c r="AA52">
        <v>595</v>
      </c>
      <c r="AB52" t="s">
        <v>65</v>
      </c>
      <c r="AC52">
        <v>13</v>
      </c>
      <c r="AD52">
        <v>73</v>
      </c>
      <c r="AE52">
        <v>61</v>
      </c>
      <c r="AF52" t="s">
        <v>66</v>
      </c>
      <c r="AG52">
        <v>36</v>
      </c>
      <c r="AH52" t="s">
        <v>94</v>
      </c>
      <c r="AI52" t="s">
        <v>95</v>
      </c>
      <c r="AJ52" t="s">
        <v>69</v>
      </c>
      <c r="AK52" t="s">
        <v>71</v>
      </c>
      <c r="AL52" t="s">
        <v>70</v>
      </c>
      <c r="AM52" t="s">
        <v>70</v>
      </c>
      <c r="AN52" t="s">
        <v>270</v>
      </c>
      <c r="AO52" t="s">
        <v>203</v>
      </c>
      <c r="AP52" t="s">
        <v>72</v>
      </c>
      <c r="AQ52" t="s">
        <v>98</v>
      </c>
      <c r="AR52" s="1">
        <v>45610</v>
      </c>
      <c r="AS52" t="s">
        <v>118</v>
      </c>
      <c r="AT52" t="s">
        <v>71</v>
      </c>
      <c r="AU52">
        <v>977</v>
      </c>
      <c r="AV52" t="s">
        <v>76</v>
      </c>
    </row>
    <row r="53" spans="1:48" x14ac:dyDescent="0.25">
      <c r="A53" t="s">
        <v>327</v>
      </c>
      <c r="B53" t="s">
        <v>78</v>
      </c>
      <c r="C53" t="s">
        <v>50</v>
      </c>
      <c r="D53" t="s">
        <v>51</v>
      </c>
      <c r="E53">
        <v>38</v>
      </c>
      <c r="F53" t="s">
        <v>123</v>
      </c>
      <c r="G53" t="s">
        <v>285</v>
      </c>
      <c r="H53" t="s">
        <v>286</v>
      </c>
      <c r="I53" t="s">
        <v>268</v>
      </c>
      <c r="J53" t="s">
        <v>269</v>
      </c>
      <c r="K53" t="s">
        <v>173</v>
      </c>
      <c r="L53" t="s">
        <v>106</v>
      </c>
      <c r="M53" t="s">
        <v>212</v>
      </c>
      <c r="N53" t="s">
        <v>88</v>
      </c>
      <c r="O53" t="s">
        <v>176</v>
      </c>
      <c r="P53" s="1">
        <v>44475</v>
      </c>
      <c r="Q53">
        <v>2.7</v>
      </c>
      <c r="R53" t="s">
        <v>90</v>
      </c>
      <c r="S53" t="s">
        <v>163</v>
      </c>
      <c r="T53" t="s">
        <v>164</v>
      </c>
      <c r="U53">
        <v>11</v>
      </c>
      <c r="V53">
        <v>1</v>
      </c>
      <c r="W53">
        <v>7668</v>
      </c>
      <c r="X53">
        <v>938</v>
      </c>
      <c r="Y53">
        <v>266</v>
      </c>
      <c r="Z53">
        <v>8872</v>
      </c>
      <c r="AA53">
        <v>343</v>
      </c>
      <c r="AB53" t="s">
        <v>151</v>
      </c>
      <c r="AC53">
        <v>14.5</v>
      </c>
      <c r="AD53">
        <v>62</v>
      </c>
      <c r="AE53">
        <v>70</v>
      </c>
      <c r="AF53" t="s">
        <v>112</v>
      </c>
      <c r="AG53">
        <v>20</v>
      </c>
      <c r="AH53" t="s">
        <v>113</v>
      </c>
      <c r="AI53" t="s">
        <v>114</v>
      </c>
      <c r="AJ53" t="s">
        <v>188</v>
      </c>
      <c r="AK53" t="s">
        <v>70</v>
      </c>
      <c r="AL53" t="s">
        <v>70</v>
      </c>
      <c r="AM53" t="s">
        <v>70</v>
      </c>
      <c r="AN53" t="s">
        <v>231</v>
      </c>
      <c r="AO53" t="s">
        <v>135</v>
      </c>
      <c r="AP53" t="s">
        <v>72</v>
      </c>
      <c r="AQ53" t="s">
        <v>117</v>
      </c>
      <c r="AR53" s="1">
        <v>44272</v>
      </c>
      <c r="AS53" t="s">
        <v>137</v>
      </c>
      <c r="AT53" t="s">
        <v>71</v>
      </c>
      <c r="AU53">
        <v>701</v>
      </c>
      <c r="AV53" t="s">
        <v>76</v>
      </c>
    </row>
    <row r="54" spans="1:48" x14ac:dyDescent="0.25">
      <c r="A54" t="s">
        <v>328</v>
      </c>
      <c r="B54" t="s">
        <v>263</v>
      </c>
      <c r="C54" t="s">
        <v>191</v>
      </c>
      <c r="D54" t="s">
        <v>51</v>
      </c>
      <c r="E54">
        <v>33</v>
      </c>
      <c r="F54" t="s">
        <v>141</v>
      </c>
      <c r="G54" t="s">
        <v>298</v>
      </c>
      <c r="H54" t="s">
        <v>299</v>
      </c>
      <c r="I54" t="s">
        <v>83</v>
      </c>
      <c r="J54" t="s">
        <v>84</v>
      </c>
      <c r="K54" t="s">
        <v>85</v>
      </c>
      <c r="L54" t="s">
        <v>86</v>
      </c>
      <c r="M54" t="s">
        <v>147</v>
      </c>
      <c r="N54" t="s">
        <v>162</v>
      </c>
      <c r="O54" t="s">
        <v>61</v>
      </c>
      <c r="P54" s="1">
        <v>42231</v>
      </c>
      <c r="Q54">
        <v>8.8000000000000007</v>
      </c>
      <c r="R54" t="s">
        <v>129</v>
      </c>
      <c r="S54" t="s">
        <v>110</v>
      </c>
      <c r="T54" t="s">
        <v>111</v>
      </c>
      <c r="U54">
        <v>1</v>
      </c>
      <c r="V54">
        <v>0</v>
      </c>
      <c r="W54">
        <v>2149</v>
      </c>
      <c r="X54">
        <v>0</v>
      </c>
      <c r="Y54">
        <v>422</v>
      </c>
      <c r="Z54">
        <v>2571</v>
      </c>
      <c r="AA54">
        <v>314</v>
      </c>
      <c r="AB54" t="s">
        <v>151</v>
      </c>
      <c r="AC54">
        <v>14.9</v>
      </c>
      <c r="AD54">
        <v>75</v>
      </c>
      <c r="AE54">
        <v>79</v>
      </c>
      <c r="AF54" t="s">
        <v>112</v>
      </c>
      <c r="AG54">
        <v>24</v>
      </c>
      <c r="AH54" t="s">
        <v>113</v>
      </c>
      <c r="AI54" t="s">
        <v>68</v>
      </c>
      <c r="AJ54" t="s">
        <v>69</v>
      </c>
      <c r="AK54" t="s">
        <v>70</v>
      </c>
      <c r="AL54" t="s">
        <v>70</v>
      </c>
      <c r="AM54" t="s">
        <v>70</v>
      </c>
      <c r="AN54" t="s">
        <v>133</v>
      </c>
      <c r="AO54" t="s">
        <v>97</v>
      </c>
      <c r="AP54" t="s">
        <v>227</v>
      </c>
      <c r="AQ54" t="s">
        <v>74</v>
      </c>
      <c r="AR54" s="1">
        <v>43743</v>
      </c>
      <c r="AS54" t="s">
        <v>75</v>
      </c>
      <c r="AT54" t="s">
        <v>71</v>
      </c>
      <c r="AU54">
        <v>-177</v>
      </c>
      <c r="AV54" t="s">
        <v>179</v>
      </c>
    </row>
    <row r="55" spans="1:48" x14ac:dyDescent="0.25">
      <c r="A55" t="s">
        <v>329</v>
      </c>
      <c r="B55" t="s">
        <v>181</v>
      </c>
      <c r="C55" t="s">
        <v>330</v>
      </c>
      <c r="D55" t="s">
        <v>122</v>
      </c>
      <c r="E55">
        <v>18</v>
      </c>
      <c r="F55" t="s">
        <v>192</v>
      </c>
      <c r="G55" t="s">
        <v>142</v>
      </c>
      <c r="H55" t="s">
        <v>143</v>
      </c>
      <c r="I55" t="s">
        <v>83</v>
      </c>
      <c r="J55" t="s">
        <v>84</v>
      </c>
      <c r="K55" t="s">
        <v>85</v>
      </c>
      <c r="L55" t="s">
        <v>174</v>
      </c>
      <c r="M55" t="s">
        <v>127</v>
      </c>
      <c r="N55" t="s">
        <v>88</v>
      </c>
      <c r="O55" t="s">
        <v>176</v>
      </c>
      <c r="P55" s="1">
        <v>40863</v>
      </c>
      <c r="Q55">
        <v>12.5</v>
      </c>
      <c r="R55" t="s">
        <v>129</v>
      </c>
      <c r="S55" t="s">
        <v>91</v>
      </c>
      <c r="T55" t="s">
        <v>92</v>
      </c>
      <c r="U55">
        <v>13</v>
      </c>
      <c r="V55">
        <v>2</v>
      </c>
      <c r="W55">
        <v>5473</v>
      </c>
      <c r="X55">
        <v>1141</v>
      </c>
      <c r="Y55">
        <v>422</v>
      </c>
      <c r="Z55">
        <v>7036</v>
      </c>
      <c r="AA55">
        <v>470</v>
      </c>
      <c r="AB55" t="s">
        <v>65</v>
      </c>
      <c r="AC55">
        <v>15.5</v>
      </c>
      <c r="AD55">
        <v>22</v>
      </c>
      <c r="AE55">
        <v>76</v>
      </c>
      <c r="AF55" t="s">
        <v>132</v>
      </c>
      <c r="AG55">
        <v>24</v>
      </c>
      <c r="AH55" t="s">
        <v>113</v>
      </c>
      <c r="AI55" t="s">
        <v>152</v>
      </c>
      <c r="AJ55" t="s">
        <v>69</v>
      </c>
      <c r="AK55" t="s">
        <v>70</v>
      </c>
      <c r="AL55" t="s">
        <v>70</v>
      </c>
      <c r="AM55" t="s">
        <v>70</v>
      </c>
      <c r="AN55" t="s">
        <v>72</v>
      </c>
      <c r="AO55" t="s">
        <v>72</v>
      </c>
      <c r="AP55" t="s">
        <v>135</v>
      </c>
      <c r="AQ55" t="s">
        <v>136</v>
      </c>
      <c r="AR55" s="1">
        <v>41094</v>
      </c>
      <c r="AS55" t="s">
        <v>198</v>
      </c>
      <c r="AT55" t="s">
        <v>71</v>
      </c>
      <c r="AU55">
        <v>466</v>
      </c>
      <c r="AV55" t="s">
        <v>76</v>
      </c>
    </row>
    <row r="56" spans="1:48" x14ac:dyDescent="0.25">
      <c r="A56" t="s">
        <v>331</v>
      </c>
      <c r="B56" t="s">
        <v>78</v>
      </c>
      <c r="C56" t="s">
        <v>332</v>
      </c>
      <c r="D56" t="s">
        <v>51</v>
      </c>
      <c r="E56">
        <v>24</v>
      </c>
      <c r="F56" t="s">
        <v>305</v>
      </c>
      <c r="G56" t="s">
        <v>298</v>
      </c>
      <c r="H56" t="s">
        <v>299</v>
      </c>
      <c r="I56" t="s">
        <v>225</v>
      </c>
      <c r="J56" t="s">
        <v>226</v>
      </c>
      <c r="K56" t="s">
        <v>105</v>
      </c>
      <c r="L56" t="s">
        <v>58</v>
      </c>
      <c r="M56" t="s">
        <v>175</v>
      </c>
      <c r="N56" t="s">
        <v>162</v>
      </c>
      <c r="O56" t="s">
        <v>176</v>
      </c>
      <c r="P56" s="1">
        <v>41400</v>
      </c>
      <c r="Q56">
        <v>11.1</v>
      </c>
      <c r="R56" t="s">
        <v>208</v>
      </c>
      <c r="S56" t="s">
        <v>91</v>
      </c>
      <c r="T56" t="s">
        <v>92</v>
      </c>
      <c r="U56">
        <v>2</v>
      </c>
      <c r="V56">
        <v>0</v>
      </c>
      <c r="W56">
        <v>2149</v>
      </c>
      <c r="X56">
        <v>0</v>
      </c>
      <c r="Y56">
        <v>422</v>
      </c>
      <c r="Z56">
        <v>2571</v>
      </c>
      <c r="AA56">
        <v>432</v>
      </c>
      <c r="AB56" t="s">
        <v>65</v>
      </c>
      <c r="AC56">
        <v>17</v>
      </c>
      <c r="AD56">
        <v>45</v>
      </c>
      <c r="AE56">
        <v>50</v>
      </c>
      <c r="AF56" t="s">
        <v>93</v>
      </c>
      <c r="AG56">
        <v>19</v>
      </c>
      <c r="AH56" t="s">
        <v>113</v>
      </c>
      <c r="AI56" t="s">
        <v>68</v>
      </c>
      <c r="AJ56" t="s">
        <v>72</v>
      </c>
      <c r="AK56" t="s">
        <v>70</v>
      </c>
      <c r="AL56" t="s">
        <v>70</v>
      </c>
      <c r="AM56" t="s">
        <v>70</v>
      </c>
      <c r="AN56" t="s">
        <v>72</v>
      </c>
      <c r="AO56" t="s">
        <v>135</v>
      </c>
      <c r="AP56" t="s">
        <v>287</v>
      </c>
      <c r="AQ56" t="s">
        <v>74</v>
      </c>
      <c r="AR56" s="1">
        <v>42386</v>
      </c>
      <c r="AS56" t="s">
        <v>198</v>
      </c>
      <c r="AT56" t="s">
        <v>71</v>
      </c>
      <c r="AU56">
        <v>-197</v>
      </c>
      <c r="AV56" t="s">
        <v>179</v>
      </c>
    </row>
    <row r="57" spans="1:48" x14ac:dyDescent="0.25">
      <c r="A57" t="s">
        <v>333</v>
      </c>
      <c r="B57" t="s">
        <v>229</v>
      </c>
      <c r="C57" t="s">
        <v>334</v>
      </c>
      <c r="D57" t="s">
        <v>122</v>
      </c>
      <c r="E57">
        <v>29</v>
      </c>
      <c r="F57" t="s">
        <v>168</v>
      </c>
      <c r="G57" t="s">
        <v>193</v>
      </c>
      <c r="H57" t="s">
        <v>194</v>
      </c>
      <c r="I57" t="s">
        <v>292</v>
      </c>
      <c r="J57" t="s">
        <v>293</v>
      </c>
      <c r="K57" t="s">
        <v>294</v>
      </c>
      <c r="L57" t="s">
        <v>106</v>
      </c>
      <c r="M57" t="s">
        <v>161</v>
      </c>
      <c r="N57" t="s">
        <v>265</v>
      </c>
      <c r="O57" t="s">
        <v>176</v>
      </c>
      <c r="P57" s="1">
        <v>44165</v>
      </c>
      <c r="Q57">
        <v>3.5</v>
      </c>
      <c r="R57" t="s">
        <v>90</v>
      </c>
      <c r="S57" t="s">
        <v>163</v>
      </c>
      <c r="T57" t="s">
        <v>164</v>
      </c>
      <c r="U57">
        <v>9</v>
      </c>
      <c r="V57">
        <v>1</v>
      </c>
      <c r="W57">
        <v>2259</v>
      </c>
      <c r="X57">
        <v>0</v>
      </c>
      <c r="Y57">
        <v>422</v>
      </c>
      <c r="Z57">
        <v>2681</v>
      </c>
      <c r="AA57">
        <v>379</v>
      </c>
      <c r="AB57" t="s">
        <v>65</v>
      </c>
      <c r="AC57">
        <v>18.600000000000001</v>
      </c>
      <c r="AD57">
        <v>79</v>
      </c>
      <c r="AE57">
        <v>74</v>
      </c>
      <c r="AF57" t="s">
        <v>112</v>
      </c>
      <c r="AG57">
        <v>32</v>
      </c>
      <c r="AH57" t="s">
        <v>67</v>
      </c>
      <c r="AI57" t="s">
        <v>152</v>
      </c>
      <c r="AJ57" t="s">
        <v>188</v>
      </c>
      <c r="AK57" t="s">
        <v>70</v>
      </c>
      <c r="AL57" t="s">
        <v>70</v>
      </c>
      <c r="AM57" t="s">
        <v>71</v>
      </c>
      <c r="AN57" t="s">
        <v>115</v>
      </c>
      <c r="AO57" t="s">
        <v>73</v>
      </c>
      <c r="AP57" t="s">
        <v>72</v>
      </c>
      <c r="AQ57" t="s">
        <v>98</v>
      </c>
      <c r="AR57" s="1">
        <v>44096</v>
      </c>
      <c r="AS57" t="s">
        <v>75</v>
      </c>
      <c r="AT57" t="s">
        <v>71</v>
      </c>
      <c r="AU57">
        <v>-147</v>
      </c>
      <c r="AV57" t="s">
        <v>179</v>
      </c>
    </row>
    <row r="58" spans="1:48" x14ac:dyDescent="0.25">
      <c r="A58" t="s">
        <v>335</v>
      </c>
      <c r="B58" t="s">
        <v>78</v>
      </c>
      <c r="C58" t="s">
        <v>252</v>
      </c>
      <c r="D58" t="s">
        <v>51</v>
      </c>
      <c r="E58">
        <v>27</v>
      </c>
      <c r="F58" t="s">
        <v>123</v>
      </c>
      <c r="G58" t="s">
        <v>285</v>
      </c>
      <c r="H58" t="s">
        <v>286</v>
      </c>
      <c r="I58" t="s">
        <v>103</v>
      </c>
      <c r="J58" t="s">
        <v>104</v>
      </c>
      <c r="K58" t="s">
        <v>105</v>
      </c>
      <c r="L58" t="s">
        <v>126</v>
      </c>
      <c r="M58" t="s">
        <v>212</v>
      </c>
      <c r="N58" t="s">
        <v>128</v>
      </c>
      <c r="O58" t="s">
        <v>61</v>
      </c>
      <c r="P58" s="1">
        <v>38957</v>
      </c>
      <c r="Q58">
        <v>17.8</v>
      </c>
      <c r="R58" t="s">
        <v>75</v>
      </c>
      <c r="S58" t="s">
        <v>130</v>
      </c>
      <c r="T58" t="s">
        <v>131</v>
      </c>
      <c r="U58">
        <v>10</v>
      </c>
      <c r="V58">
        <v>1</v>
      </c>
      <c r="W58">
        <v>7668</v>
      </c>
      <c r="X58">
        <v>0</v>
      </c>
      <c r="Y58">
        <v>266</v>
      </c>
      <c r="Z58">
        <v>7934</v>
      </c>
      <c r="AA58">
        <v>466</v>
      </c>
      <c r="AB58" t="s">
        <v>65</v>
      </c>
      <c r="AC58">
        <v>16.3</v>
      </c>
      <c r="AD58">
        <v>63</v>
      </c>
      <c r="AE58">
        <v>63</v>
      </c>
      <c r="AF58" t="s">
        <v>93</v>
      </c>
      <c r="AG58">
        <v>40</v>
      </c>
      <c r="AH58" t="s">
        <v>94</v>
      </c>
      <c r="AI58" t="s">
        <v>114</v>
      </c>
      <c r="AJ58" t="s">
        <v>72</v>
      </c>
      <c r="AK58" t="s">
        <v>71</v>
      </c>
      <c r="AL58" t="s">
        <v>70</v>
      </c>
      <c r="AM58" t="s">
        <v>70</v>
      </c>
      <c r="AN58" t="s">
        <v>202</v>
      </c>
      <c r="AO58" t="s">
        <v>203</v>
      </c>
      <c r="AP58" t="s">
        <v>178</v>
      </c>
      <c r="AQ58" t="s">
        <v>98</v>
      </c>
      <c r="AR58" s="1">
        <v>41552</v>
      </c>
      <c r="AS58" t="s">
        <v>75</v>
      </c>
      <c r="AT58" t="s">
        <v>71</v>
      </c>
      <c r="AU58">
        <v>1625</v>
      </c>
      <c r="AV58" t="s">
        <v>76</v>
      </c>
    </row>
    <row r="59" spans="1:48" x14ac:dyDescent="0.25">
      <c r="A59" t="s">
        <v>336</v>
      </c>
      <c r="B59" t="s">
        <v>49</v>
      </c>
      <c r="C59" t="s">
        <v>79</v>
      </c>
      <c r="D59" t="s">
        <v>51</v>
      </c>
      <c r="E59">
        <v>37</v>
      </c>
      <c r="F59" t="s">
        <v>316</v>
      </c>
      <c r="G59" t="s">
        <v>169</v>
      </c>
      <c r="H59" t="s">
        <v>170</v>
      </c>
      <c r="I59" t="s">
        <v>158</v>
      </c>
      <c r="J59" t="s">
        <v>159</v>
      </c>
      <c r="K59" t="s">
        <v>160</v>
      </c>
      <c r="L59" t="s">
        <v>201</v>
      </c>
      <c r="M59" t="s">
        <v>207</v>
      </c>
      <c r="N59" t="s">
        <v>108</v>
      </c>
      <c r="O59" t="s">
        <v>176</v>
      </c>
      <c r="P59" s="1">
        <v>43386</v>
      </c>
      <c r="Q59">
        <v>5.6</v>
      </c>
      <c r="R59" t="s">
        <v>150</v>
      </c>
      <c r="S59" t="s">
        <v>63</v>
      </c>
      <c r="T59" t="s">
        <v>64</v>
      </c>
      <c r="U59">
        <v>0</v>
      </c>
      <c r="V59">
        <v>0</v>
      </c>
      <c r="W59">
        <v>3294</v>
      </c>
      <c r="X59">
        <v>0</v>
      </c>
      <c r="Y59">
        <v>422</v>
      </c>
      <c r="Z59">
        <v>3716</v>
      </c>
      <c r="AA59">
        <v>377</v>
      </c>
      <c r="AB59" t="s">
        <v>65</v>
      </c>
      <c r="AC59">
        <v>17.5</v>
      </c>
      <c r="AD59">
        <v>57</v>
      </c>
      <c r="AE59">
        <v>39</v>
      </c>
      <c r="AF59" t="s">
        <v>112</v>
      </c>
      <c r="AG59">
        <v>34</v>
      </c>
      <c r="AH59" t="s">
        <v>67</v>
      </c>
      <c r="AI59" t="s">
        <v>95</v>
      </c>
      <c r="AJ59" t="s">
        <v>96</v>
      </c>
      <c r="AK59" t="s">
        <v>70</v>
      </c>
      <c r="AL59" t="s">
        <v>70</v>
      </c>
      <c r="AM59" t="s">
        <v>70</v>
      </c>
      <c r="AN59" t="s">
        <v>243</v>
      </c>
      <c r="AO59" t="s">
        <v>135</v>
      </c>
      <c r="AP59" t="s">
        <v>135</v>
      </c>
      <c r="AQ59" t="s">
        <v>136</v>
      </c>
      <c r="AR59" s="1">
        <v>45079</v>
      </c>
      <c r="AS59" t="s">
        <v>75</v>
      </c>
      <c r="AT59" t="s">
        <v>71</v>
      </c>
      <c r="AU59">
        <v>503</v>
      </c>
      <c r="AV59" t="s">
        <v>76</v>
      </c>
    </row>
    <row r="60" spans="1:48" x14ac:dyDescent="0.25">
      <c r="A60" t="s">
        <v>337</v>
      </c>
      <c r="B60" t="s">
        <v>229</v>
      </c>
      <c r="C60" t="s">
        <v>206</v>
      </c>
      <c r="D60" t="s">
        <v>122</v>
      </c>
      <c r="E60">
        <v>32</v>
      </c>
      <c r="F60" t="s">
        <v>322</v>
      </c>
      <c r="G60" t="s">
        <v>193</v>
      </c>
      <c r="H60" t="s">
        <v>194</v>
      </c>
      <c r="I60" t="s">
        <v>260</v>
      </c>
      <c r="J60" t="s">
        <v>261</v>
      </c>
      <c r="K60" t="s">
        <v>173</v>
      </c>
      <c r="L60" t="s">
        <v>174</v>
      </c>
      <c r="M60" t="s">
        <v>275</v>
      </c>
      <c r="N60" t="s">
        <v>162</v>
      </c>
      <c r="O60" t="s">
        <v>109</v>
      </c>
      <c r="P60" s="1">
        <v>42319</v>
      </c>
      <c r="Q60">
        <v>8.6</v>
      </c>
      <c r="R60" t="s">
        <v>195</v>
      </c>
      <c r="S60" t="s">
        <v>91</v>
      </c>
      <c r="T60" t="s">
        <v>92</v>
      </c>
      <c r="U60">
        <v>6</v>
      </c>
      <c r="V60">
        <v>1</v>
      </c>
      <c r="W60">
        <v>2259</v>
      </c>
      <c r="X60">
        <v>0</v>
      </c>
      <c r="Y60">
        <v>422</v>
      </c>
      <c r="Z60">
        <v>2681</v>
      </c>
      <c r="AA60">
        <v>466</v>
      </c>
      <c r="AB60" t="s">
        <v>65</v>
      </c>
      <c r="AC60">
        <v>15.2</v>
      </c>
      <c r="AD60">
        <v>65</v>
      </c>
      <c r="AE60">
        <v>50</v>
      </c>
      <c r="AF60" t="s">
        <v>132</v>
      </c>
      <c r="AG60">
        <v>20</v>
      </c>
      <c r="AH60" t="s">
        <v>113</v>
      </c>
      <c r="AI60" t="s">
        <v>114</v>
      </c>
      <c r="AJ60" t="s">
        <v>188</v>
      </c>
      <c r="AK60" t="s">
        <v>70</v>
      </c>
      <c r="AL60" t="s">
        <v>71</v>
      </c>
      <c r="AM60" t="s">
        <v>70</v>
      </c>
      <c r="AN60" t="s">
        <v>72</v>
      </c>
      <c r="AO60" t="s">
        <v>72</v>
      </c>
      <c r="AP60" t="s">
        <v>72</v>
      </c>
      <c r="AQ60" t="s">
        <v>136</v>
      </c>
      <c r="AR60" s="1">
        <v>43578</v>
      </c>
      <c r="AS60" t="s">
        <v>137</v>
      </c>
      <c r="AT60" t="s">
        <v>71</v>
      </c>
      <c r="AU60">
        <v>1212</v>
      </c>
      <c r="AV60" t="s">
        <v>76</v>
      </c>
    </row>
    <row r="61" spans="1:48" x14ac:dyDescent="0.25">
      <c r="A61" t="s">
        <v>338</v>
      </c>
      <c r="B61" t="s">
        <v>267</v>
      </c>
      <c r="C61" t="s">
        <v>264</v>
      </c>
      <c r="D61" t="s">
        <v>51</v>
      </c>
      <c r="E61">
        <v>45</v>
      </c>
      <c r="F61" t="s">
        <v>311</v>
      </c>
      <c r="G61" t="s">
        <v>215</v>
      </c>
      <c r="H61" t="s">
        <v>216</v>
      </c>
      <c r="I61" t="s">
        <v>55</v>
      </c>
      <c r="J61" t="s">
        <v>56</v>
      </c>
      <c r="K61" t="s">
        <v>57</v>
      </c>
      <c r="L61" t="s">
        <v>58</v>
      </c>
      <c r="M61" t="s">
        <v>249</v>
      </c>
      <c r="N61" t="s">
        <v>148</v>
      </c>
      <c r="O61" t="s">
        <v>109</v>
      </c>
      <c r="P61" s="1">
        <v>42438</v>
      </c>
      <c r="Q61">
        <v>8.1999999999999993</v>
      </c>
      <c r="R61" t="s">
        <v>75</v>
      </c>
      <c r="S61" t="s">
        <v>110</v>
      </c>
      <c r="T61" t="s">
        <v>111</v>
      </c>
      <c r="U61">
        <v>15</v>
      </c>
      <c r="V61">
        <v>2</v>
      </c>
      <c r="W61">
        <v>3637</v>
      </c>
      <c r="X61">
        <v>0</v>
      </c>
      <c r="Y61">
        <v>266</v>
      </c>
      <c r="Z61">
        <v>3903</v>
      </c>
      <c r="AA61">
        <v>413</v>
      </c>
      <c r="AB61" t="s">
        <v>65</v>
      </c>
      <c r="AC61">
        <v>20.5</v>
      </c>
      <c r="AD61">
        <v>52</v>
      </c>
      <c r="AE61">
        <v>59</v>
      </c>
      <c r="AF61" t="s">
        <v>93</v>
      </c>
      <c r="AG61">
        <v>34</v>
      </c>
      <c r="AH61" t="s">
        <v>67</v>
      </c>
      <c r="AI61" t="s">
        <v>95</v>
      </c>
      <c r="AJ61" t="s">
        <v>69</v>
      </c>
      <c r="AK61" t="s">
        <v>70</v>
      </c>
      <c r="AL61" t="s">
        <v>70</v>
      </c>
      <c r="AM61" t="s">
        <v>71</v>
      </c>
      <c r="AN61" t="s">
        <v>133</v>
      </c>
      <c r="AO61" t="s">
        <v>221</v>
      </c>
      <c r="AP61" t="s">
        <v>72</v>
      </c>
      <c r="AQ61" t="s">
        <v>117</v>
      </c>
      <c r="AR61" s="1">
        <v>43868</v>
      </c>
      <c r="AS61" t="s">
        <v>118</v>
      </c>
      <c r="AT61" t="s">
        <v>71</v>
      </c>
      <c r="AU61">
        <v>1151</v>
      </c>
      <c r="AV61" t="s">
        <v>76</v>
      </c>
    </row>
    <row r="62" spans="1:48" x14ac:dyDescent="0.25">
      <c r="A62" t="s">
        <v>339</v>
      </c>
      <c r="B62" t="s">
        <v>78</v>
      </c>
      <c r="C62" t="s">
        <v>191</v>
      </c>
      <c r="D62" t="s">
        <v>51</v>
      </c>
      <c r="E62">
        <v>34</v>
      </c>
      <c r="F62" t="s">
        <v>291</v>
      </c>
      <c r="G62" t="s">
        <v>298</v>
      </c>
      <c r="H62" t="s">
        <v>299</v>
      </c>
      <c r="I62" t="s">
        <v>225</v>
      </c>
      <c r="J62" t="s">
        <v>226</v>
      </c>
      <c r="K62" t="s">
        <v>105</v>
      </c>
      <c r="L62" t="s">
        <v>201</v>
      </c>
      <c r="M62" t="s">
        <v>107</v>
      </c>
      <c r="N62" t="s">
        <v>88</v>
      </c>
      <c r="O62" t="s">
        <v>61</v>
      </c>
      <c r="P62" s="1">
        <v>40717</v>
      </c>
      <c r="Q62">
        <v>12.9</v>
      </c>
      <c r="R62" t="s">
        <v>208</v>
      </c>
      <c r="S62" t="s">
        <v>163</v>
      </c>
      <c r="T62" t="s">
        <v>164</v>
      </c>
      <c r="U62">
        <v>12</v>
      </c>
      <c r="V62">
        <v>2</v>
      </c>
      <c r="W62">
        <v>2149</v>
      </c>
      <c r="X62">
        <v>1832</v>
      </c>
      <c r="Y62">
        <v>422</v>
      </c>
      <c r="Z62">
        <v>4403</v>
      </c>
      <c r="AA62">
        <v>350</v>
      </c>
      <c r="AB62" t="s">
        <v>151</v>
      </c>
      <c r="AC62">
        <v>19</v>
      </c>
      <c r="AD62">
        <v>37</v>
      </c>
      <c r="AE62">
        <v>69</v>
      </c>
      <c r="AF62" t="s">
        <v>93</v>
      </c>
      <c r="AG62">
        <v>19</v>
      </c>
      <c r="AH62" t="s">
        <v>113</v>
      </c>
      <c r="AI62" t="s">
        <v>152</v>
      </c>
      <c r="AJ62" t="s">
        <v>96</v>
      </c>
      <c r="AK62" t="s">
        <v>70</v>
      </c>
      <c r="AL62" t="s">
        <v>71</v>
      </c>
      <c r="AM62" t="s">
        <v>70</v>
      </c>
      <c r="AN62" t="s">
        <v>72</v>
      </c>
      <c r="AO62" t="s">
        <v>227</v>
      </c>
      <c r="AP62" t="s">
        <v>72</v>
      </c>
      <c r="AQ62" t="s">
        <v>117</v>
      </c>
      <c r="AR62" s="1">
        <v>41666</v>
      </c>
      <c r="AS62" t="s">
        <v>137</v>
      </c>
      <c r="AT62" t="s">
        <v>71</v>
      </c>
      <c r="AU62">
        <v>864</v>
      </c>
      <c r="AV62" t="s">
        <v>76</v>
      </c>
    </row>
    <row r="63" spans="1:48" x14ac:dyDescent="0.25">
      <c r="A63" t="s">
        <v>340</v>
      </c>
      <c r="B63" t="s">
        <v>229</v>
      </c>
      <c r="C63" t="s">
        <v>246</v>
      </c>
      <c r="D63" t="s">
        <v>122</v>
      </c>
      <c r="E63">
        <v>27</v>
      </c>
      <c r="F63" t="s">
        <v>316</v>
      </c>
      <c r="G63" t="s">
        <v>124</v>
      </c>
      <c r="H63" t="s">
        <v>125</v>
      </c>
      <c r="I63" t="s">
        <v>225</v>
      </c>
      <c r="J63" t="s">
        <v>226</v>
      </c>
      <c r="K63" t="s">
        <v>105</v>
      </c>
      <c r="L63" t="s">
        <v>201</v>
      </c>
      <c r="M63" t="s">
        <v>275</v>
      </c>
      <c r="N63" t="s">
        <v>88</v>
      </c>
      <c r="O63" t="s">
        <v>61</v>
      </c>
      <c r="P63" s="1">
        <v>40962</v>
      </c>
      <c r="Q63">
        <v>12.3</v>
      </c>
      <c r="R63" t="s">
        <v>195</v>
      </c>
      <c r="S63" t="s">
        <v>130</v>
      </c>
      <c r="T63" t="s">
        <v>131</v>
      </c>
      <c r="U63">
        <v>12</v>
      </c>
      <c r="V63">
        <v>2</v>
      </c>
      <c r="W63">
        <v>2730</v>
      </c>
      <c r="X63">
        <v>2062</v>
      </c>
      <c r="Y63">
        <v>422</v>
      </c>
      <c r="Z63">
        <v>5214</v>
      </c>
      <c r="AA63">
        <v>562</v>
      </c>
      <c r="AB63" t="s">
        <v>65</v>
      </c>
      <c r="AC63">
        <v>17.5</v>
      </c>
      <c r="AD63">
        <v>52</v>
      </c>
      <c r="AE63">
        <v>62</v>
      </c>
      <c r="AF63" t="s">
        <v>132</v>
      </c>
      <c r="AG63">
        <v>38</v>
      </c>
      <c r="AH63" t="s">
        <v>94</v>
      </c>
      <c r="AI63" t="s">
        <v>152</v>
      </c>
      <c r="AJ63" t="s">
        <v>96</v>
      </c>
      <c r="AK63" t="s">
        <v>71</v>
      </c>
      <c r="AL63" t="s">
        <v>70</v>
      </c>
      <c r="AM63" t="s">
        <v>70</v>
      </c>
      <c r="AN63" t="s">
        <v>72</v>
      </c>
      <c r="AO63" t="s">
        <v>116</v>
      </c>
      <c r="AP63" t="s">
        <v>72</v>
      </c>
      <c r="AQ63" t="s">
        <v>136</v>
      </c>
      <c r="AR63" s="1">
        <v>45647</v>
      </c>
      <c r="AS63" t="s">
        <v>198</v>
      </c>
      <c r="AT63" t="s">
        <v>71</v>
      </c>
      <c r="AU63">
        <v>432</v>
      </c>
      <c r="AV63" t="s">
        <v>76</v>
      </c>
    </row>
    <row r="64" spans="1:48" x14ac:dyDescent="0.25">
      <c r="A64" t="s">
        <v>341</v>
      </c>
      <c r="B64" t="s">
        <v>181</v>
      </c>
      <c r="C64" t="s">
        <v>167</v>
      </c>
      <c r="D64" t="s">
        <v>51</v>
      </c>
      <c r="E64">
        <v>39</v>
      </c>
      <c r="F64" t="s">
        <v>141</v>
      </c>
      <c r="G64" t="s">
        <v>156</v>
      </c>
      <c r="H64" t="s">
        <v>157</v>
      </c>
      <c r="I64" t="s">
        <v>273</v>
      </c>
      <c r="J64" t="s">
        <v>274</v>
      </c>
      <c r="K64" t="s">
        <v>57</v>
      </c>
      <c r="L64" t="s">
        <v>106</v>
      </c>
      <c r="M64" t="s">
        <v>107</v>
      </c>
      <c r="N64" t="s">
        <v>60</v>
      </c>
      <c r="O64" t="s">
        <v>61</v>
      </c>
      <c r="P64" s="1">
        <v>44091</v>
      </c>
      <c r="Q64">
        <v>3.7</v>
      </c>
      <c r="R64" t="s">
        <v>129</v>
      </c>
      <c r="S64" t="s">
        <v>163</v>
      </c>
      <c r="T64" t="s">
        <v>164</v>
      </c>
      <c r="U64">
        <v>6</v>
      </c>
      <c r="V64">
        <v>1</v>
      </c>
      <c r="W64">
        <v>4836</v>
      </c>
      <c r="X64">
        <v>838</v>
      </c>
      <c r="Y64">
        <v>266</v>
      </c>
      <c r="Z64">
        <v>5940</v>
      </c>
      <c r="AA64">
        <v>394</v>
      </c>
      <c r="AB64" t="s">
        <v>65</v>
      </c>
      <c r="AC64">
        <v>15.2</v>
      </c>
      <c r="AD64">
        <v>29</v>
      </c>
      <c r="AE64">
        <v>56</v>
      </c>
      <c r="AF64" t="s">
        <v>132</v>
      </c>
      <c r="AG64">
        <v>32</v>
      </c>
      <c r="AH64" t="s">
        <v>67</v>
      </c>
      <c r="AI64" t="s">
        <v>152</v>
      </c>
      <c r="AJ64" t="s">
        <v>188</v>
      </c>
      <c r="AK64" t="s">
        <v>70</v>
      </c>
      <c r="AL64" t="s">
        <v>70</v>
      </c>
      <c r="AM64" t="s">
        <v>70</v>
      </c>
      <c r="AN64" t="s">
        <v>72</v>
      </c>
      <c r="AO64" t="s">
        <v>72</v>
      </c>
      <c r="AP64" t="s">
        <v>287</v>
      </c>
      <c r="AQ64" t="s">
        <v>136</v>
      </c>
      <c r="AR64" s="1">
        <v>44185</v>
      </c>
      <c r="AS64" t="s">
        <v>198</v>
      </c>
      <c r="AT64" t="s">
        <v>71</v>
      </c>
      <c r="AU64">
        <v>1382</v>
      </c>
      <c r="AV64" t="s">
        <v>76</v>
      </c>
    </row>
    <row r="65" spans="1:48" x14ac:dyDescent="0.25">
      <c r="A65" t="s">
        <v>342</v>
      </c>
      <c r="B65" t="s">
        <v>210</v>
      </c>
      <c r="C65" t="s">
        <v>332</v>
      </c>
      <c r="D65" t="s">
        <v>51</v>
      </c>
      <c r="E65">
        <v>42</v>
      </c>
      <c r="F65" t="s">
        <v>192</v>
      </c>
      <c r="G65" t="s">
        <v>242</v>
      </c>
      <c r="H65" t="s">
        <v>54</v>
      </c>
      <c r="I65" t="s">
        <v>225</v>
      </c>
      <c r="J65" t="s">
        <v>226</v>
      </c>
      <c r="K65" t="s">
        <v>105</v>
      </c>
      <c r="L65" t="s">
        <v>126</v>
      </c>
      <c r="M65" t="s">
        <v>107</v>
      </c>
      <c r="N65" t="s">
        <v>108</v>
      </c>
      <c r="O65" t="s">
        <v>176</v>
      </c>
      <c r="P65" s="1">
        <v>42924</v>
      </c>
      <c r="Q65">
        <v>6.9</v>
      </c>
      <c r="R65" t="s">
        <v>195</v>
      </c>
      <c r="S65" t="s">
        <v>110</v>
      </c>
      <c r="T65" t="s">
        <v>111</v>
      </c>
      <c r="U65">
        <v>7</v>
      </c>
      <c r="V65">
        <v>1</v>
      </c>
      <c r="W65">
        <v>4739</v>
      </c>
      <c r="X65">
        <v>1409</v>
      </c>
      <c r="Y65">
        <v>422</v>
      </c>
      <c r="Z65">
        <v>6570</v>
      </c>
      <c r="AA65">
        <v>540</v>
      </c>
      <c r="AB65" t="s">
        <v>65</v>
      </c>
      <c r="AC65">
        <v>18.5</v>
      </c>
      <c r="AD65">
        <v>64</v>
      </c>
      <c r="AE65">
        <v>75</v>
      </c>
      <c r="AF65" t="s">
        <v>112</v>
      </c>
      <c r="AG65">
        <v>31</v>
      </c>
      <c r="AH65" t="s">
        <v>67</v>
      </c>
      <c r="AI65" t="s">
        <v>68</v>
      </c>
      <c r="AJ65" t="s">
        <v>72</v>
      </c>
      <c r="AK65" t="s">
        <v>70</v>
      </c>
      <c r="AL65" t="s">
        <v>70</v>
      </c>
      <c r="AM65" t="s">
        <v>70</v>
      </c>
      <c r="AN65" t="s">
        <v>72</v>
      </c>
      <c r="AO65" t="s">
        <v>221</v>
      </c>
      <c r="AP65" t="s">
        <v>72</v>
      </c>
      <c r="AQ65" t="s">
        <v>117</v>
      </c>
      <c r="AR65" s="1">
        <v>43059</v>
      </c>
      <c r="AS65" t="s">
        <v>137</v>
      </c>
      <c r="AT65" t="s">
        <v>71</v>
      </c>
      <c r="AU65">
        <v>918</v>
      </c>
      <c r="AV65" t="s">
        <v>76</v>
      </c>
    </row>
    <row r="66" spans="1:48" x14ac:dyDescent="0.25">
      <c r="A66" t="s">
        <v>343</v>
      </c>
      <c r="B66" t="s">
        <v>49</v>
      </c>
      <c r="C66" t="s">
        <v>240</v>
      </c>
      <c r="D66" t="s">
        <v>122</v>
      </c>
      <c r="E66">
        <v>31</v>
      </c>
      <c r="F66" t="s">
        <v>141</v>
      </c>
      <c r="G66" t="s">
        <v>285</v>
      </c>
      <c r="H66" t="s">
        <v>286</v>
      </c>
      <c r="I66" t="s">
        <v>55</v>
      </c>
      <c r="J66" t="s">
        <v>56</v>
      </c>
      <c r="K66" t="s">
        <v>57</v>
      </c>
      <c r="L66" t="s">
        <v>58</v>
      </c>
      <c r="M66" t="s">
        <v>147</v>
      </c>
      <c r="N66" t="s">
        <v>88</v>
      </c>
      <c r="O66" t="s">
        <v>61</v>
      </c>
      <c r="P66" s="1">
        <v>44056</v>
      </c>
      <c r="Q66">
        <v>3.8</v>
      </c>
      <c r="R66" t="s">
        <v>150</v>
      </c>
      <c r="S66" t="s">
        <v>110</v>
      </c>
      <c r="T66" t="s">
        <v>111</v>
      </c>
      <c r="U66">
        <v>4</v>
      </c>
      <c r="V66">
        <v>0</v>
      </c>
      <c r="W66">
        <v>7668</v>
      </c>
      <c r="X66">
        <v>0</v>
      </c>
      <c r="Y66">
        <v>266</v>
      </c>
      <c r="Z66">
        <v>7934</v>
      </c>
      <c r="AA66">
        <v>405</v>
      </c>
      <c r="AB66" t="s">
        <v>65</v>
      </c>
      <c r="AC66">
        <v>14.6</v>
      </c>
      <c r="AD66">
        <v>62</v>
      </c>
      <c r="AE66">
        <v>63</v>
      </c>
      <c r="AF66" t="s">
        <v>93</v>
      </c>
      <c r="AG66">
        <v>17</v>
      </c>
      <c r="AH66" t="s">
        <v>113</v>
      </c>
      <c r="AI66" t="s">
        <v>95</v>
      </c>
      <c r="AJ66" t="s">
        <v>188</v>
      </c>
      <c r="AK66" t="s">
        <v>71</v>
      </c>
      <c r="AL66" t="s">
        <v>70</v>
      </c>
      <c r="AM66" t="s">
        <v>70</v>
      </c>
      <c r="AN66" t="s">
        <v>243</v>
      </c>
      <c r="AO66" t="s">
        <v>97</v>
      </c>
      <c r="AP66" t="s">
        <v>72</v>
      </c>
      <c r="AQ66" t="s">
        <v>74</v>
      </c>
      <c r="AR66" s="1">
        <v>44488</v>
      </c>
      <c r="AS66" t="s">
        <v>118</v>
      </c>
      <c r="AT66" t="s">
        <v>71</v>
      </c>
      <c r="AU66">
        <v>669</v>
      </c>
      <c r="AV66" t="s">
        <v>76</v>
      </c>
    </row>
    <row r="67" spans="1:48" x14ac:dyDescent="0.25">
      <c r="A67" t="s">
        <v>344</v>
      </c>
      <c r="B67" t="s">
        <v>139</v>
      </c>
      <c r="C67" t="s">
        <v>79</v>
      </c>
      <c r="D67" t="s">
        <v>51</v>
      </c>
      <c r="E67">
        <v>32</v>
      </c>
      <c r="F67" t="s">
        <v>80</v>
      </c>
      <c r="G67" t="s">
        <v>53</v>
      </c>
      <c r="H67" t="s">
        <v>54</v>
      </c>
      <c r="I67" t="s">
        <v>103</v>
      </c>
      <c r="J67" t="s">
        <v>104</v>
      </c>
      <c r="K67" t="s">
        <v>105</v>
      </c>
      <c r="L67" t="s">
        <v>106</v>
      </c>
      <c r="M67" t="s">
        <v>59</v>
      </c>
      <c r="N67" t="s">
        <v>128</v>
      </c>
      <c r="O67" t="s">
        <v>89</v>
      </c>
      <c r="P67" s="1">
        <v>39787</v>
      </c>
      <c r="Q67">
        <v>15.5</v>
      </c>
      <c r="R67" t="s">
        <v>195</v>
      </c>
      <c r="S67" t="s">
        <v>91</v>
      </c>
      <c r="T67" t="s">
        <v>92</v>
      </c>
      <c r="U67">
        <v>5</v>
      </c>
      <c r="V67">
        <v>0</v>
      </c>
      <c r="W67">
        <v>4739</v>
      </c>
      <c r="X67">
        <v>874</v>
      </c>
      <c r="Y67">
        <v>422</v>
      </c>
      <c r="Z67">
        <v>6035</v>
      </c>
      <c r="AA67">
        <v>438</v>
      </c>
      <c r="AB67" t="s">
        <v>65</v>
      </c>
      <c r="AC67">
        <v>19.2</v>
      </c>
      <c r="AD67">
        <v>31</v>
      </c>
      <c r="AE67">
        <v>77</v>
      </c>
      <c r="AF67" t="s">
        <v>66</v>
      </c>
      <c r="AG67">
        <v>16</v>
      </c>
      <c r="AH67" t="s">
        <v>113</v>
      </c>
      <c r="AI67" t="s">
        <v>114</v>
      </c>
      <c r="AJ67" t="s">
        <v>69</v>
      </c>
      <c r="AK67" t="s">
        <v>70</v>
      </c>
      <c r="AL67" t="s">
        <v>71</v>
      </c>
      <c r="AM67" t="s">
        <v>70</v>
      </c>
      <c r="AN67" t="s">
        <v>72</v>
      </c>
      <c r="AO67" t="s">
        <v>134</v>
      </c>
      <c r="AP67" t="s">
        <v>97</v>
      </c>
      <c r="AQ67" t="s">
        <v>117</v>
      </c>
      <c r="AR67" s="1">
        <v>45437</v>
      </c>
      <c r="AS67" t="s">
        <v>137</v>
      </c>
      <c r="AT67" t="s">
        <v>71</v>
      </c>
      <c r="AU67">
        <v>1379</v>
      </c>
      <c r="AV67" t="s">
        <v>76</v>
      </c>
    </row>
    <row r="68" spans="1:48" x14ac:dyDescent="0.25">
      <c r="A68" t="s">
        <v>345</v>
      </c>
      <c r="B68" t="s">
        <v>346</v>
      </c>
      <c r="C68" t="s">
        <v>264</v>
      </c>
      <c r="D68" t="s">
        <v>51</v>
      </c>
      <c r="E68">
        <v>30</v>
      </c>
      <c r="F68" t="s">
        <v>322</v>
      </c>
      <c r="G68" t="s">
        <v>215</v>
      </c>
      <c r="H68" t="s">
        <v>216</v>
      </c>
      <c r="I68" t="s">
        <v>292</v>
      </c>
      <c r="J68" t="s">
        <v>293</v>
      </c>
      <c r="K68" t="s">
        <v>294</v>
      </c>
      <c r="L68" t="s">
        <v>86</v>
      </c>
      <c r="M68" t="s">
        <v>87</v>
      </c>
      <c r="N68" t="s">
        <v>265</v>
      </c>
      <c r="O68" t="s">
        <v>149</v>
      </c>
      <c r="P68" s="1">
        <v>39790</v>
      </c>
      <c r="Q68">
        <v>15.5</v>
      </c>
      <c r="R68" t="s">
        <v>75</v>
      </c>
      <c r="S68" t="s">
        <v>63</v>
      </c>
      <c r="T68" t="s">
        <v>64</v>
      </c>
      <c r="U68">
        <v>0</v>
      </c>
      <c r="V68">
        <v>0</v>
      </c>
      <c r="W68">
        <v>3637</v>
      </c>
      <c r="X68">
        <v>2108</v>
      </c>
      <c r="Y68">
        <v>266</v>
      </c>
      <c r="Z68">
        <v>6011</v>
      </c>
      <c r="AA68">
        <v>334</v>
      </c>
      <c r="AB68" t="s">
        <v>151</v>
      </c>
      <c r="AC68">
        <v>19.5</v>
      </c>
      <c r="AD68">
        <v>52</v>
      </c>
      <c r="AE68">
        <v>50</v>
      </c>
      <c r="AF68" t="s">
        <v>132</v>
      </c>
      <c r="AG68">
        <v>37</v>
      </c>
      <c r="AH68" t="s">
        <v>94</v>
      </c>
      <c r="AI68" t="s">
        <v>95</v>
      </c>
      <c r="AJ68" t="s">
        <v>96</v>
      </c>
      <c r="AK68" t="s">
        <v>70</v>
      </c>
      <c r="AL68" t="s">
        <v>71</v>
      </c>
      <c r="AM68" t="s">
        <v>70</v>
      </c>
      <c r="AN68" t="s">
        <v>243</v>
      </c>
      <c r="AO68" t="s">
        <v>97</v>
      </c>
      <c r="AP68" t="s">
        <v>72</v>
      </c>
      <c r="AQ68" t="s">
        <v>98</v>
      </c>
      <c r="AR68" s="1">
        <v>44219</v>
      </c>
      <c r="AS68" t="s">
        <v>75</v>
      </c>
      <c r="AT68" t="s">
        <v>71</v>
      </c>
      <c r="AU68">
        <v>-454</v>
      </c>
      <c r="AV68" t="s">
        <v>179</v>
      </c>
    </row>
    <row r="69" spans="1:48" x14ac:dyDescent="0.25">
      <c r="A69" t="s">
        <v>347</v>
      </c>
      <c r="B69" t="s">
        <v>120</v>
      </c>
      <c r="C69" t="s">
        <v>332</v>
      </c>
      <c r="D69" t="s">
        <v>51</v>
      </c>
      <c r="E69">
        <v>33</v>
      </c>
      <c r="F69" t="s">
        <v>168</v>
      </c>
      <c r="G69" t="s">
        <v>298</v>
      </c>
      <c r="H69" t="s">
        <v>299</v>
      </c>
      <c r="I69" t="s">
        <v>158</v>
      </c>
      <c r="J69" t="s">
        <v>159</v>
      </c>
      <c r="K69" t="s">
        <v>160</v>
      </c>
      <c r="L69" t="s">
        <v>174</v>
      </c>
      <c r="M69" t="s">
        <v>249</v>
      </c>
      <c r="N69" t="s">
        <v>88</v>
      </c>
      <c r="O69" t="s">
        <v>149</v>
      </c>
      <c r="P69" s="1">
        <v>41674</v>
      </c>
      <c r="Q69">
        <v>10.3</v>
      </c>
      <c r="R69" t="s">
        <v>129</v>
      </c>
      <c r="S69" t="s">
        <v>219</v>
      </c>
      <c r="T69" t="s">
        <v>220</v>
      </c>
      <c r="U69">
        <v>0</v>
      </c>
      <c r="V69">
        <v>0</v>
      </c>
      <c r="W69">
        <v>2149</v>
      </c>
      <c r="X69">
        <v>1829</v>
      </c>
      <c r="Y69">
        <v>422</v>
      </c>
      <c r="Z69">
        <v>4400</v>
      </c>
      <c r="AA69">
        <v>478</v>
      </c>
      <c r="AB69" t="s">
        <v>65</v>
      </c>
      <c r="AC69">
        <v>18.399999999999999</v>
      </c>
      <c r="AD69">
        <v>60</v>
      </c>
      <c r="AE69">
        <v>48</v>
      </c>
      <c r="AF69" t="s">
        <v>93</v>
      </c>
      <c r="AG69">
        <v>23</v>
      </c>
      <c r="AH69" t="s">
        <v>113</v>
      </c>
      <c r="AI69" t="s">
        <v>114</v>
      </c>
      <c r="AJ69" t="s">
        <v>96</v>
      </c>
      <c r="AK69" t="s">
        <v>70</v>
      </c>
      <c r="AL69" t="s">
        <v>70</v>
      </c>
      <c r="AM69" t="s">
        <v>70</v>
      </c>
      <c r="AN69" t="s">
        <v>115</v>
      </c>
      <c r="AO69" t="s">
        <v>178</v>
      </c>
      <c r="AP69" t="s">
        <v>72</v>
      </c>
      <c r="AQ69" t="s">
        <v>74</v>
      </c>
      <c r="AR69" s="1">
        <v>45216</v>
      </c>
      <c r="AS69" t="s">
        <v>118</v>
      </c>
      <c r="AT69" t="s">
        <v>71</v>
      </c>
      <c r="AU69">
        <v>-165</v>
      </c>
      <c r="AV69" t="s">
        <v>179</v>
      </c>
    </row>
    <row r="70" spans="1:48" x14ac:dyDescent="0.25">
      <c r="A70" t="s">
        <v>348</v>
      </c>
      <c r="B70" t="s">
        <v>282</v>
      </c>
      <c r="C70" t="s">
        <v>246</v>
      </c>
      <c r="D70" t="s">
        <v>122</v>
      </c>
      <c r="E70">
        <v>19</v>
      </c>
      <c r="F70" t="s">
        <v>168</v>
      </c>
      <c r="G70" t="s">
        <v>193</v>
      </c>
      <c r="H70" t="s">
        <v>194</v>
      </c>
      <c r="I70" t="s">
        <v>236</v>
      </c>
      <c r="J70" t="s">
        <v>237</v>
      </c>
      <c r="K70" t="s">
        <v>238</v>
      </c>
      <c r="L70" t="s">
        <v>201</v>
      </c>
      <c r="M70" t="s">
        <v>127</v>
      </c>
      <c r="N70" t="s">
        <v>60</v>
      </c>
      <c r="O70" t="s">
        <v>61</v>
      </c>
      <c r="P70" s="1">
        <v>42493</v>
      </c>
      <c r="Q70">
        <v>8.1</v>
      </c>
      <c r="R70" t="s">
        <v>75</v>
      </c>
      <c r="S70" t="s">
        <v>130</v>
      </c>
      <c r="T70" t="s">
        <v>131</v>
      </c>
      <c r="U70">
        <v>4</v>
      </c>
      <c r="V70">
        <v>0</v>
      </c>
      <c r="W70">
        <v>2259</v>
      </c>
      <c r="X70">
        <v>1136</v>
      </c>
      <c r="Y70">
        <v>422</v>
      </c>
      <c r="Z70">
        <v>3817</v>
      </c>
      <c r="AA70">
        <v>395</v>
      </c>
      <c r="AB70" t="s">
        <v>65</v>
      </c>
      <c r="AC70">
        <v>19.8</v>
      </c>
      <c r="AD70">
        <v>48</v>
      </c>
      <c r="AE70">
        <v>37</v>
      </c>
      <c r="AF70" t="s">
        <v>132</v>
      </c>
      <c r="AG70">
        <v>18</v>
      </c>
      <c r="AH70" t="s">
        <v>113</v>
      </c>
      <c r="AI70" t="s">
        <v>95</v>
      </c>
      <c r="AJ70" t="s">
        <v>188</v>
      </c>
      <c r="AK70" t="s">
        <v>70</v>
      </c>
      <c r="AL70" t="s">
        <v>70</v>
      </c>
      <c r="AM70" t="s">
        <v>70</v>
      </c>
      <c r="AN70" t="s">
        <v>231</v>
      </c>
      <c r="AO70" t="s">
        <v>203</v>
      </c>
      <c r="AP70" t="s">
        <v>72</v>
      </c>
      <c r="AQ70" t="s">
        <v>136</v>
      </c>
      <c r="AR70" s="1">
        <v>43412</v>
      </c>
      <c r="AS70" t="s">
        <v>75</v>
      </c>
      <c r="AT70" t="s">
        <v>71</v>
      </c>
      <c r="AU70">
        <v>-488</v>
      </c>
      <c r="AV70" t="s">
        <v>179</v>
      </c>
    </row>
    <row r="71" spans="1:48" x14ac:dyDescent="0.25">
      <c r="A71" t="s">
        <v>349</v>
      </c>
      <c r="B71" t="s">
        <v>205</v>
      </c>
      <c r="C71" t="s">
        <v>79</v>
      </c>
      <c r="D71" t="s">
        <v>51</v>
      </c>
      <c r="E71">
        <v>35</v>
      </c>
      <c r="F71" t="s">
        <v>291</v>
      </c>
      <c r="G71" t="s">
        <v>183</v>
      </c>
      <c r="H71" t="s">
        <v>184</v>
      </c>
      <c r="I71" t="s">
        <v>83</v>
      </c>
      <c r="J71" t="s">
        <v>84</v>
      </c>
      <c r="K71" t="s">
        <v>85</v>
      </c>
      <c r="L71" t="s">
        <v>106</v>
      </c>
      <c r="M71" t="s">
        <v>127</v>
      </c>
      <c r="N71" t="s">
        <v>148</v>
      </c>
      <c r="O71" t="s">
        <v>89</v>
      </c>
      <c r="P71" s="1">
        <v>38918</v>
      </c>
      <c r="Q71">
        <v>17.899999999999999</v>
      </c>
      <c r="R71" t="s">
        <v>150</v>
      </c>
      <c r="S71" t="s">
        <v>91</v>
      </c>
      <c r="T71" t="s">
        <v>92</v>
      </c>
      <c r="U71">
        <v>1</v>
      </c>
      <c r="V71">
        <v>0</v>
      </c>
      <c r="W71">
        <v>5696</v>
      </c>
      <c r="X71">
        <v>1387</v>
      </c>
      <c r="Y71">
        <v>266</v>
      </c>
      <c r="Z71">
        <v>7349</v>
      </c>
      <c r="AA71">
        <v>505</v>
      </c>
      <c r="AB71" t="s">
        <v>65</v>
      </c>
      <c r="AC71">
        <v>14</v>
      </c>
      <c r="AD71">
        <v>28</v>
      </c>
      <c r="AE71">
        <v>79</v>
      </c>
      <c r="AF71" t="s">
        <v>112</v>
      </c>
      <c r="AG71">
        <v>28</v>
      </c>
      <c r="AH71" t="s">
        <v>113</v>
      </c>
      <c r="AI71" t="s">
        <v>152</v>
      </c>
      <c r="AJ71" t="s">
        <v>188</v>
      </c>
      <c r="AK71" t="s">
        <v>70</v>
      </c>
      <c r="AL71" t="s">
        <v>71</v>
      </c>
      <c r="AM71" t="s">
        <v>70</v>
      </c>
      <c r="AN71" t="s">
        <v>202</v>
      </c>
      <c r="AO71" t="s">
        <v>287</v>
      </c>
      <c r="AP71" t="s">
        <v>227</v>
      </c>
      <c r="AQ71" t="s">
        <v>74</v>
      </c>
      <c r="AR71" s="1">
        <v>45556</v>
      </c>
      <c r="AS71" t="s">
        <v>118</v>
      </c>
      <c r="AT71" t="s">
        <v>71</v>
      </c>
      <c r="AU71">
        <v>-486</v>
      </c>
      <c r="AV71" t="s">
        <v>179</v>
      </c>
    </row>
    <row r="72" spans="1:48" x14ac:dyDescent="0.25">
      <c r="A72" t="s">
        <v>350</v>
      </c>
      <c r="B72" t="s">
        <v>229</v>
      </c>
      <c r="C72" t="s">
        <v>252</v>
      </c>
      <c r="D72" t="s">
        <v>51</v>
      </c>
      <c r="E72">
        <v>30</v>
      </c>
      <c r="F72" t="s">
        <v>278</v>
      </c>
      <c r="G72" t="s">
        <v>183</v>
      </c>
      <c r="H72" t="s">
        <v>184</v>
      </c>
      <c r="I72" t="s">
        <v>103</v>
      </c>
      <c r="J72" t="s">
        <v>104</v>
      </c>
      <c r="K72" t="s">
        <v>105</v>
      </c>
      <c r="L72" t="s">
        <v>126</v>
      </c>
      <c r="M72" t="s">
        <v>107</v>
      </c>
      <c r="N72" t="s">
        <v>108</v>
      </c>
      <c r="O72" t="s">
        <v>109</v>
      </c>
      <c r="P72" s="1">
        <v>41188</v>
      </c>
      <c r="Q72">
        <v>11.7</v>
      </c>
      <c r="R72" t="s">
        <v>75</v>
      </c>
      <c r="S72" t="s">
        <v>130</v>
      </c>
      <c r="T72" t="s">
        <v>131</v>
      </c>
      <c r="U72">
        <v>8</v>
      </c>
      <c r="V72">
        <v>1</v>
      </c>
      <c r="W72">
        <v>5696</v>
      </c>
      <c r="X72">
        <v>0</v>
      </c>
      <c r="Y72">
        <v>266</v>
      </c>
      <c r="Z72">
        <v>5962</v>
      </c>
      <c r="AA72">
        <v>298</v>
      </c>
      <c r="AB72" t="s">
        <v>151</v>
      </c>
      <c r="AC72">
        <v>12.8</v>
      </c>
      <c r="AD72">
        <v>62</v>
      </c>
      <c r="AE72">
        <v>56</v>
      </c>
      <c r="AF72" t="s">
        <v>93</v>
      </c>
      <c r="AG72">
        <v>22</v>
      </c>
      <c r="AH72" t="s">
        <v>113</v>
      </c>
      <c r="AI72" t="s">
        <v>114</v>
      </c>
      <c r="AJ72" t="s">
        <v>72</v>
      </c>
      <c r="AK72" t="s">
        <v>70</v>
      </c>
      <c r="AL72" t="s">
        <v>70</v>
      </c>
      <c r="AM72" t="s">
        <v>71</v>
      </c>
      <c r="AN72" t="s">
        <v>270</v>
      </c>
      <c r="AO72" t="s">
        <v>97</v>
      </c>
      <c r="AP72" t="s">
        <v>72</v>
      </c>
      <c r="AQ72" t="s">
        <v>136</v>
      </c>
      <c r="AR72" s="1">
        <v>42056</v>
      </c>
      <c r="AS72" t="s">
        <v>118</v>
      </c>
      <c r="AT72" t="s">
        <v>71</v>
      </c>
      <c r="AU72">
        <v>1563</v>
      </c>
      <c r="AV72" t="s">
        <v>76</v>
      </c>
    </row>
    <row r="73" spans="1:48" x14ac:dyDescent="0.25">
      <c r="A73" t="s">
        <v>351</v>
      </c>
      <c r="B73" t="s">
        <v>251</v>
      </c>
      <c r="C73" t="s">
        <v>182</v>
      </c>
      <c r="D73" t="s">
        <v>51</v>
      </c>
      <c r="E73">
        <v>40</v>
      </c>
      <c r="F73" t="s">
        <v>52</v>
      </c>
      <c r="G73" t="s">
        <v>215</v>
      </c>
      <c r="H73" t="s">
        <v>216</v>
      </c>
      <c r="I73" t="s">
        <v>225</v>
      </c>
      <c r="J73" t="s">
        <v>226</v>
      </c>
      <c r="K73" t="s">
        <v>105</v>
      </c>
      <c r="L73" t="s">
        <v>201</v>
      </c>
      <c r="M73" t="s">
        <v>175</v>
      </c>
      <c r="N73" t="s">
        <v>128</v>
      </c>
      <c r="O73" t="s">
        <v>176</v>
      </c>
      <c r="P73" s="1">
        <v>40293</v>
      </c>
      <c r="Q73">
        <v>14.1</v>
      </c>
      <c r="R73" t="s">
        <v>150</v>
      </c>
      <c r="S73" t="s">
        <v>110</v>
      </c>
      <c r="T73" t="s">
        <v>111</v>
      </c>
      <c r="U73">
        <v>4</v>
      </c>
      <c r="V73">
        <v>0</v>
      </c>
      <c r="W73">
        <v>3637</v>
      </c>
      <c r="X73">
        <v>0</v>
      </c>
      <c r="Y73">
        <v>266</v>
      </c>
      <c r="Z73">
        <v>3903</v>
      </c>
      <c r="AA73">
        <v>575</v>
      </c>
      <c r="AB73" t="s">
        <v>65</v>
      </c>
      <c r="AC73">
        <v>16</v>
      </c>
      <c r="AD73">
        <v>37</v>
      </c>
      <c r="AE73">
        <v>33</v>
      </c>
      <c r="AF73" t="s">
        <v>93</v>
      </c>
      <c r="AG73">
        <v>36</v>
      </c>
      <c r="AH73" t="s">
        <v>94</v>
      </c>
      <c r="AI73" t="s">
        <v>95</v>
      </c>
      <c r="AJ73" t="s">
        <v>96</v>
      </c>
      <c r="AK73" t="s">
        <v>70</v>
      </c>
      <c r="AL73" t="s">
        <v>70</v>
      </c>
      <c r="AM73" t="s">
        <v>70</v>
      </c>
      <c r="AN73" t="s">
        <v>72</v>
      </c>
      <c r="AO73" t="s">
        <v>72</v>
      </c>
      <c r="AP73" t="s">
        <v>72</v>
      </c>
      <c r="AQ73" t="s">
        <v>74</v>
      </c>
      <c r="AR73" s="1">
        <v>41685</v>
      </c>
      <c r="AS73" t="s">
        <v>118</v>
      </c>
      <c r="AT73" t="s">
        <v>71</v>
      </c>
      <c r="AU73">
        <v>1703</v>
      </c>
      <c r="AV73" t="s">
        <v>76</v>
      </c>
    </row>
    <row r="74" spans="1:48" x14ac:dyDescent="0.25">
      <c r="A74" t="s">
        <v>352</v>
      </c>
      <c r="B74" t="s">
        <v>120</v>
      </c>
      <c r="C74" t="s">
        <v>353</v>
      </c>
      <c r="D74" t="s">
        <v>122</v>
      </c>
      <c r="E74">
        <v>39</v>
      </c>
      <c r="F74" t="s">
        <v>305</v>
      </c>
      <c r="G74" t="s">
        <v>142</v>
      </c>
      <c r="H74" t="s">
        <v>143</v>
      </c>
      <c r="I74" t="s">
        <v>144</v>
      </c>
      <c r="J74" t="s">
        <v>145</v>
      </c>
      <c r="K74" t="s">
        <v>146</v>
      </c>
      <c r="L74" t="s">
        <v>106</v>
      </c>
      <c r="M74" t="s">
        <v>275</v>
      </c>
      <c r="N74" t="s">
        <v>128</v>
      </c>
      <c r="O74" t="s">
        <v>109</v>
      </c>
      <c r="P74" s="1">
        <v>38825</v>
      </c>
      <c r="Q74">
        <v>18.100000000000001</v>
      </c>
      <c r="R74" t="s">
        <v>150</v>
      </c>
      <c r="S74" t="s">
        <v>63</v>
      </c>
      <c r="T74" t="s">
        <v>64</v>
      </c>
      <c r="U74">
        <v>0</v>
      </c>
      <c r="V74">
        <v>0</v>
      </c>
      <c r="W74">
        <v>5473</v>
      </c>
      <c r="X74">
        <v>1645</v>
      </c>
      <c r="Y74">
        <v>422</v>
      </c>
      <c r="Z74">
        <v>7540</v>
      </c>
      <c r="AA74">
        <v>414</v>
      </c>
      <c r="AB74" t="s">
        <v>65</v>
      </c>
      <c r="AC74">
        <v>17.2</v>
      </c>
      <c r="AD74">
        <v>28</v>
      </c>
      <c r="AE74">
        <v>54</v>
      </c>
      <c r="AF74" t="s">
        <v>112</v>
      </c>
      <c r="AG74">
        <v>22</v>
      </c>
      <c r="AH74" t="s">
        <v>113</v>
      </c>
      <c r="AI74" t="s">
        <v>152</v>
      </c>
      <c r="AJ74" t="s">
        <v>188</v>
      </c>
      <c r="AK74" t="s">
        <v>71</v>
      </c>
      <c r="AL74" t="s">
        <v>70</v>
      </c>
      <c r="AM74" t="s">
        <v>70</v>
      </c>
      <c r="AN74" t="s">
        <v>202</v>
      </c>
      <c r="AO74" t="s">
        <v>221</v>
      </c>
      <c r="AP74" t="s">
        <v>287</v>
      </c>
      <c r="AQ74" t="s">
        <v>117</v>
      </c>
      <c r="AR74" s="1">
        <v>45309</v>
      </c>
      <c r="AS74" t="s">
        <v>137</v>
      </c>
      <c r="AT74" t="s">
        <v>71</v>
      </c>
      <c r="AU74">
        <v>1789</v>
      </c>
      <c r="AV74" t="s">
        <v>76</v>
      </c>
    </row>
    <row r="75" spans="1:48" x14ac:dyDescent="0.25">
      <c r="A75" t="s">
        <v>354</v>
      </c>
      <c r="B75" t="s">
        <v>263</v>
      </c>
      <c r="C75" t="s">
        <v>167</v>
      </c>
      <c r="D75" t="s">
        <v>51</v>
      </c>
      <c r="E75">
        <v>34</v>
      </c>
      <c r="F75" t="s">
        <v>141</v>
      </c>
      <c r="G75" t="s">
        <v>215</v>
      </c>
      <c r="H75" t="s">
        <v>216</v>
      </c>
      <c r="I75" t="s">
        <v>217</v>
      </c>
      <c r="J75" t="s">
        <v>218</v>
      </c>
      <c r="K75" t="s">
        <v>146</v>
      </c>
      <c r="L75" t="s">
        <v>174</v>
      </c>
      <c r="M75" t="s">
        <v>107</v>
      </c>
      <c r="N75" t="s">
        <v>108</v>
      </c>
      <c r="O75" t="s">
        <v>89</v>
      </c>
      <c r="P75" s="1">
        <v>44471</v>
      </c>
      <c r="Q75">
        <v>2.7</v>
      </c>
      <c r="R75" t="s">
        <v>208</v>
      </c>
      <c r="S75" t="s">
        <v>196</v>
      </c>
      <c r="T75" t="s">
        <v>197</v>
      </c>
      <c r="U75">
        <v>0</v>
      </c>
      <c r="V75">
        <v>0</v>
      </c>
      <c r="W75">
        <v>3637</v>
      </c>
      <c r="X75">
        <v>0</v>
      </c>
      <c r="Y75">
        <v>266</v>
      </c>
      <c r="Z75">
        <v>3903</v>
      </c>
      <c r="AA75">
        <v>493</v>
      </c>
      <c r="AB75" t="s">
        <v>65</v>
      </c>
      <c r="AC75">
        <v>18.399999999999999</v>
      </c>
      <c r="AD75">
        <v>65</v>
      </c>
      <c r="AE75">
        <v>43</v>
      </c>
      <c r="AF75" t="s">
        <v>93</v>
      </c>
      <c r="AG75">
        <v>33</v>
      </c>
      <c r="AH75" t="s">
        <v>67</v>
      </c>
      <c r="AI75" t="s">
        <v>95</v>
      </c>
      <c r="AJ75" t="s">
        <v>96</v>
      </c>
      <c r="AK75" t="s">
        <v>70</v>
      </c>
      <c r="AL75" t="s">
        <v>70</v>
      </c>
      <c r="AM75" t="s">
        <v>70</v>
      </c>
      <c r="AN75" t="s">
        <v>133</v>
      </c>
      <c r="AO75" t="s">
        <v>221</v>
      </c>
      <c r="AP75" t="s">
        <v>227</v>
      </c>
      <c r="AQ75" t="s">
        <v>74</v>
      </c>
      <c r="AR75" s="1">
        <v>45158</v>
      </c>
      <c r="AS75" t="s">
        <v>137</v>
      </c>
      <c r="AT75" t="s">
        <v>71</v>
      </c>
      <c r="AU75">
        <v>811</v>
      </c>
      <c r="AV75" t="s">
        <v>76</v>
      </c>
    </row>
    <row r="76" spans="1:48" x14ac:dyDescent="0.25">
      <c r="A76" t="s">
        <v>355</v>
      </c>
      <c r="B76" t="s">
        <v>267</v>
      </c>
      <c r="C76" t="s">
        <v>332</v>
      </c>
      <c r="D76" t="s">
        <v>51</v>
      </c>
      <c r="E76">
        <v>41</v>
      </c>
      <c r="F76" t="s">
        <v>248</v>
      </c>
      <c r="G76" t="s">
        <v>183</v>
      </c>
      <c r="H76" t="s">
        <v>184</v>
      </c>
      <c r="I76" t="s">
        <v>268</v>
      </c>
      <c r="J76" t="s">
        <v>269</v>
      </c>
      <c r="K76" t="s">
        <v>173</v>
      </c>
      <c r="L76" t="s">
        <v>201</v>
      </c>
      <c r="M76" t="s">
        <v>107</v>
      </c>
      <c r="N76" t="s">
        <v>265</v>
      </c>
      <c r="O76" t="s">
        <v>149</v>
      </c>
      <c r="P76" s="1">
        <v>38485</v>
      </c>
      <c r="Q76">
        <v>19.100000000000001</v>
      </c>
      <c r="R76" t="s">
        <v>195</v>
      </c>
      <c r="S76" t="s">
        <v>110</v>
      </c>
      <c r="T76" t="s">
        <v>111</v>
      </c>
      <c r="U76">
        <v>13</v>
      </c>
      <c r="V76">
        <v>2</v>
      </c>
      <c r="W76">
        <v>5696</v>
      </c>
      <c r="X76">
        <v>0</v>
      </c>
      <c r="Y76">
        <v>266</v>
      </c>
      <c r="Z76">
        <v>5962</v>
      </c>
      <c r="AA76">
        <v>581</v>
      </c>
      <c r="AB76" t="s">
        <v>65</v>
      </c>
      <c r="AC76">
        <v>14.2</v>
      </c>
      <c r="AD76">
        <v>34</v>
      </c>
      <c r="AE76">
        <v>54</v>
      </c>
      <c r="AF76" t="s">
        <v>93</v>
      </c>
      <c r="AG76">
        <v>31</v>
      </c>
      <c r="AH76" t="s">
        <v>67</v>
      </c>
      <c r="AI76" t="s">
        <v>114</v>
      </c>
      <c r="AJ76" t="s">
        <v>69</v>
      </c>
      <c r="AK76" t="s">
        <v>70</v>
      </c>
      <c r="AL76" t="s">
        <v>70</v>
      </c>
      <c r="AM76" t="s">
        <v>70</v>
      </c>
      <c r="AN76" t="s">
        <v>231</v>
      </c>
      <c r="AO76" t="s">
        <v>203</v>
      </c>
      <c r="AP76" t="s">
        <v>72</v>
      </c>
      <c r="AQ76" t="s">
        <v>117</v>
      </c>
      <c r="AR76" s="1">
        <v>39860</v>
      </c>
      <c r="AS76" t="s">
        <v>118</v>
      </c>
      <c r="AT76" t="s">
        <v>71</v>
      </c>
      <c r="AU76">
        <v>1720</v>
      </c>
      <c r="AV76" t="s">
        <v>76</v>
      </c>
    </row>
    <row r="77" spans="1:48" x14ac:dyDescent="0.25">
      <c r="A77" t="s">
        <v>356</v>
      </c>
      <c r="B77" t="s">
        <v>259</v>
      </c>
      <c r="C77" t="s">
        <v>191</v>
      </c>
      <c r="D77" t="s">
        <v>51</v>
      </c>
      <c r="E77">
        <v>18</v>
      </c>
      <c r="F77" t="s">
        <v>283</v>
      </c>
      <c r="G77" t="s">
        <v>298</v>
      </c>
      <c r="H77" t="s">
        <v>299</v>
      </c>
      <c r="I77" t="s">
        <v>292</v>
      </c>
      <c r="J77" t="s">
        <v>293</v>
      </c>
      <c r="K77" t="s">
        <v>294</v>
      </c>
      <c r="L77" t="s">
        <v>174</v>
      </c>
      <c r="M77" t="s">
        <v>212</v>
      </c>
      <c r="N77" t="s">
        <v>108</v>
      </c>
      <c r="O77" t="s">
        <v>149</v>
      </c>
      <c r="P77" s="1">
        <v>38909</v>
      </c>
      <c r="Q77">
        <v>17.899999999999999</v>
      </c>
      <c r="R77" t="s">
        <v>150</v>
      </c>
      <c r="S77" t="s">
        <v>219</v>
      </c>
      <c r="T77" t="s">
        <v>220</v>
      </c>
      <c r="U77">
        <v>0</v>
      </c>
      <c r="V77">
        <v>0</v>
      </c>
      <c r="W77">
        <v>2149</v>
      </c>
      <c r="X77">
        <v>0</v>
      </c>
      <c r="Y77">
        <v>422</v>
      </c>
      <c r="Z77">
        <v>2571</v>
      </c>
      <c r="AA77">
        <v>320</v>
      </c>
      <c r="AB77" t="s">
        <v>151</v>
      </c>
      <c r="AC77">
        <v>14.4</v>
      </c>
      <c r="AD77">
        <v>49</v>
      </c>
      <c r="AE77">
        <v>53</v>
      </c>
      <c r="AF77" t="s">
        <v>132</v>
      </c>
      <c r="AG77">
        <v>37</v>
      </c>
      <c r="AH77" t="s">
        <v>94</v>
      </c>
      <c r="AI77" t="s">
        <v>95</v>
      </c>
      <c r="AJ77" t="s">
        <v>72</v>
      </c>
      <c r="AK77" t="s">
        <v>70</v>
      </c>
      <c r="AL77" t="s">
        <v>70</v>
      </c>
      <c r="AM77" t="s">
        <v>70</v>
      </c>
      <c r="AN77" t="s">
        <v>72</v>
      </c>
      <c r="AO77" t="s">
        <v>287</v>
      </c>
      <c r="AP77" t="s">
        <v>72</v>
      </c>
      <c r="AQ77" t="s">
        <v>74</v>
      </c>
      <c r="AR77" s="1">
        <v>39507</v>
      </c>
      <c r="AS77" t="s">
        <v>118</v>
      </c>
      <c r="AT77" t="s">
        <v>71</v>
      </c>
      <c r="AU77">
        <v>1647</v>
      </c>
      <c r="AV77" t="s">
        <v>76</v>
      </c>
    </row>
    <row r="78" spans="1:48" x14ac:dyDescent="0.25">
      <c r="A78" t="s">
        <v>357</v>
      </c>
      <c r="B78" t="s">
        <v>263</v>
      </c>
      <c r="C78" t="s">
        <v>182</v>
      </c>
      <c r="D78" t="s">
        <v>51</v>
      </c>
      <c r="E78">
        <v>45</v>
      </c>
      <c r="F78" t="s">
        <v>52</v>
      </c>
      <c r="G78" t="s">
        <v>242</v>
      </c>
      <c r="H78" t="s">
        <v>54</v>
      </c>
      <c r="I78" t="s">
        <v>144</v>
      </c>
      <c r="J78" t="s">
        <v>145</v>
      </c>
      <c r="K78" t="s">
        <v>146</v>
      </c>
      <c r="L78" t="s">
        <v>86</v>
      </c>
      <c r="M78" t="s">
        <v>207</v>
      </c>
      <c r="N78" t="s">
        <v>128</v>
      </c>
      <c r="O78" t="s">
        <v>109</v>
      </c>
      <c r="P78" s="1">
        <v>39000</v>
      </c>
      <c r="Q78">
        <v>17.600000000000001</v>
      </c>
      <c r="R78" t="s">
        <v>150</v>
      </c>
      <c r="S78" t="s">
        <v>110</v>
      </c>
      <c r="T78" t="s">
        <v>111</v>
      </c>
      <c r="U78">
        <v>12</v>
      </c>
      <c r="V78">
        <v>2</v>
      </c>
      <c r="W78">
        <v>4739</v>
      </c>
      <c r="X78">
        <v>0</v>
      </c>
      <c r="Y78">
        <v>422</v>
      </c>
      <c r="Z78">
        <v>5161</v>
      </c>
      <c r="AA78">
        <v>331</v>
      </c>
      <c r="AB78" t="s">
        <v>151</v>
      </c>
      <c r="AC78">
        <v>20.9</v>
      </c>
      <c r="AD78">
        <v>34</v>
      </c>
      <c r="AE78">
        <v>49</v>
      </c>
      <c r="AF78" t="s">
        <v>66</v>
      </c>
      <c r="AG78">
        <v>18</v>
      </c>
      <c r="AH78" t="s">
        <v>113</v>
      </c>
      <c r="AI78" t="s">
        <v>68</v>
      </c>
      <c r="AJ78" t="s">
        <v>72</v>
      </c>
      <c r="AK78" t="s">
        <v>70</v>
      </c>
      <c r="AL78" t="s">
        <v>71</v>
      </c>
      <c r="AM78" t="s">
        <v>70</v>
      </c>
      <c r="AN78" t="s">
        <v>270</v>
      </c>
      <c r="AO78" t="s">
        <v>227</v>
      </c>
      <c r="AP78" t="s">
        <v>72</v>
      </c>
      <c r="AQ78" t="s">
        <v>74</v>
      </c>
      <c r="AR78" s="1">
        <v>40600</v>
      </c>
      <c r="AS78" t="s">
        <v>137</v>
      </c>
      <c r="AT78" t="s">
        <v>71</v>
      </c>
      <c r="AU78">
        <v>365</v>
      </c>
      <c r="AV78" t="s">
        <v>76</v>
      </c>
    </row>
    <row r="79" spans="1:48" x14ac:dyDescent="0.25">
      <c r="A79" t="s">
        <v>358</v>
      </c>
      <c r="B79" t="s">
        <v>205</v>
      </c>
      <c r="C79" t="s">
        <v>206</v>
      </c>
      <c r="D79" t="s">
        <v>122</v>
      </c>
      <c r="E79">
        <v>43</v>
      </c>
      <c r="F79" t="s">
        <v>325</v>
      </c>
      <c r="G79" t="s">
        <v>193</v>
      </c>
      <c r="H79" t="s">
        <v>194</v>
      </c>
      <c r="I79" t="s">
        <v>158</v>
      </c>
      <c r="J79" t="s">
        <v>159</v>
      </c>
      <c r="K79" t="s">
        <v>160</v>
      </c>
      <c r="L79" t="s">
        <v>86</v>
      </c>
      <c r="M79" t="s">
        <v>147</v>
      </c>
      <c r="N79" t="s">
        <v>148</v>
      </c>
      <c r="O79" t="s">
        <v>89</v>
      </c>
      <c r="P79" s="1">
        <v>39822</v>
      </c>
      <c r="Q79">
        <v>15.4</v>
      </c>
      <c r="R79" t="s">
        <v>129</v>
      </c>
      <c r="S79" t="s">
        <v>196</v>
      </c>
      <c r="T79" t="s">
        <v>197</v>
      </c>
      <c r="U79">
        <v>0</v>
      </c>
      <c r="V79">
        <v>0</v>
      </c>
      <c r="W79">
        <v>2259</v>
      </c>
      <c r="X79">
        <v>0</v>
      </c>
      <c r="Y79">
        <v>422</v>
      </c>
      <c r="Z79">
        <v>2681</v>
      </c>
      <c r="AA79">
        <v>493</v>
      </c>
      <c r="AB79" t="s">
        <v>65</v>
      </c>
      <c r="AC79">
        <v>20.7</v>
      </c>
      <c r="AD79">
        <v>57</v>
      </c>
      <c r="AE79">
        <v>39</v>
      </c>
      <c r="AF79" t="s">
        <v>66</v>
      </c>
      <c r="AG79">
        <v>25</v>
      </c>
      <c r="AH79" t="s">
        <v>113</v>
      </c>
      <c r="AI79" t="s">
        <v>152</v>
      </c>
      <c r="AJ79" t="s">
        <v>96</v>
      </c>
      <c r="AK79" t="s">
        <v>70</v>
      </c>
      <c r="AL79" t="s">
        <v>70</v>
      </c>
      <c r="AM79" t="s">
        <v>70</v>
      </c>
      <c r="AN79" t="s">
        <v>72</v>
      </c>
      <c r="AO79" t="s">
        <v>178</v>
      </c>
      <c r="AP79" t="s">
        <v>116</v>
      </c>
      <c r="AQ79" t="s">
        <v>74</v>
      </c>
      <c r="AR79" s="1">
        <v>43394</v>
      </c>
      <c r="AS79" t="s">
        <v>75</v>
      </c>
      <c r="AT79" t="s">
        <v>71</v>
      </c>
      <c r="AU79">
        <v>450</v>
      </c>
      <c r="AV79" t="s">
        <v>76</v>
      </c>
    </row>
    <row r="80" spans="1:48" x14ac:dyDescent="0.25">
      <c r="A80" t="s">
        <v>359</v>
      </c>
      <c r="B80" t="s">
        <v>100</v>
      </c>
      <c r="C80" t="s">
        <v>360</v>
      </c>
      <c r="D80" t="s">
        <v>51</v>
      </c>
      <c r="E80">
        <v>30</v>
      </c>
      <c r="F80" t="s">
        <v>192</v>
      </c>
      <c r="G80" t="s">
        <v>156</v>
      </c>
      <c r="H80" t="s">
        <v>157</v>
      </c>
      <c r="I80" t="s">
        <v>292</v>
      </c>
      <c r="J80" t="s">
        <v>293</v>
      </c>
      <c r="K80" t="s">
        <v>294</v>
      </c>
      <c r="L80" t="s">
        <v>86</v>
      </c>
      <c r="M80" t="s">
        <v>296</v>
      </c>
      <c r="N80" t="s">
        <v>265</v>
      </c>
      <c r="O80" t="s">
        <v>176</v>
      </c>
      <c r="P80" s="1">
        <v>44771</v>
      </c>
      <c r="Q80">
        <v>1.8</v>
      </c>
      <c r="R80" t="s">
        <v>129</v>
      </c>
      <c r="S80" t="s">
        <v>91</v>
      </c>
      <c r="T80" t="s">
        <v>92</v>
      </c>
      <c r="U80">
        <v>15</v>
      </c>
      <c r="V80">
        <v>2</v>
      </c>
      <c r="W80">
        <v>4836</v>
      </c>
      <c r="X80">
        <v>1267</v>
      </c>
      <c r="Y80">
        <v>266</v>
      </c>
      <c r="Z80">
        <v>6369</v>
      </c>
      <c r="AA80">
        <v>385</v>
      </c>
      <c r="AB80" t="s">
        <v>65</v>
      </c>
      <c r="AC80">
        <v>17.2</v>
      </c>
      <c r="AD80">
        <v>44</v>
      </c>
      <c r="AE80">
        <v>57</v>
      </c>
      <c r="AF80" t="s">
        <v>132</v>
      </c>
      <c r="AG80">
        <v>18</v>
      </c>
      <c r="AH80" t="s">
        <v>113</v>
      </c>
      <c r="AI80" t="s">
        <v>95</v>
      </c>
      <c r="AJ80" t="s">
        <v>72</v>
      </c>
      <c r="AK80" t="s">
        <v>71</v>
      </c>
      <c r="AL80" t="s">
        <v>70</v>
      </c>
      <c r="AM80" t="s">
        <v>70</v>
      </c>
      <c r="AN80" t="s">
        <v>72</v>
      </c>
      <c r="AO80" t="s">
        <v>72</v>
      </c>
      <c r="AP80" t="s">
        <v>72</v>
      </c>
      <c r="AQ80" t="s">
        <v>98</v>
      </c>
      <c r="AR80" s="1">
        <v>44749</v>
      </c>
      <c r="AS80" t="s">
        <v>75</v>
      </c>
      <c r="AT80" t="s">
        <v>70</v>
      </c>
      <c r="AU80">
        <v>-479</v>
      </c>
      <c r="AV80" t="s">
        <v>179</v>
      </c>
    </row>
    <row r="81" spans="1:48" x14ac:dyDescent="0.25">
      <c r="A81" t="s">
        <v>361</v>
      </c>
      <c r="B81" t="s">
        <v>282</v>
      </c>
      <c r="C81" t="s">
        <v>200</v>
      </c>
      <c r="D81" t="s">
        <v>51</v>
      </c>
      <c r="E81">
        <v>25</v>
      </c>
      <c r="F81" t="s">
        <v>241</v>
      </c>
      <c r="G81" t="s">
        <v>242</v>
      </c>
      <c r="H81" t="s">
        <v>54</v>
      </c>
      <c r="I81" t="s">
        <v>171</v>
      </c>
      <c r="J81" t="s">
        <v>172</v>
      </c>
      <c r="K81" t="s">
        <v>173</v>
      </c>
      <c r="L81" t="s">
        <v>58</v>
      </c>
      <c r="M81" t="s">
        <v>127</v>
      </c>
      <c r="N81" t="s">
        <v>108</v>
      </c>
      <c r="O81" t="s">
        <v>109</v>
      </c>
      <c r="P81" s="1">
        <v>42029</v>
      </c>
      <c r="Q81">
        <v>9.3000000000000007</v>
      </c>
      <c r="R81" t="s">
        <v>195</v>
      </c>
      <c r="S81" t="s">
        <v>63</v>
      </c>
      <c r="T81" t="s">
        <v>64</v>
      </c>
      <c r="U81">
        <v>0</v>
      </c>
      <c r="V81">
        <v>0</v>
      </c>
      <c r="W81">
        <v>4739</v>
      </c>
      <c r="X81">
        <v>1936</v>
      </c>
      <c r="Y81">
        <v>422</v>
      </c>
      <c r="Z81">
        <v>7097</v>
      </c>
      <c r="AA81">
        <v>573</v>
      </c>
      <c r="AB81" t="s">
        <v>65</v>
      </c>
      <c r="AC81">
        <v>13.4</v>
      </c>
      <c r="AD81">
        <v>25</v>
      </c>
      <c r="AE81">
        <v>52</v>
      </c>
      <c r="AF81" t="s">
        <v>66</v>
      </c>
      <c r="AG81">
        <v>35</v>
      </c>
      <c r="AH81" t="s">
        <v>67</v>
      </c>
      <c r="AI81" t="s">
        <v>152</v>
      </c>
      <c r="AJ81" t="s">
        <v>69</v>
      </c>
      <c r="AK81" t="s">
        <v>70</v>
      </c>
      <c r="AL81" t="s">
        <v>71</v>
      </c>
      <c r="AM81" t="s">
        <v>70</v>
      </c>
      <c r="AN81" t="s">
        <v>202</v>
      </c>
      <c r="AO81" t="s">
        <v>116</v>
      </c>
      <c r="AP81" t="s">
        <v>227</v>
      </c>
      <c r="AQ81" t="s">
        <v>136</v>
      </c>
      <c r="AR81" s="1">
        <v>42573</v>
      </c>
      <c r="AS81" t="s">
        <v>118</v>
      </c>
      <c r="AT81" t="s">
        <v>71</v>
      </c>
      <c r="AU81">
        <v>601</v>
      </c>
      <c r="AV81" t="s">
        <v>76</v>
      </c>
    </row>
    <row r="82" spans="1:48" x14ac:dyDescent="0.25">
      <c r="A82" t="s">
        <v>362</v>
      </c>
      <c r="B82" t="s">
        <v>308</v>
      </c>
      <c r="C82" t="s">
        <v>272</v>
      </c>
      <c r="D82" t="s">
        <v>51</v>
      </c>
      <c r="E82">
        <v>28</v>
      </c>
      <c r="F82" t="s">
        <v>52</v>
      </c>
      <c r="G82" t="s">
        <v>124</v>
      </c>
      <c r="H82" t="s">
        <v>125</v>
      </c>
      <c r="I82" t="s">
        <v>171</v>
      </c>
      <c r="J82" t="s">
        <v>172</v>
      </c>
      <c r="K82" t="s">
        <v>173</v>
      </c>
      <c r="L82" t="s">
        <v>58</v>
      </c>
      <c r="M82" t="s">
        <v>212</v>
      </c>
      <c r="N82" t="s">
        <v>88</v>
      </c>
      <c r="O82" t="s">
        <v>109</v>
      </c>
      <c r="P82" s="1">
        <v>40808</v>
      </c>
      <c r="Q82">
        <v>12.7</v>
      </c>
      <c r="R82" t="s">
        <v>75</v>
      </c>
      <c r="S82" t="s">
        <v>91</v>
      </c>
      <c r="T82" t="s">
        <v>92</v>
      </c>
      <c r="U82">
        <v>2</v>
      </c>
      <c r="V82">
        <v>0</v>
      </c>
      <c r="W82">
        <v>2730</v>
      </c>
      <c r="X82">
        <v>1539</v>
      </c>
      <c r="Y82">
        <v>422</v>
      </c>
      <c r="Z82">
        <v>4691</v>
      </c>
      <c r="AA82">
        <v>543</v>
      </c>
      <c r="AB82" t="s">
        <v>65</v>
      </c>
      <c r="AC82">
        <v>20.5</v>
      </c>
      <c r="AD82">
        <v>66</v>
      </c>
      <c r="AE82">
        <v>70</v>
      </c>
      <c r="AF82" t="s">
        <v>93</v>
      </c>
      <c r="AG82">
        <v>30</v>
      </c>
      <c r="AH82" t="s">
        <v>67</v>
      </c>
      <c r="AI82" t="s">
        <v>152</v>
      </c>
      <c r="AJ82" t="s">
        <v>96</v>
      </c>
      <c r="AK82" t="s">
        <v>70</v>
      </c>
      <c r="AL82" t="s">
        <v>70</v>
      </c>
      <c r="AM82" t="s">
        <v>70</v>
      </c>
      <c r="AN82" t="s">
        <v>72</v>
      </c>
      <c r="AO82" t="s">
        <v>97</v>
      </c>
      <c r="AP82" t="s">
        <v>72</v>
      </c>
      <c r="AQ82" t="s">
        <v>136</v>
      </c>
      <c r="AR82" s="1">
        <v>45485</v>
      </c>
      <c r="AS82" t="s">
        <v>118</v>
      </c>
      <c r="AT82" t="s">
        <v>71</v>
      </c>
      <c r="AU82">
        <v>322</v>
      </c>
      <c r="AV82" t="s">
        <v>76</v>
      </c>
    </row>
    <row r="83" spans="1:48" x14ac:dyDescent="0.25">
      <c r="A83" t="s">
        <v>363</v>
      </c>
      <c r="B83" t="s">
        <v>181</v>
      </c>
      <c r="C83" t="s">
        <v>121</v>
      </c>
      <c r="D83" t="s">
        <v>122</v>
      </c>
      <c r="E83">
        <v>32</v>
      </c>
      <c r="F83" t="s">
        <v>224</v>
      </c>
      <c r="G83" t="s">
        <v>156</v>
      </c>
      <c r="H83" t="s">
        <v>157</v>
      </c>
      <c r="I83" t="s">
        <v>83</v>
      </c>
      <c r="J83" t="s">
        <v>84</v>
      </c>
      <c r="K83" t="s">
        <v>85</v>
      </c>
      <c r="L83" t="s">
        <v>86</v>
      </c>
      <c r="M83" t="s">
        <v>59</v>
      </c>
      <c r="N83" t="s">
        <v>265</v>
      </c>
      <c r="O83" t="s">
        <v>109</v>
      </c>
      <c r="P83" s="1">
        <v>43070</v>
      </c>
      <c r="Q83">
        <v>6.5</v>
      </c>
      <c r="R83" t="s">
        <v>129</v>
      </c>
      <c r="S83" t="s">
        <v>196</v>
      </c>
      <c r="T83" t="s">
        <v>197</v>
      </c>
      <c r="U83">
        <v>0</v>
      </c>
      <c r="V83">
        <v>0</v>
      </c>
      <c r="W83">
        <v>4836</v>
      </c>
      <c r="X83">
        <v>1296</v>
      </c>
      <c r="Y83">
        <v>266</v>
      </c>
      <c r="Z83">
        <v>6398</v>
      </c>
      <c r="AA83">
        <v>491</v>
      </c>
      <c r="AB83" t="s">
        <v>65</v>
      </c>
      <c r="AC83">
        <v>15.7</v>
      </c>
      <c r="AD83">
        <v>72</v>
      </c>
      <c r="AE83">
        <v>80</v>
      </c>
      <c r="AF83" t="s">
        <v>112</v>
      </c>
      <c r="AG83">
        <v>19</v>
      </c>
      <c r="AH83" t="s">
        <v>113</v>
      </c>
      <c r="AI83" t="s">
        <v>177</v>
      </c>
      <c r="AJ83" t="s">
        <v>72</v>
      </c>
      <c r="AK83" t="s">
        <v>70</v>
      </c>
      <c r="AL83" t="s">
        <v>70</v>
      </c>
      <c r="AM83" t="s">
        <v>70</v>
      </c>
      <c r="AN83" t="s">
        <v>202</v>
      </c>
      <c r="AO83" t="s">
        <v>116</v>
      </c>
      <c r="AP83" t="s">
        <v>72</v>
      </c>
      <c r="AQ83" t="s">
        <v>98</v>
      </c>
      <c r="AR83" s="1">
        <v>45330</v>
      </c>
      <c r="AS83" t="s">
        <v>198</v>
      </c>
      <c r="AT83" t="s">
        <v>71</v>
      </c>
      <c r="AU83">
        <v>740</v>
      </c>
      <c r="AV83" t="s">
        <v>76</v>
      </c>
    </row>
    <row r="84" spans="1:48" x14ac:dyDescent="0.25">
      <c r="A84" t="s">
        <v>364</v>
      </c>
      <c r="B84" t="s">
        <v>210</v>
      </c>
      <c r="C84" t="s">
        <v>272</v>
      </c>
      <c r="D84" t="s">
        <v>51</v>
      </c>
      <c r="E84">
        <v>21</v>
      </c>
      <c r="F84" t="s">
        <v>316</v>
      </c>
      <c r="G84" t="s">
        <v>124</v>
      </c>
      <c r="H84" t="s">
        <v>125</v>
      </c>
      <c r="I84" t="s">
        <v>260</v>
      </c>
      <c r="J84" t="s">
        <v>261</v>
      </c>
      <c r="K84" t="s">
        <v>173</v>
      </c>
      <c r="L84" t="s">
        <v>126</v>
      </c>
      <c r="M84" t="s">
        <v>212</v>
      </c>
      <c r="N84" t="s">
        <v>60</v>
      </c>
      <c r="O84" t="s">
        <v>109</v>
      </c>
      <c r="P84" s="1">
        <v>43251</v>
      </c>
      <c r="Q84">
        <v>6</v>
      </c>
      <c r="R84" t="s">
        <v>62</v>
      </c>
      <c r="S84" t="s">
        <v>91</v>
      </c>
      <c r="T84" t="s">
        <v>92</v>
      </c>
      <c r="U84">
        <v>12</v>
      </c>
      <c r="V84">
        <v>2</v>
      </c>
      <c r="W84">
        <v>2730</v>
      </c>
      <c r="X84">
        <v>1894</v>
      </c>
      <c r="Y84">
        <v>422</v>
      </c>
      <c r="Z84">
        <v>5046</v>
      </c>
      <c r="AA84">
        <v>564</v>
      </c>
      <c r="AB84" t="s">
        <v>65</v>
      </c>
      <c r="AC84">
        <v>17.100000000000001</v>
      </c>
      <c r="AD84">
        <v>70</v>
      </c>
      <c r="AE84">
        <v>53</v>
      </c>
      <c r="AF84" t="s">
        <v>66</v>
      </c>
      <c r="AG84">
        <v>19</v>
      </c>
      <c r="AH84" t="s">
        <v>113</v>
      </c>
      <c r="AI84" t="s">
        <v>177</v>
      </c>
      <c r="AJ84" t="s">
        <v>72</v>
      </c>
      <c r="AK84" t="s">
        <v>70</v>
      </c>
      <c r="AL84" t="s">
        <v>70</v>
      </c>
      <c r="AM84" t="s">
        <v>70</v>
      </c>
      <c r="AN84" t="s">
        <v>72</v>
      </c>
      <c r="AO84" t="s">
        <v>72</v>
      </c>
      <c r="AP84" t="s">
        <v>72</v>
      </c>
      <c r="AQ84" t="s">
        <v>117</v>
      </c>
      <c r="AR84" s="1">
        <v>45225</v>
      </c>
      <c r="AS84" t="s">
        <v>75</v>
      </c>
      <c r="AT84" t="s">
        <v>71</v>
      </c>
      <c r="AU84">
        <v>1785</v>
      </c>
      <c r="AV84" t="s">
        <v>76</v>
      </c>
    </row>
    <row r="85" spans="1:48" x14ac:dyDescent="0.25">
      <c r="A85" t="s">
        <v>365</v>
      </c>
      <c r="B85" t="s">
        <v>282</v>
      </c>
      <c r="C85" t="s">
        <v>200</v>
      </c>
      <c r="D85" t="s">
        <v>51</v>
      </c>
      <c r="E85">
        <v>32</v>
      </c>
      <c r="F85" t="s">
        <v>278</v>
      </c>
      <c r="G85" t="s">
        <v>156</v>
      </c>
      <c r="H85" t="s">
        <v>157</v>
      </c>
      <c r="I85" t="s">
        <v>185</v>
      </c>
      <c r="J85" t="s">
        <v>186</v>
      </c>
      <c r="K85" t="s">
        <v>187</v>
      </c>
      <c r="L85" t="s">
        <v>106</v>
      </c>
      <c r="M85" t="s">
        <v>87</v>
      </c>
      <c r="N85" t="s">
        <v>265</v>
      </c>
      <c r="O85" t="s">
        <v>61</v>
      </c>
      <c r="P85" s="1">
        <v>39587</v>
      </c>
      <c r="Q85">
        <v>16</v>
      </c>
      <c r="R85" t="s">
        <v>208</v>
      </c>
      <c r="S85" t="s">
        <v>110</v>
      </c>
      <c r="T85" t="s">
        <v>111</v>
      </c>
      <c r="U85">
        <v>0</v>
      </c>
      <c r="V85">
        <v>0</v>
      </c>
      <c r="W85">
        <v>4836</v>
      </c>
      <c r="X85">
        <v>0</v>
      </c>
      <c r="Y85">
        <v>266</v>
      </c>
      <c r="Z85">
        <v>5102</v>
      </c>
      <c r="AA85">
        <v>349</v>
      </c>
      <c r="AB85" t="s">
        <v>151</v>
      </c>
      <c r="AC85">
        <v>15</v>
      </c>
      <c r="AD85">
        <v>78</v>
      </c>
      <c r="AE85">
        <v>35</v>
      </c>
      <c r="AF85" t="s">
        <v>93</v>
      </c>
      <c r="AG85">
        <v>27</v>
      </c>
      <c r="AH85" t="s">
        <v>113</v>
      </c>
      <c r="AI85" t="s">
        <v>68</v>
      </c>
      <c r="AJ85" t="s">
        <v>69</v>
      </c>
      <c r="AK85" t="s">
        <v>70</v>
      </c>
      <c r="AL85" t="s">
        <v>70</v>
      </c>
      <c r="AM85" t="s">
        <v>71</v>
      </c>
      <c r="AN85" t="s">
        <v>72</v>
      </c>
      <c r="AO85" t="s">
        <v>134</v>
      </c>
      <c r="AP85" t="s">
        <v>72</v>
      </c>
      <c r="AQ85" t="s">
        <v>98</v>
      </c>
      <c r="AR85" s="1">
        <v>45270</v>
      </c>
      <c r="AS85" t="s">
        <v>137</v>
      </c>
      <c r="AT85" t="s">
        <v>71</v>
      </c>
      <c r="AU85">
        <v>-29</v>
      </c>
      <c r="AV85" t="s">
        <v>179</v>
      </c>
    </row>
    <row r="86" spans="1:48" x14ac:dyDescent="0.25">
      <c r="A86" t="s">
        <v>366</v>
      </c>
      <c r="B86" t="s">
        <v>139</v>
      </c>
      <c r="C86" t="s">
        <v>360</v>
      </c>
      <c r="D86" t="s">
        <v>51</v>
      </c>
      <c r="E86">
        <v>31</v>
      </c>
      <c r="F86" t="s">
        <v>291</v>
      </c>
      <c r="G86" t="s">
        <v>81</v>
      </c>
      <c r="H86" t="s">
        <v>82</v>
      </c>
      <c r="I86" t="s">
        <v>158</v>
      </c>
      <c r="J86" t="s">
        <v>159</v>
      </c>
      <c r="K86" t="s">
        <v>160</v>
      </c>
      <c r="L86" t="s">
        <v>58</v>
      </c>
      <c r="M86" t="s">
        <v>59</v>
      </c>
      <c r="N86" t="s">
        <v>108</v>
      </c>
      <c r="O86" t="s">
        <v>61</v>
      </c>
      <c r="P86" s="1">
        <v>39782</v>
      </c>
      <c r="Q86">
        <v>15.5</v>
      </c>
      <c r="R86" t="s">
        <v>75</v>
      </c>
      <c r="S86" t="s">
        <v>63</v>
      </c>
      <c r="T86" t="s">
        <v>64</v>
      </c>
      <c r="U86">
        <v>0</v>
      </c>
      <c r="V86">
        <v>0</v>
      </c>
      <c r="W86">
        <v>2504</v>
      </c>
      <c r="X86">
        <v>1127</v>
      </c>
      <c r="Y86">
        <v>422</v>
      </c>
      <c r="Z86">
        <v>4053</v>
      </c>
      <c r="AA86">
        <v>408</v>
      </c>
      <c r="AB86" t="s">
        <v>65</v>
      </c>
      <c r="AC86">
        <v>17.3</v>
      </c>
      <c r="AD86">
        <v>81</v>
      </c>
      <c r="AE86">
        <v>59</v>
      </c>
      <c r="AF86" t="s">
        <v>132</v>
      </c>
      <c r="AG86">
        <v>36</v>
      </c>
      <c r="AH86" t="s">
        <v>94</v>
      </c>
      <c r="AI86" t="s">
        <v>177</v>
      </c>
      <c r="AJ86" t="s">
        <v>72</v>
      </c>
      <c r="AK86" t="s">
        <v>70</v>
      </c>
      <c r="AL86" t="s">
        <v>70</v>
      </c>
      <c r="AM86" t="s">
        <v>70</v>
      </c>
      <c r="AN86" t="s">
        <v>72</v>
      </c>
      <c r="AO86" t="s">
        <v>178</v>
      </c>
      <c r="AP86" t="s">
        <v>72</v>
      </c>
      <c r="AQ86" t="s">
        <v>74</v>
      </c>
      <c r="AR86" s="1">
        <v>45611</v>
      </c>
      <c r="AS86" t="s">
        <v>118</v>
      </c>
      <c r="AT86" t="s">
        <v>71</v>
      </c>
      <c r="AU86">
        <v>-244</v>
      </c>
      <c r="AV86" t="s">
        <v>179</v>
      </c>
    </row>
    <row r="87" spans="1:48" x14ac:dyDescent="0.25">
      <c r="A87" t="s">
        <v>367</v>
      </c>
      <c r="B87" t="s">
        <v>282</v>
      </c>
      <c r="C87" t="s">
        <v>264</v>
      </c>
      <c r="D87" t="s">
        <v>51</v>
      </c>
      <c r="E87">
        <v>25</v>
      </c>
      <c r="F87" t="s">
        <v>224</v>
      </c>
      <c r="G87" t="s">
        <v>215</v>
      </c>
      <c r="H87" t="s">
        <v>216</v>
      </c>
      <c r="I87" t="s">
        <v>55</v>
      </c>
      <c r="J87" t="s">
        <v>56</v>
      </c>
      <c r="K87" t="s">
        <v>57</v>
      </c>
      <c r="L87" t="s">
        <v>126</v>
      </c>
      <c r="M87" t="s">
        <v>127</v>
      </c>
      <c r="N87" t="s">
        <v>88</v>
      </c>
      <c r="O87" t="s">
        <v>109</v>
      </c>
      <c r="P87" s="1">
        <v>42676</v>
      </c>
      <c r="Q87">
        <v>7.6</v>
      </c>
      <c r="R87" t="s">
        <v>208</v>
      </c>
      <c r="S87" t="s">
        <v>219</v>
      </c>
      <c r="T87" t="s">
        <v>220</v>
      </c>
      <c r="U87">
        <v>0</v>
      </c>
      <c r="V87">
        <v>0</v>
      </c>
      <c r="W87">
        <v>3637</v>
      </c>
      <c r="X87">
        <v>1441</v>
      </c>
      <c r="Y87">
        <v>266</v>
      </c>
      <c r="Z87">
        <v>5344</v>
      </c>
      <c r="AA87">
        <v>468</v>
      </c>
      <c r="AB87" t="s">
        <v>65</v>
      </c>
      <c r="AC87">
        <v>17.7</v>
      </c>
      <c r="AD87">
        <v>57</v>
      </c>
      <c r="AE87">
        <v>37</v>
      </c>
      <c r="AF87" t="s">
        <v>112</v>
      </c>
      <c r="AG87">
        <v>30</v>
      </c>
      <c r="AH87" t="s">
        <v>67</v>
      </c>
      <c r="AI87" t="s">
        <v>177</v>
      </c>
      <c r="AJ87" t="s">
        <v>72</v>
      </c>
      <c r="AK87" t="s">
        <v>70</v>
      </c>
      <c r="AL87" t="s">
        <v>70</v>
      </c>
      <c r="AM87" t="s">
        <v>71</v>
      </c>
      <c r="AN87" t="s">
        <v>72</v>
      </c>
      <c r="AO87" t="s">
        <v>116</v>
      </c>
      <c r="AP87" t="s">
        <v>72</v>
      </c>
      <c r="AQ87" t="s">
        <v>117</v>
      </c>
      <c r="AR87" s="1">
        <v>42949</v>
      </c>
      <c r="AS87" t="s">
        <v>118</v>
      </c>
      <c r="AT87" t="s">
        <v>71</v>
      </c>
      <c r="AU87">
        <v>1592</v>
      </c>
      <c r="AV87" t="s">
        <v>76</v>
      </c>
    </row>
    <row r="88" spans="1:48" x14ac:dyDescent="0.25">
      <c r="A88" t="s">
        <v>368</v>
      </c>
      <c r="B88" t="s">
        <v>100</v>
      </c>
      <c r="C88" t="s">
        <v>369</v>
      </c>
      <c r="D88" t="s">
        <v>122</v>
      </c>
      <c r="E88">
        <v>34</v>
      </c>
      <c r="F88" t="s">
        <v>141</v>
      </c>
      <c r="G88" t="s">
        <v>124</v>
      </c>
      <c r="H88" t="s">
        <v>125</v>
      </c>
      <c r="I88" t="s">
        <v>225</v>
      </c>
      <c r="J88" t="s">
        <v>226</v>
      </c>
      <c r="K88" t="s">
        <v>105</v>
      </c>
      <c r="L88" t="s">
        <v>126</v>
      </c>
      <c r="M88" t="s">
        <v>212</v>
      </c>
      <c r="N88" t="s">
        <v>108</v>
      </c>
      <c r="O88" t="s">
        <v>109</v>
      </c>
      <c r="P88" s="1">
        <v>43559</v>
      </c>
      <c r="Q88">
        <v>5.2</v>
      </c>
      <c r="R88" t="s">
        <v>75</v>
      </c>
      <c r="S88" t="s">
        <v>63</v>
      </c>
      <c r="T88" t="s">
        <v>64</v>
      </c>
      <c r="U88">
        <v>0</v>
      </c>
      <c r="V88">
        <v>0</v>
      </c>
      <c r="W88">
        <v>2730</v>
      </c>
      <c r="X88">
        <v>0</v>
      </c>
      <c r="Y88">
        <v>422</v>
      </c>
      <c r="Z88">
        <v>3152</v>
      </c>
      <c r="AA88">
        <v>361</v>
      </c>
      <c r="AB88" t="s">
        <v>65</v>
      </c>
      <c r="AC88">
        <v>17.2</v>
      </c>
      <c r="AD88">
        <v>51</v>
      </c>
      <c r="AE88">
        <v>48</v>
      </c>
      <c r="AF88" t="s">
        <v>93</v>
      </c>
      <c r="AG88">
        <v>26</v>
      </c>
      <c r="AH88" t="s">
        <v>113</v>
      </c>
      <c r="AI88" t="s">
        <v>95</v>
      </c>
      <c r="AJ88" t="s">
        <v>188</v>
      </c>
      <c r="AK88" t="s">
        <v>70</v>
      </c>
      <c r="AL88" t="s">
        <v>70</v>
      </c>
      <c r="AM88" t="s">
        <v>70</v>
      </c>
      <c r="AN88" t="s">
        <v>231</v>
      </c>
      <c r="AO88" t="s">
        <v>287</v>
      </c>
      <c r="AP88" t="s">
        <v>221</v>
      </c>
      <c r="AQ88" t="s">
        <v>136</v>
      </c>
      <c r="AR88" s="1">
        <v>45467</v>
      </c>
      <c r="AS88" t="s">
        <v>198</v>
      </c>
      <c r="AT88" t="s">
        <v>71</v>
      </c>
      <c r="AU88">
        <v>185</v>
      </c>
      <c r="AV88" t="s">
        <v>76</v>
      </c>
    </row>
    <row r="89" spans="1:48" x14ac:dyDescent="0.25">
      <c r="A89" t="s">
        <v>370</v>
      </c>
      <c r="B89" t="s">
        <v>120</v>
      </c>
      <c r="C89" t="s">
        <v>50</v>
      </c>
      <c r="D89" t="s">
        <v>51</v>
      </c>
      <c r="E89">
        <v>41</v>
      </c>
      <c r="F89" t="s">
        <v>322</v>
      </c>
      <c r="G89" t="s">
        <v>142</v>
      </c>
      <c r="H89" t="s">
        <v>143</v>
      </c>
      <c r="I89" t="s">
        <v>268</v>
      </c>
      <c r="J89" t="s">
        <v>269</v>
      </c>
      <c r="K89" t="s">
        <v>173</v>
      </c>
      <c r="L89" t="s">
        <v>86</v>
      </c>
      <c r="M89" t="s">
        <v>107</v>
      </c>
      <c r="N89" t="s">
        <v>148</v>
      </c>
      <c r="O89" t="s">
        <v>176</v>
      </c>
      <c r="P89" s="1">
        <v>39730</v>
      </c>
      <c r="Q89">
        <v>15.6</v>
      </c>
      <c r="R89" t="s">
        <v>90</v>
      </c>
      <c r="S89" t="s">
        <v>196</v>
      </c>
      <c r="T89" t="s">
        <v>197</v>
      </c>
      <c r="U89">
        <v>0</v>
      </c>
      <c r="V89">
        <v>0</v>
      </c>
      <c r="W89">
        <v>5473</v>
      </c>
      <c r="X89">
        <v>1736</v>
      </c>
      <c r="Y89">
        <v>422</v>
      </c>
      <c r="Z89">
        <v>7631</v>
      </c>
      <c r="AA89">
        <v>348</v>
      </c>
      <c r="AB89" t="s">
        <v>151</v>
      </c>
      <c r="AC89">
        <v>17.2</v>
      </c>
      <c r="AD89">
        <v>27</v>
      </c>
      <c r="AE89">
        <v>66</v>
      </c>
      <c r="AF89" t="s">
        <v>112</v>
      </c>
      <c r="AG89">
        <v>40</v>
      </c>
      <c r="AH89" t="s">
        <v>94</v>
      </c>
      <c r="AI89" t="s">
        <v>68</v>
      </c>
      <c r="AJ89" t="s">
        <v>69</v>
      </c>
      <c r="AK89" t="s">
        <v>70</v>
      </c>
      <c r="AL89" t="s">
        <v>70</v>
      </c>
      <c r="AM89" t="s">
        <v>71</v>
      </c>
      <c r="AN89" t="s">
        <v>243</v>
      </c>
      <c r="AO89" t="s">
        <v>203</v>
      </c>
      <c r="AP89" t="s">
        <v>221</v>
      </c>
      <c r="AQ89" t="s">
        <v>136</v>
      </c>
      <c r="AR89" s="1">
        <v>40160</v>
      </c>
      <c r="AS89" t="s">
        <v>137</v>
      </c>
      <c r="AT89" t="s">
        <v>71</v>
      </c>
      <c r="AU89">
        <v>1298</v>
      </c>
      <c r="AV89" t="s">
        <v>76</v>
      </c>
    </row>
    <row r="90" spans="1:48" x14ac:dyDescent="0.25">
      <c r="A90" t="s">
        <v>371</v>
      </c>
      <c r="B90" t="s">
        <v>263</v>
      </c>
      <c r="C90" t="s">
        <v>182</v>
      </c>
      <c r="D90" t="s">
        <v>51</v>
      </c>
      <c r="E90">
        <v>45</v>
      </c>
      <c r="F90" t="s">
        <v>283</v>
      </c>
      <c r="G90" t="s">
        <v>301</v>
      </c>
      <c r="H90" t="s">
        <v>302</v>
      </c>
      <c r="I90" t="s">
        <v>144</v>
      </c>
      <c r="J90" t="s">
        <v>145</v>
      </c>
      <c r="K90" t="s">
        <v>146</v>
      </c>
      <c r="L90" t="s">
        <v>106</v>
      </c>
      <c r="M90" t="s">
        <v>87</v>
      </c>
      <c r="N90" t="s">
        <v>265</v>
      </c>
      <c r="O90" t="s">
        <v>109</v>
      </c>
      <c r="P90" s="1">
        <v>39712</v>
      </c>
      <c r="Q90">
        <v>15.7</v>
      </c>
      <c r="R90" t="s">
        <v>129</v>
      </c>
      <c r="S90" t="s">
        <v>63</v>
      </c>
      <c r="T90" t="s">
        <v>64</v>
      </c>
      <c r="U90">
        <v>0</v>
      </c>
      <c r="V90">
        <v>0</v>
      </c>
      <c r="W90">
        <v>4188</v>
      </c>
      <c r="X90">
        <v>0</v>
      </c>
      <c r="Y90">
        <v>266</v>
      </c>
      <c r="Z90">
        <v>4454</v>
      </c>
      <c r="AA90">
        <v>581</v>
      </c>
      <c r="AB90" t="s">
        <v>65</v>
      </c>
      <c r="AC90">
        <v>19.399999999999999</v>
      </c>
      <c r="AD90">
        <v>71</v>
      </c>
      <c r="AE90">
        <v>33</v>
      </c>
      <c r="AF90" t="s">
        <v>112</v>
      </c>
      <c r="AG90">
        <v>33</v>
      </c>
      <c r="AH90" t="s">
        <v>67</v>
      </c>
      <c r="AI90" t="s">
        <v>177</v>
      </c>
      <c r="AJ90" t="s">
        <v>96</v>
      </c>
      <c r="AK90" t="s">
        <v>70</v>
      </c>
      <c r="AL90" t="s">
        <v>70</v>
      </c>
      <c r="AM90" t="s">
        <v>70</v>
      </c>
      <c r="AN90" t="s">
        <v>231</v>
      </c>
      <c r="AO90" t="s">
        <v>134</v>
      </c>
      <c r="AP90" t="s">
        <v>178</v>
      </c>
      <c r="AQ90" t="s">
        <v>117</v>
      </c>
      <c r="AR90" s="1">
        <v>39933</v>
      </c>
      <c r="AS90" t="s">
        <v>118</v>
      </c>
      <c r="AT90" t="s">
        <v>71</v>
      </c>
      <c r="AU90">
        <v>635</v>
      </c>
      <c r="AV90" t="s">
        <v>76</v>
      </c>
    </row>
    <row r="91" spans="1:48" x14ac:dyDescent="0.25">
      <c r="A91" t="s">
        <v>372</v>
      </c>
      <c r="B91" t="s">
        <v>120</v>
      </c>
      <c r="C91" t="s">
        <v>233</v>
      </c>
      <c r="D91" t="s">
        <v>51</v>
      </c>
      <c r="E91">
        <v>45</v>
      </c>
      <c r="F91" t="s">
        <v>325</v>
      </c>
      <c r="G91" t="s">
        <v>124</v>
      </c>
      <c r="H91" t="s">
        <v>125</v>
      </c>
      <c r="I91" t="s">
        <v>260</v>
      </c>
      <c r="J91" t="s">
        <v>261</v>
      </c>
      <c r="K91" t="s">
        <v>173</v>
      </c>
      <c r="L91" t="s">
        <v>86</v>
      </c>
      <c r="M91" t="s">
        <v>107</v>
      </c>
      <c r="N91" t="s">
        <v>128</v>
      </c>
      <c r="O91" t="s">
        <v>109</v>
      </c>
      <c r="P91" s="1">
        <v>42362</v>
      </c>
      <c r="Q91">
        <v>8.4</v>
      </c>
      <c r="R91" t="s">
        <v>75</v>
      </c>
      <c r="S91" t="s">
        <v>130</v>
      </c>
      <c r="T91" t="s">
        <v>131</v>
      </c>
      <c r="U91">
        <v>8</v>
      </c>
      <c r="V91">
        <v>1</v>
      </c>
      <c r="W91">
        <v>2730</v>
      </c>
      <c r="X91">
        <v>2085</v>
      </c>
      <c r="Y91">
        <v>422</v>
      </c>
      <c r="Z91">
        <v>5237</v>
      </c>
      <c r="AA91">
        <v>337</v>
      </c>
      <c r="AB91" t="s">
        <v>151</v>
      </c>
      <c r="AC91">
        <v>15.7</v>
      </c>
      <c r="AD91">
        <v>24</v>
      </c>
      <c r="AE91">
        <v>70</v>
      </c>
      <c r="AF91" t="s">
        <v>132</v>
      </c>
      <c r="AG91">
        <v>32</v>
      </c>
      <c r="AH91" t="s">
        <v>67</v>
      </c>
      <c r="AI91" t="s">
        <v>95</v>
      </c>
      <c r="AJ91" t="s">
        <v>69</v>
      </c>
      <c r="AK91" t="s">
        <v>70</v>
      </c>
      <c r="AL91" t="s">
        <v>70</v>
      </c>
      <c r="AM91" t="s">
        <v>71</v>
      </c>
      <c r="AN91" t="s">
        <v>115</v>
      </c>
      <c r="AO91" t="s">
        <v>72</v>
      </c>
      <c r="AP91" t="s">
        <v>72</v>
      </c>
      <c r="AQ91" t="s">
        <v>117</v>
      </c>
      <c r="AR91" s="1">
        <v>43634</v>
      </c>
      <c r="AS91" t="s">
        <v>75</v>
      </c>
      <c r="AT91" t="s">
        <v>71</v>
      </c>
      <c r="AU91">
        <v>392</v>
      </c>
      <c r="AV91" t="s">
        <v>76</v>
      </c>
    </row>
    <row r="92" spans="1:48" x14ac:dyDescent="0.25">
      <c r="A92" t="s">
        <v>373</v>
      </c>
      <c r="B92" t="s">
        <v>263</v>
      </c>
      <c r="C92" t="s">
        <v>313</v>
      </c>
      <c r="D92" t="s">
        <v>122</v>
      </c>
      <c r="E92">
        <v>23</v>
      </c>
      <c r="F92" t="s">
        <v>80</v>
      </c>
      <c r="G92" t="s">
        <v>285</v>
      </c>
      <c r="H92" t="s">
        <v>286</v>
      </c>
      <c r="I92" t="s">
        <v>217</v>
      </c>
      <c r="J92" t="s">
        <v>218</v>
      </c>
      <c r="K92" t="s">
        <v>146</v>
      </c>
      <c r="L92" t="s">
        <v>86</v>
      </c>
      <c r="M92" t="s">
        <v>207</v>
      </c>
      <c r="N92" t="s">
        <v>88</v>
      </c>
      <c r="O92" t="s">
        <v>61</v>
      </c>
      <c r="P92" s="1">
        <v>43087</v>
      </c>
      <c r="Q92">
        <v>6.5</v>
      </c>
      <c r="R92" t="s">
        <v>75</v>
      </c>
      <c r="S92" t="s">
        <v>130</v>
      </c>
      <c r="T92" t="s">
        <v>131</v>
      </c>
      <c r="U92">
        <v>15</v>
      </c>
      <c r="V92">
        <v>2</v>
      </c>
      <c r="W92">
        <v>7668</v>
      </c>
      <c r="X92">
        <v>0</v>
      </c>
      <c r="Y92">
        <v>266</v>
      </c>
      <c r="Z92">
        <v>7934</v>
      </c>
      <c r="AA92">
        <v>525</v>
      </c>
      <c r="AB92" t="s">
        <v>65</v>
      </c>
      <c r="AC92">
        <v>12.9</v>
      </c>
      <c r="AD92">
        <v>60</v>
      </c>
      <c r="AE92">
        <v>80</v>
      </c>
      <c r="AF92" t="s">
        <v>66</v>
      </c>
      <c r="AG92">
        <v>19</v>
      </c>
      <c r="AH92" t="s">
        <v>113</v>
      </c>
      <c r="AI92" t="s">
        <v>177</v>
      </c>
      <c r="AJ92" t="s">
        <v>188</v>
      </c>
      <c r="AK92" t="s">
        <v>70</v>
      </c>
      <c r="AL92" t="s">
        <v>70</v>
      </c>
      <c r="AM92" t="s">
        <v>70</v>
      </c>
      <c r="AN92" t="s">
        <v>72</v>
      </c>
      <c r="AO92" t="s">
        <v>178</v>
      </c>
      <c r="AP92" t="s">
        <v>72</v>
      </c>
      <c r="AQ92" t="s">
        <v>136</v>
      </c>
      <c r="AR92" s="1">
        <v>44259</v>
      </c>
      <c r="AS92" t="s">
        <v>75</v>
      </c>
      <c r="AT92" t="s">
        <v>71</v>
      </c>
      <c r="AU92">
        <v>177</v>
      </c>
      <c r="AV92" t="s">
        <v>179</v>
      </c>
    </row>
    <row r="93" spans="1:48" x14ac:dyDescent="0.25">
      <c r="A93" t="s">
        <v>374</v>
      </c>
      <c r="B93" t="s">
        <v>139</v>
      </c>
      <c r="C93" t="s">
        <v>375</v>
      </c>
      <c r="D93" t="s">
        <v>51</v>
      </c>
      <c r="E93">
        <v>30</v>
      </c>
      <c r="F93" t="s">
        <v>325</v>
      </c>
      <c r="G93" t="s">
        <v>142</v>
      </c>
      <c r="H93" t="s">
        <v>143</v>
      </c>
      <c r="I93" t="s">
        <v>260</v>
      </c>
      <c r="J93" t="s">
        <v>261</v>
      </c>
      <c r="K93" t="s">
        <v>173</v>
      </c>
      <c r="L93" t="s">
        <v>106</v>
      </c>
      <c r="M93" t="s">
        <v>107</v>
      </c>
      <c r="N93" t="s">
        <v>162</v>
      </c>
      <c r="O93" t="s">
        <v>89</v>
      </c>
      <c r="P93" s="1">
        <v>44117</v>
      </c>
      <c r="Q93">
        <v>3.6</v>
      </c>
      <c r="R93" t="s">
        <v>129</v>
      </c>
      <c r="S93" t="s">
        <v>163</v>
      </c>
      <c r="T93" t="s">
        <v>164</v>
      </c>
      <c r="U93">
        <v>0</v>
      </c>
      <c r="V93">
        <v>0</v>
      </c>
      <c r="W93">
        <v>5473</v>
      </c>
      <c r="X93">
        <v>1237</v>
      </c>
      <c r="Y93">
        <v>422</v>
      </c>
      <c r="Z93">
        <v>7132</v>
      </c>
      <c r="AA93">
        <v>555</v>
      </c>
      <c r="AB93" t="s">
        <v>65</v>
      </c>
      <c r="AC93">
        <v>13.2</v>
      </c>
      <c r="AD93">
        <v>57</v>
      </c>
      <c r="AE93">
        <v>44</v>
      </c>
      <c r="AF93" t="s">
        <v>132</v>
      </c>
      <c r="AG93">
        <v>16</v>
      </c>
      <c r="AH93" t="s">
        <v>113</v>
      </c>
      <c r="AI93" t="s">
        <v>177</v>
      </c>
      <c r="AJ93" t="s">
        <v>188</v>
      </c>
      <c r="AK93" t="s">
        <v>70</v>
      </c>
      <c r="AL93" t="s">
        <v>71</v>
      </c>
      <c r="AM93" t="s">
        <v>70</v>
      </c>
      <c r="AN93" t="s">
        <v>72</v>
      </c>
      <c r="AO93" t="s">
        <v>135</v>
      </c>
      <c r="AP93" t="s">
        <v>97</v>
      </c>
      <c r="AQ93" t="s">
        <v>74</v>
      </c>
      <c r="AR93" s="1">
        <v>45635</v>
      </c>
      <c r="AS93" t="s">
        <v>137</v>
      </c>
      <c r="AT93" t="s">
        <v>71</v>
      </c>
      <c r="AU93">
        <v>725</v>
      </c>
      <c r="AV93" t="s">
        <v>76</v>
      </c>
    </row>
    <row r="94" spans="1:48" x14ac:dyDescent="0.25">
      <c r="A94" t="s">
        <v>376</v>
      </c>
      <c r="B94" t="s">
        <v>377</v>
      </c>
      <c r="C94" t="s">
        <v>375</v>
      </c>
      <c r="D94" t="s">
        <v>51</v>
      </c>
      <c r="E94">
        <v>43</v>
      </c>
      <c r="F94" t="s">
        <v>192</v>
      </c>
      <c r="G94" t="s">
        <v>124</v>
      </c>
      <c r="H94" t="s">
        <v>125</v>
      </c>
      <c r="I94" t="s">
        <v>171</v>
      </c>
      <c r="J94" t="s">
        <v>172</v>
      </c>
      <c r="K94" t="s">
        <v>173</v>
      </c>
      <c r="L94" t="s">
        <v>201</v>
      </c>
      <c r="M94" t="s">
        <v>87</v>
      </c>
      <c r="N94" t="s">
        <v>60</v>
      </c>
      <c r="O94" t="s">
        <v>61</v>
      </c>
      <c r="P94" s="1">
        <v>43677</v>
      </c>
      <c r="Q94">
        <v>4.8</v>
      </c>
      <c r="R94" t="s">
        <v>208</v>
      </c>
      <c r="S94" t="s">
        <v>130</v>
      </c>
      <c r="T94" t="s">
        <v>131</v>
      </c>
      <c r="U94">
        <v>14</v>
      </c>
      <c r="V94">
        <v>2</v>
      </c>
      <c r="W94">
        <v>2730</v>
      </c>
      <c r="X94">
        <v>0</v>
      </c>
      <c r="Y94">
        <v>422</v>
      </c>
      <c r="Z94">
        <v>3152</v>
      </c>
      <c r="AA94">
        <v>516</v>
      </c>
      <c r="AB94" t="s">
        <v>65</v>
      </c>
      <c r="AC94">
        <v>17.8</v>
      </c>
      <c r="AD94">
        <v>29</v>
      </c>
      <c r="AE94">
        <v>56</v>
      </c>
      <c r="AF94" t="s">
        <v>93</v>
      </c>
      <c r="AG94">
        <v>18</v>
      </c>
      <c r="AH94" t="s">
        <v>113</v>
      </c>
      <c r="AI94" t="s">
        <v>114</v>
      </c>
      <c r="AJ94" t="s">
        <v>69</v>
      </c>
      <c r="AK94" t="s">
        <v>70</v>
      </c>
      <c r="AL94" t="s">
        <v>70</v>
      </c>
      <c r="AM94" t="s">
        <v>70</v>
      </c>
      <c r="AN94" t="s">
        <v>202</v>
      </c>
      <c r="AO94" t="s">
        <v>97</v>
      </c>
      <c r="AP94" t="s">
        <v>72</v>
      </c>
      <c r="AQ94" t="s">
        <v>136</v>
      </c>
      <c r="AR94" s="1">
        <v>44633</v>
      </c>
      <c r="AS94" t="s">
        <v>75</v>
      </c>
      <c r="AT94" t="s">
        <v>71</v>
      </c>
      <c r="AU94">
        <v>-391</v>
      </c>
      <c r="AV94" t="s">
        <v>179</v>
      </c>
    </row>
    <row r="95" spans="1:48" x14ac:dyDescent="0.25">
      <c r="A95" t="s">
        <v>378</v>
      </c>
      <c r="B95" t="s">
        <v>190</v>
      </c>
      <c r="C95" t="s">
        <v>155</v>
      </c>
      <c r="D95" t="s">
        <v>51</v>
      </c>
      <c r="E95">
        <v>42</v>
      </c>
      <c r="F95" t="s">
        <v>141</v>
      </c>
      <c r="G95" t="s">
        <v>169</v>
      </c>
      <c r="H95" t="s">
        <v>170</v>
      </c>
      <c r="I95" t="s">
        <v>260</v>
      </c>
      <c r="J95" t="s">
        <v>261</v>
      </c>
      <c r="K95" t="s">
        <v>173</v>
      </c>
      <c r="L95" t="s">
        <v>126</v>
      </c>
      <c r="M95" t="s">
        <v>207</v>
      </c>
      <c r="N95" t="s">
        <v>265</v>
      </c>
      <c r="O95" t="s">
        <v>89</v>
      </c>
      <c r="P95" s="1">
        <v>44773</v>
      </c>
      <c r="Q95">
        <v>1.8</v>
      </c>
      <c r="R95" t="s">
        <v>75</v>
      </c>
      <c r="S95" t="s">
        <v>196</v>
      </c>
      <c r="T95" t="s">
        <v>197</v>
      </c>
      <c r="U95">
        <v>0</v>
      </c>
      <c r="V95">
        <v>0</v>
      </c>
      <c r="W95">
        <v>3294</v>
      </c>
      <c r="X95">
        <v>1290</v>
      </c>
      <c r="Y95">
        <v>422</v>
      </c>
      <c r="Z95">
        <v>5006</v>
      </c>
      <c r="AA95">
        <v>594</v>
      </c>
      <c r="AB95" t="s">
        <v>65</v>
      </c>
      <c r="AC95">
        <v>15.8</v>
      </c>
      <c r="AD95">
        <v>35</v>
      </c>
      <c r="AE95">
        <v>61</v>
      </c>
      <c r="AF95" t="s">
        <v>66</v>
      </c>
      <c r="AG95">
        <v>32</v>
      </c>
      <c r="AH95" t="s">
        <v>67</v>
      </c>
      <c r="AI95" t="s">
        <v>177</v>
      </c>
      <c r="AJ95" t="s">
        <v>69</v>
      </c>
      <c r="AK95" t="s">
        <v>70</v>
      </c>
      <c r="AL95" t="s">
        <v>70</v>
      </c>
      <c r="AM95" t="s">
        <v>70</v>
      </c>
      <c r="AN95" t="s">
        <v>270</v>
      </c>
      <c r="AO95" t="s">
        <v>135</v>
      </c>
      <c r="AP95" t="s">
        <v>221</v>
      </c>
      <c r="AQ95" t="s">
        <v>98</v>
      </c>
      <c r="AR95" s="1">
        <v>45098</v>
      </c>
      <c r="AS95" t="s">
        <v>137</v>
      </c>
      <c r="AT95" t="s">
        <v>70</v>
      </c>
      <c r="AU95">
        <v>383</v>
      </c>
      <c r="AV95" t="s">
        <v>76</v>
      </c>
    </row>
    <row r="96" spans="1:48" x14ac:dyDescent="0.25">
      <c r="A96" t="s">
        <v>379</v>
      </c>
      <c r="B96" t="s">
        <v>78</v>
      </c>
      <c r="C96" t="s">
        <v>191</v>
      </c>
      <c r="D96" t="s">
        <v>51</v>
      </c>
      <c r="E96">
        <v>38</v>
      </c>
      <c r="F96" t="s">
        <v>325</v>
      </c>
      <c r="G96" t="s">
        <v>142</v>
      </c>
      <c r="H96" t="s">
        <v>143</v>
      </c>
      <c r="I96" t="s">
        <v>158</v>
      </c>
      <c r="J96" t="s">
        <v>159</v>
      </c>
      <c r="K96" t="s">
        <v>160</v>
      </c>
      <c r="L96" t="s">
        <v>106</v>
      </c>
      <c r="M96" t="s">
        <v>147</v>
      </c>
      <c r="N96" t="s">
        <v>128</v>
      </c>
      <c r="O96" t="s">
        <v>109</v>
      </c>
      <c r="P96" s="1">
        <v>41822</v>
      </c>
      <c r="Q96">
        <v>9.9</v>
      </c>
      <c r="R96" t="s">
        <v>90</v>
      </c>
      <c r="S96" t="s">
        <v>219</v>
      </c>
      <c r="T96" t="s">
        <v>220</v>
      </c>
      <c r="U96">
        <v>0</v>
      </c>
      <c r="V96">
        <v>0</v>
      </c>
      <c r="W96">
        <v>5473</v>
      </c>
      <c r="X96">
        <v>0</v>
      </c>
      <c r="Y96">
        <v>422</v>
      </c>
      <c r="Z96">
        <v>5895</v>
      </c>
      <c r="AA96">
        <v>368</v>
      </c>
      <c r="AB96" t="s">
        <v>65</v>
      </c>
      <c r="AC96">
        <v>17.899999999999999</v>
      </c>
      <c r="AD96">
        <v>54</v>
      </c>
      <c r="AE96">
        <v>69</v>
      </c>
      <c r="AF96" t="s">
        <v>112</v>
      </c>
      <c r="AG96">
        <v>18</v>
      </c>
      <c r="AH96" t="s">
        <v>113</v>
      </c>
      <c r="AI96" t="s">
        <v>68</v>
      </c>
      <c r="AJ96" t="s">
        <v>188</v>
      </c>
      <c r="AK96" t="s">
        <v>70</v>
      </c>
      <c r="AL96" t="s">
        <v>70</v>
      </c>
      <c r="AM96" t="s">
        <v>70</v>
      </c>
      <c r="AN96" t="s">
        <v>202</v>
      </c>
      <c r="AO96" t="s">
        <v>134</v>
      </c>
      <c r="AP96" t="s">
        <v>72</v>
      </c>
      <c r="AQ96" t="s">
        <v>98</v>
      </c>
      <c r="AR96" s="1">
        <v>41877</v>
      </c>
      <c r="AS96" t="s">
        <v>198</v>
      </c>
      <c r="AT96" t="s">
        <v>71</v>
      </c>
      <c r="AU96">
        <v>501</v>
      </c>
      <c r="AV96" t="s">
        <v>76</v>
      </c>
    </row>
    <row r="97" spans="1:48" x14ac:dyDescent="0.25">
      <c r="A97" t="s">
        <v>380</v>
      </c>
      <c r="B97" t="s">
        <v>277</v>
      </c>
      <c r="C97" t="s">
        <v>257</v>
      </c>
      <c r="D97" t="s">
        <v>51</v>
      </c>
      <c r="E97">
        <v>26</v>
      </c>
      <c r="F97" t="s">
        <v>283</v>
      </c>
      <c r="G97" t="s">
        <v>279</v>
      </c>
      <c r="H97" t="s">
        <v>280</v>
      </c>
      <c r="I97" t="s">
        <v>225</v>
      </c>
      <c r="J97" t="s">
        <v>226</v>
      </c>
      <c r="K97" t="s">
        <v>105</v>
      </c>
      <c r="L97" t="s">
        <v>201</v>
      </c>
      <c r="M97" t="s">
        <v>296</v>
      </c>
      <c r="N97" t="s">
        <v>88</v>
      </c>
      <c r="O97" t="s">
        <v>149</v>
      </c>
      <c r="P97" s="1">
        <v>39331</v>
      </c>
      <c r="Q97">
        <v>16.7</v>
      </c>
      <c r="R97" t="s">
        <v>129</v>
      </c>
      <c r="S97" t="s">
        <v>163</v>
      </c>
      <c r="T97" t="s">
        <v>164</v>
      </c>
      <c r="U97">
        <v>4</v>
      </c>
      <c r="V97">
        <v>0</v>
      </c>
      <c r="W97">
        <v>6618</v>
      </c>
      <c r="X97">
        <v>0</v>
      </c>
      <c r="Y97">
        <v>266</v>
      </c>
      <c r="Z97">
        <v>6884</v>
      </c>
      <c r="AA97">
        <v>554</v>
      </c>
      <c r="AB97" t="s">
        <v>65</v>
      </c>
      <c r="AC97">
        <v>16.7</v>
      </c>
      <c r="AD97">
        <v>42</v>
      </c>
      <c r="AE97">
        <v>63</v>
      </c>
      <c r="AF97" t="s">
        <v>112</v>
      </c>
      <c r="AG97">
        <v>21</v>
      </c>
      <c r="AH97" t="s">
        <v>113</v>
      </c>
      <c r="AI97" t="s">
        <v>177</v>
      </c>
      <c r="AJ97" t="s">
        <v>72</v>
      </c>
      <c r="AK97" t="s">
        <v>71</v>
      </c>
      <c r="AL97" t="s">
        <v>70</v>
      </c>
      <c r="AM97" t="s">
        <v>70</v>
      </c>
      <c r="AN97" t="s">
        <v>115</v>
      </c>
      <c r="AO97" t="s">
        <v>221</v>
      </c>
      <c r="AP97" t="s">
        <v>72</v>
      </c>
      <c r="AQ97" t="s">
        <v>117</v>
      </c>
      <c r="AR97" s="1">
        <v>44223</v>
      </c>
      <c r="AS97" t="s">
        <v>75</v>
      </c>
      <c r="AT97" t="s">
        <v>71</v>
      </c>
      <c r="AU97">
        <v>-185</v>
      </c>
      <c r="AV97" t="s">
        <v>179</v>
      </c>
    </row>
    <row r="98" spans="1:48" x14ac:dyDescent="0.25">
      <c r="A98" t="s">
        <v>381</v>
      </c>
      <c r="B98" t="s">
        <v>190</v>
      </c>
      <c r="C98" t="s">
        <v>230</v>
      </c>
      <c r="D98" t="s">
        <v>122</v>
      </c>
      <c r="E98">
        <v>25</v>
      </c>
      <c r="F98" t="s">
        <v>382</v>
      </c>
      <c r="G98" t="s">
        <v>301</v>
      </c>
      <c r="H98" t="s">
        <v>302</v>
      </c>
      <c r="I98" t="s">
        <v>268</v>
      </c>
      <c r="J98" t="s">
        <v>269</v>
      </c>
      <c r="K98" t="s">
        <v>173</v>
      </c>
      <c r="L98" t="s">
        <v>126</v>
      </c>
      <c r="M98" t="s">
        <v>87</v>
      </c>
      <c r="N98" t="s">
        <v>108</v>
      </c>
      <c r="O98" t="s">
        <v>176</v>
      </c>
      <c r="P98" s="1">
        <v>39641</v>
      </c>
      <c r="Q98">
        <v>15.9</v>
      </c>
      <c r="R98" t="s">
        <v>62</v>
      </c>
      <c r="S98" t="s">
        <v>110</v>
      </c>
      <c r="T98" t="s">
        <v>111</v>
      </c>
      <c r="U98">
        <v>3</v>
      </c>
      <c r="V98">
        <v>0</v>
      </c>
      <c r="W98">
        <v>4188</v>
      </c>
      <c r="X98">
        <v>0</v>
      </c>
      <c r="Y98">
        <v>266</v>
      </c>
      <c r="Z98">
        <v>4454</v>
      </c>
      <c r="AA98">
        <v>312</v>
      </c>
      <c r="AB98" t="s">
        <v>151</v>
      </c>
      <c r="AC98">
        <v>14.4</v>
      </c>
      <c r="AD98">
        <v>52</v>
      </c>
      <c r="AE98">
        <v>30</v>
      </c>
      <c r="AF98" t="s">
        <v>66</v>
      </c>
      <c r="AG98">
        <v>23</v>
      </c>
      <c r="AH98" t="s">
        <v>113</v>
      </c>
      <c r="AI98" t="s">
        <v>114</v>
      </c>
      <c r="AJ98" t="s">
        <v>188</v>
      </c>
      <c r="AK98" t="s">
        <v>71</v>
      </c>
      <c r="AL98" t="s">
        <v>70</v>
      </c>
      <c r="AM98" t="s">
        <v>70</v>
      </c>
      <c r="AN98" t="s">
        <v>243</v>
      </c>
      <c r="AO98" t="s">
        <v>135</v>
      </c>
      <c r="AP98" t="s">
        <v>72</v>
      </c>
      <c r="AQ98" t="s">
        <v>74</v>
      </c>
      <c r="AR98" s="1">
        <v>41670</v>
      </c>
      <c r="AS98" t="s">
        <v>198</v>
      </c>
      <c r="AT98" t="s">
        <v>71</v>
      </c>
      <c r="AU98">
        <v>-181</v>
      </c>
      <c r="AV98" t="s">
        <v>179</v>
      </c>
    </row>
    <row r="99" spans="1:48" x14ac:dyDescent="0.25">
      <c r="A99" t="s">
        <v>383</v>
      </c>
      <c r="B99" t="s">
        <v>190</v>
      </c>
      <c r="C99" t="s">
        <v>140</v>
      </c>
      <c r="D99" t="s">
        <v>51</v>
      </c>
      <c r="E99">
        <v>42</v>
      </c>
      <c r="F99" t="s">
        <v>322</v>
      </c>
      <c r="G99" t="s">
        <v>298</v>
      </c>
      <c r="H99" t="s">
        <v>299</v>
      </c>
      <c r="I99" t="s">
        <v>273</v>
      </c>
      <c r="J99" t="s">
        <v>274</v>
      </c>
      <c r="K99" t="s">
        <v>57</v>
      </c>
      <c r="L99" t="s">
        <v>58</v>
      </c>
      <c r="M99" t="s">
        <v>147</v>
      </c>
      <c r="N99" t="s">
        <v>60</v>
      </c>
      <c r="O99" t="s">
        <v>109</v>
      </c>
      <c r="P99" s="1">
        <v>38917</v>
      </c>
      <c r="Q99">
        <v>17.899999999999999</v>
      </c>
      <c r="R99" t="s">
        <v>75</v>
      </c>
      <c r="S99" t="s">
        <v>91</v>
      </c>
      <c r="T99" t="s">
        <v>92</v>
      </c>
      <c r="U99">
        <v>9</v>
      </c>
      <c r="V99">
        <v>1</v>
      </c>
      <c r="W99">
        <v>2149</v>
      </c>
      <c r="X99">
        <v>1436</v>
      </c>
      <c r="Y99">
        <v>422</v>
      </c>
      <c r="Z99">
        <v>4007</v>
      </c>
      <c r="AA99">
        <v>478</v>
      </c>
      <c r="AB99" t="s">
        <v>65</v>
      </c>
      <c r="AC99">
        <v>13.2</v>
      </c>
      <c r="AD99">
        <v>49</v>
      </c>
      <c r="AE99">
        <v>30</v>
      </c>
      <c r="AF99" t="s">
        <v>93</v>
      </c>
      <c r="AG99">
        <v>25</v>
      </c>
      <c r="AH99" t="s">
        <v>113</v>
      </c>
      <c r="AI99" t="s">
        <v>114</v>
      </c>
      <c r="AJ99" t="s">
        <v>96</v>
      </c>
      <c r="AK99" t="s">
        <v>70</v>
      </c>
      <c r="AL99" t="s">
        <v>71</v>
      </c>
      <c r="AM99" t="s">
        <v>70</v>
      </c>
      <c r="AN99" t="s">
        <v>270</v>
      </c>
      <c r="AO99" t="s">
        <v>116</v>
      </c>
      <c r="AP99" t="s">
        <v>72</v>
      </c>
      <c r="AQ99" t="s">
        <v>98</v>
      </c>
      <c r="AR99" s="1">
        <v>40626</v>
      </c>
      <c r="AS99" t="s">
        <v>137</v>
      </c>
      <c r="AT99" t="s">
        <v>71</v>
      </c>
      <c r="AU99">
        <v>1718</v>
      </c>
      <c r="AV99" t="s">
        <v>76</v>
      </c>
    </row>
    <row r="100" spans="1:48" x14ac:dyDescent="0.25">
      <c r="A100" t="s">
        <v>384</v>
      </c>
      <c r="B100" t="s">
        <v>267</v>
      </c>
      <c r="C100" t="s">
        <v>50</v>
      </c>
      <c r="D100" t="s">
        <v>51</v>
      </c>
      <c r="E100">
        <v>36</v>
      </c>
      <c r="F100" t="s">
        <v>311</v>
      </c>
      <c r="G100" t="s">
        <v>234</v>
      </c>
      <c r="H100" t="s">
        <v>235</v>
      </c>
      <c r="I100" t="s">
        <v>292</v>
      </c>
      <c r="J100" t="s">
        <v>293</v>
      </c>
      <c r="K100" t="s">
        <v>294</v>
      </c>
      <c r="L100" t="s">
        <v>106</v>
      </c>
      <c r="M100" t="s">
        <v>212</v>
      </c>
      <c r="N100" t="s">
        <v>128</v>
      </c>
      <c r="O100" t="s">
        <v>176</v>
      </c>
      <c r="P100" s="1">
        <v>39204</v>
      </c>
      <c r="Q100">
        <v>17.100000000000001</v>
      </c>
      <c r="R100" t="s">
        <v>129</v>
      </c>
      <c r="S100" t="s">
        <v>130</v>
      </c>
      <c r="T100" t="s">
        <v>131</v>
      </c>
      <c r="U100">
        <v>7</v>
      </c>
      <c r="V100">
        <v>1</v>
      </c>
      <c r="W100">
        <v>1917</v>
      </c>
      <c r="X100">
        <v>1659</v>
      </c>
      <c r="Y100">
        <v>422</v>
      </c>
      <c r="Z100">
        <v>3998</v>
      </c>
      <c r="AA100">
        <v>433</v>
      </c>
      <c r="AB100" t="s">
        <v>65</v>
      </c>
      <c r="AC100">
        <v>20.7</v>
      </c>
      <c r="AD100">
        <v>82</v>
      </c>
      <c r="AE100">
        <v>39</v>
      </c>
      <c r="AF100" t="s">
        <v>66</v>
      </c>
      <c r="AG100">
        <v>17</v>
      </c>
      <c r="AH100" t="s">
        <v>113</v>
      </c>
      <c r="AI100" t="s">
        <v>152</v>
      </c>
      <c r="AJ100" t="s">
        <v>96</v>
      </c>
      <c r="AK100" t="s">
        <v>70</v>
      </c>
      <c r="AL100" t="s">
        <v>70</v>
      </c>
      <c r="AM100" t="s">
        <v>71</v>
      </c>
      <c r="AN100" t="s">
        <v>231</v>
      </c>
      <c r="AO100" t="s">
        <v>73</v>
      </c>
      <c r="AP100" t="s">
        <v>203</v>
      </c>
      <c r="AQ100" t="s">
        <v>74</v>
      </c>
      <c r="AR100" s="1">
        <v>39696</v>
      </c>
      <c r="AS100" t="s">
        <v>118</v>
      </c>
      <c r="AT100" t="s">
        <v>71</v>
      </c>
      <c r="AU100">
        <v>-245</v>
      </c>
      <c r="AV100" t="s">
        <v>179</v>
      </c>
    </row>
    <row r="101" spans="1:48" x14ac:dyDescent="0.25">
      <c r="A101" t="s">
        <v>385</v>
      </c>
      <c r="B101" t="s">
        <v>377</v>
      </c>
      <c r="C101" t="s">
        <v>240</v>
      </c>
      <c r="D101" t="s">
        <v>122</v>
      </c>
      <c r="E101">
        <v>21</v>
      </c>
      <c r="F101" t="s">
        <v>168</v>
      </c>
      <c r="G101" t="s">
        <v>53</v>
      </c>
      <c r="H101" t="s">
        <v>54</v>
      </c>
      <c r="I101" t="s">
        <v>217</v>
      </c>
      <c r="J101" t="s">
        <v>218</v>
      </c>
      <c r="K101" t="s">
        <v>146</v>
      </c>
      <c r="L101" t="s">
        <v>86</v>
      </c>
      <c r="M101" t="s">
        <v>161</v>
      </c>
      <c r="N101" t="s">
        <v>128</v>
      </c>
      <c r="O101" t="s">
        <v>109</v>
      </c>
      <c r="P101" s="1">
        <v>44093</v>
      </c>
      <c r="Q101">
        <v>3.7</v>
      </c>
      <c r="R101" t="s">
        <v>62</v>
      </c>
      <c r="S101" t="s">
        <v>196</v>
      </c>
      <c r="T101" t="s">
        <v>197</v>
      </c>
      <c r="U101">
        <v>0</v>
      </c>
      <c r="V101">
        <v>0</v>
      </c>
      <c r="W101">
        <v>4739</v>
      </c>
      <c r="X101">
        <v>1468</v>
      </c>
      <c r="Y101">
        <v>422</v>
      </c>
      <c r="Z101">
        <v>6629</v>
      </c>
      <c r="AA101">
        <v>393</v>
      </c>
      <c r="AB101" t="s">
        <v>65</v>
      </c>
      <c r="AC101">
        <v>16.3</v>
      </c>
      <c r="AD101">
        <v>34</v>
      </c>
      <c r="AE101">
        <v>34</v>
      </c>
      <c r="AF101" t="s">
        <v>93</v>
      </c>
      <c r="AG101">
        <v>40</v>
      </c>
      <c r="AH101" t="s">
        <v>94</v>
      </c>
      <c r="AI101" t="s">
        <v>68</v>
      </c>
      <c r="AJ101" t="s">
        <v>69</v>
      </c>
      <c r="AK101" t="s">
        <v>70</v>
      </c>
      <c r="AL101" t="s">
        <v>70</v>
      </c>
      <c r="AM101" t="s">
        <v>70</v>
      </c>
      <c r="AN101" t="s">
        <v>231</v>
      </c>
      <c r="AO101" t="s">
        <v>72</v>
      </c>
      <c r="AP101" t="s">
        <v>178</v>
      </c>
      <c r="AQ101" t="s">
        <v>136</v>
      </c>
      <c r="AR101" s="1">
        <v>44373</v>
      </c>
      <c r="AS101" t="s">
        <v>118</v>
      </c>
      <c r="AT101" t="s">
        <v>71</v>
      </c>
      <c r="AU101">
        <v>-9</v>
      </c>
      <c r="AV101" t="s">
        <v>179</v>
      </c>
    </row>
    <row r="102" spans="1:48" x14ac:dyDescent="0.25">
      <c r="A102" t="s">
        <v>386</v>
      </c>
      <c r="B102" t="s">
        <v>210</v>
      </c>
      <c r="C102" t="s">
        <v>264</v>
      </c>
      <c r="D102" t="s">
        <v>51</v>
      </c>
      <c r="E102">
        <v>25</v>
      </c>
      <c r="F102" t="s">
        <v>311</v>
      </c>
      <c r="G102" t="s">
        <v>142</v>
      </c>
      <c r="H102" t="s">
        <v>143</v>
      </c>
      <c r="I102" t="s">
        <v>144</v>
      </c>
      <c r="J102" t="s">
        <v>145</v>
      </c>
      <c r="K102" t="s">
        <v>146</v>
      </c>
      <c r="L102" t="s">
        <v>106</v>
      </c>
      <c r="M102" t="s">
        <v>59</v>
      </c>
      <c r="N102" t="s">
        <v>148</v>
      </c>
      <c r="O102" t="s">
        <v>89</v>
      </c>
      <c r="P102" s="1">
        <v>40114</v>
      </c>
      <c r="Q102">
        <v>14.6</v>
      </c>
      <c r="R102" t="s">
        <v>150</v>
      </c>
      <c r="S102" t="s">
        <v>196</v>
      </c>
      <c r="T102" t="s">
        <v>197</v>
      </c>
      <c r="U102">
        <v>0</v>
      </c>
      <c r="V102">
        <v>0</v>
      </c>
      <c r="W102">
        <v>5473</v>
      </c>
      <c r="X102">
        <v>0</v>
      </c>
      <c r="Y102">
        <v>422</v>
      </c>
      <c r="Z102">
        <v>5895</v>
      </c>
      <c r="AA102">
        <v>492</v>
      </c>
      <c r="AB102" t="s">
        <v>65</v>
      </c>
      <c r="AC102">
        <v>13.3</v>
      </c>
      <c r="AD102">
        <v>35</v>
      </c>
      <c r="AE102">
        <v>52</v>
      </c>
      <c r="AF102" t="s">
        <v>66</v>
      </c>
      <c r="AG102">
        <v>37</v>
      </c>
      <c r="AH102" t="s">
        <v>94</v>
      </c>
      <c r="AI102" t="s">
        <v>95</v>
      </c>
      <c r="AJ102" t="s">
        <v>69</v>
      </c>
      <c r="AK102" t="s">
        <v>70</v>
      </c>
      <c r="AL102" t="s">
        <v>70</v>
      </c>
      <c r="AM102" t="s">
        <v>70</v>
      </c>
      <c r="AN102" t="s">
        <v>202</v>
      </c>
      <c r="AO102" t="s">
        <v>134</v>
      </c>
      <c r="AP102" t="s">
        <v>72</v>
      </c>
      <c r="AQ102" t="s">
        <v>98</v>
      </c>
      <c r="AR102" s="1">
        <v>40808</v>
      </c>
      <c r="AS102" t="s">
        <v>137</v>
      </c>
      <c r="AT102" t="s">
        <v>71</v>
      </c>
      <c r="AU102">
        <v>-452</v>
      </c>
      <c r="AV102" t="s">
        <v>179</v>
      </c>
    </row>
    <row r="103" spans="1:48" x14ac:dyDescent="0.25">
      <c r="A103" t="s">
        <v>387</v>
      </c>
      <c r="B103" t="s">
        <v>377</v>
      </c>
      <c r="C103" t="s">
        <v>182</v>
      </c>
      <c r="D103" t="s">
        <v>51</v>
      </c>
      <c r="E103">
        <v>44</v>
      </c>
      <c r="F103" t="s">
        <v>291</v>
      </c>
      <c r="G103" t="s">
        <v>169</v>
      </c>
      <c r="H103" t="s">
        <v>170</v>
      </c>
      <c r="I103" t="s">
        <v>144</v>
      </c>
      <c r="J103" t="s">
        <v>145</v>
      </c>
      <c r="K103" t="s">
        <v>146</v>
      </c>
      <c r="L103" t="s">
        <v>126</v>
      </c>
      <c r="M103" t="s">
        <v>161</v>
      </c>
      <c r="N103" t="s">
        <v>265</v>
      </c>
      <c r="O103" t="s">
        <v>89</v>
      </c>
      <c r="P103" s="1">
        <v>43123</v>
      </c>
      <c r="Q103">
        <v>6.4</v>
      </c>
      <c r="R103" t="s">
        <v>75</v>
      </c>
      <c r="S103" t="s">
        <v>63</v>
      </c>
      <c r="T103" t="s">
        <v>64</v>
      </c>
      <c r="U103">
        <v>0</v>
      </c>
      <c r="V103">
        <v>0</v>
      </c>
      <c r="W103">
        <v>3294</v>
      </c>
      <c r="X103">
        <v>0</v>
      </c>
      <c r="Y103">
        <v>422</v>
      </c>
      <c r="Z103">
        <v>3716</v>
      </c>
      <c r="AA103">
        <v>517</v>
      </c>
      <c r="AB103" t="s">
        <v>65</v>
      </c>
      <c r="AC103">
        <v>12.7</v>
      </c>
      <c r="AD103">
        <v>24</v>
      </c>
      <c r="AE103">
        <v>42</v>
      </c>
      <c r="AF103" t="s">
        <v>93</v>
      </c>
      <c r="AG103">
        <v>18</v>
      </c>
      <c r="AH103" t="s">
        <v>113</v>
      </c>
      <c r="AI103" t="s">
        <v>95</v>
      </c>
      <c r="AJ103" t="s">
        <v>72</v>
      </c>
      <c r="AK103" t="s">
        <v>70</v>
      </c>
      <c r="AL103" t="s">
        <v>70</v>
      </c>
      <c r="AM103" t="s">
        <v>70</v>
      </c>
      <c r="AN103" t="s">
        <v>72</v>
      </c>
      <c r="AO103" t="s">
        <v>72</v>
      </c>
      <c r="AP103" t="s">
        <v>72</v>
      </c>
      <c r="AQ103" t="s">
        <v>136</v>
      </c>
      <c r="AR103" s="1">
        <v>44848</v>
      </c>
      <c r="AS103" t="s">
        <v>137</v>
      </c>
      <c r="AT103" t="s">
        <v>71</v>
      </c>
      <c r="AU103">
        <v>207</v>
      </c>
      <c r="AV103" t="s">
        <v>76</v>
      </c>
    </row>
    <row r="104" spans="1:48" x14ac:dyDescent="0.25">
      <c r="A104" t="s">
        <v>388</v>
      </c>
      <c r="B104" t="s">
        <v>181</v>
      </c>
      <c r="C104" t="s">
        <v>155</v>
      </c>
      <c r="D104" t="s">
        <v>51</v>
      </c>
      <c r="E104">
        <v>33</v>
      </c>
      <c r="F104" t="s">
        <v>168</v>
      </c>
      <c r="G104" t="s">
        <v>242</v>
      </c>
      <c r="H104" t="s">
        <v>54</v>
      </c>
      <c r="I104" t="s">
        <v>217</v>
      </c>
      <c r="J104" t="s">
        <v>218</v>
      </c>
      <c r="K104" t="s">
        <v>146</v>
      </c>
      <c r="L104" t="s">
        <v>126</v>
      </c>
      <c r="M104" t="s">
        <v>275</v>
      </c>
      <c r="N104" t="s">
        <v>60</v>
      </c>
      <c r="O104" t="s">
        <v>61</v>
      </c>
      <c r="P104" s="1">
        <v>43425</v>
      </c>
      <c r="Q104">
        <v>5.5</v>
      </c>
      <c r="R104" t="s">
        <v>62</v>
      </c>
      <c r="S104" t="s">
        <v>63</v>
      </c>
      <c r="T104" t="s">
        <v>64</v>
      </c>
      <c r="U104">
        <v>0</v>
      </c>
      <c r="V104">
        <v>0</v>
      </c>
      <c r="W104">
        <v>4739</v>
      </c>
      <c r="X104">
        <v>1303</v>
      </c>
      <c r="Y104">
        <v>422</v>
      </c>
      <c r="Z104">
        <v>6464</v>
      </c>
      <c r="AA104">
        <v>535</v>
      </c>
      <c r="AB104" t="s">
        <v>65</v>
      </c>
      <c r="AC104">
        <v>16.7</v>
      </c>
      <c r="AD104">
        <v>76</v>
      </c>
      <c r="AE104">
        <v>65</v>
      </c>
      <c r="AF104" t="s">
        <v>66</v>
      </c>
      <c r="AG104">
        <v>18</v>
      </c>
      <c r="AH104" t="s">
        <v>113</v>
      </c>
      <c r="AI104" t="s">
        <v>95</v>
      </c>
      <c r="AJ104" t="s">
        <v>188</v>
      </c>
      <c r="AK104" t="s">
        <v>71</v>
      </c>
      <c r="AL104" t="s">
        <v>70</v>
      </c>
      <c r="AM104" t="s">
        <v>70</v>
      </c>
      <c r="AN104" t="s">
        <v>115</v>
      </c>
      <c r="AO104" t="s">
        <v>134</v>
      </c>
      <c r="AP104" t="s">
        <v>72</v>
      </c>
      <c r="AQ104" t="s">
        <v>74</v>
      </c>
      <c r="AR104" s="1">
        <v>44418</v>
      </c>
      <c r="AS104" t="s">
        <v>75</v>
      </c>
      <c r="AT104" t="s">
        <v>71</v>
      </c>
      <c r="AU104">
        <v>1090</v>
      </c>
      <c r="AV104" t="s">
        <v>76</v>
      </c>
    </row>
    <row r="105" spans="1:48" x14ac:dyDescent="0.25">
      <c r="A105" t="s">
        <v>389</v>
      </c>
      <c r="B105" t="s">
        <v>346</v>
      </c>
      <c r="C105" t="s">
        <v>264</v>
      </c>
      <c r="D105" t="s">
        <v>51</v>
      </c>
      <c r="E105">
        <v>23</v>
      </c>
      <c r="F105" t="s">
        <v>322</v>
      </c>
      <c r="G105" t="s">
        <v>215</v>
      </c>
      <c r="H105" t="s">
        <v>216</v>
      </c>
      <c r="I105" t="s">
        <v>225</v>
      </c>
      <c r="J105" t="s">
        <v>226</v>
      </c>
      <c r="K105" t="s">
        <v>105</v>
      </c>
      <c r="L105" t="s">
        <v>58</v>
      </c>
      <c r="M105" t="s">
        <v>296</v>
      </c>
      <c r="N105" t="s">
        <v>128</v>
      </c>
      <c r="O105" t="s">
        <v>176</v>
      </c>
      <c r="P105" s="1">
        <v>38832</v>
      </c>
      <c r="Q105">
        <v>18.100000000000001</v>
      </c>
      <c r="R105" t="s">
        <v>90</v>
      </c>
      <c r="S105" t="s">
        <v>196</v>
      </c>
      <c r="T105" t="s">
        <v>197</v>
      </c>
      <c r="U105">
        <v>0</v>
      </c>
      <c r="V105">
        <v>0</v>
      </c>
      <c r="W105">
        <v>3637</v>
      </c>
      <c r="X105">
        <v>1766</v>
      </c>
      <c r="Y105">
        <v>266</v>
      </c>
      <c r="Z105">
        <v>5669</v>
      </c>
      <c r="AA105">
        <v>341</v>
      </c>
      <c r="AB105" t="s">
        <v>151</v>
      </c>
      <c r="AC105">
        <v>19</v>
      </c>
      <c r="AD105">
        <v>34</v>
      </c>
      <c r="AE105">
        <v>40</v>
      </c>
      <c r="AF105" t="s">
        <v>93</v>
      </c>
      <c r="AG105">
        <v>37</v>
      </c>
      <c r="AH105" t="s">
        <v>94</v>
      </c>
      <c r="AI105" t="s">
        <v>152</v>
      </c>
      <c r="AJ105" t="s">
        <v>188</v>
      </c>
      <c r="AK105" t="s">
        <v>70</v>
      </c>
      <c r="AL105" t="s">
        <v>70</v>
      </c>
      <c r="AM105" t="s">
        <v>70</v>
      </c>
      <c r="AN105" t="s">
        <v>133</v>
      </c>
      <c r="AO105" t="s">
        <v>73</v>
      </c>
      <c r="AP105" t="s">
        <v>72</v>
      </c>
      <c r="AQ105" t="s">
        <v>136</v>
      </c>
      <c r="AR105" s="1">
        <v>41657</v>
      </c>
      <c r="AS105" t="s">
        <v>75</v>
      </c>
      <c r="AT105" t="s">
        <v>71</v>
      </c>
      <c r="AU105">
        <v>-385</v>
      </c>
      <c r="AV105" t="s">
        <v>179</v>
      </c>
    </row>
    <row r="106" spans="1:48" x14ac:dyDescent="0.25">
      <c r="A106" t="s">
        <v>390</v>
      </c>
      <c r="B106" t="s">
        <v>251</v>
      </c>
      <c r="C106" t="s">
        <v>233</v>
      </c>
      <c r="D106" t="s">
        <v>51</v>
      </c>
      <c r="E106">
        <v>22</v>
      </c>
      <c r="F106" t="s">
        <v>241</v>
      </c>
      <c r="G106" t="s">
        <v>169</v>
      </c>
      <c r="H106" t="s">
        <v>170</v>
      </c>
      <c r="I106" t="s">
        <v>144</v>
      </c>
      <c r="J106" t="s">
        <v>145</v>
      </c>
      <c r="K106" t="s">
        <v>146</v>
      </c>
      <c r="L106" t="s">
        <v>126</v>
      </c>
      <c r="M106" t="s">
        <v>147</v>
      </c>
      <c r="N106" t="s">
        <v>88</v>
      </c>
      <c r="O106" t="s">
        <v>149</v>
      </c>
      <c r="P106" s="1">
        <v>42370</v>
      </c>
      <c r="Q106">
        <v>8.4</v>
      </c>
      <c r="R106" t="s">
        <v>195</v>
      </c>
      <c r="S106" t="s">
        <v>163</v>
      </c>
      <c r="T106" t="s">
        <v>164</v>
      </c>
      <c r="U106">
        <v>2</v>
      </c>
      <c r="V106">
        <v>0</v>
      </c>
      <c r="W106">
        <v>3294</v>
      </c>
      <c r="X106">
        <v>0</v>
      </c>
      <c r="Y106">
        <v>422</v>
      </c>
      <c r="Z106">
        <v>3716</v>
      </c>
      <c r="AA106">
        <v>534</v>
      </c>
      <c r="AB106" t="s">
        <v>65</v>
      </c>
      <c r="AC106">
        <v>17.600000000000001</v>
      </c>
      <c r="AD106">
        <v>21</v>
      </c>
      <c r="AE106">
        <v>63</v>
      </c>
      <c r="AF106" t="s">
        <v>66</v>
      </c>
      <c r="AG106">
        <v>26</v>
      </c>
      <c r="AH106" t="s">
        <v>113</v>
      </c>
      <c r="AI106" t="s">
        <v>114</v>
      </c>
      <c r="AJ106" t="s">
        <v>188</v>
      </c>
      <c r="AK106" t="s">
        <v>70</v>
      </c>
      <c r="AL106" t="s">
        <v>71</v>
      </c>
      <c r="AM106" t="s">
        <v>71</v>
      </c>
      <c r="AN106" t="s">
        <v>243</v>
      </c>
      <c r="AO106" t="s">
        <v>116</v>
      </c>
      <c r="AP106" t="s">
        <v>72</v>
      </c>
      <c r="AQ106" t="s">
        <v>98</v>
      </c>
      <c r="AR106" s="1">
        <v>42667</v>
      </c>
      <c r="AS106" t="s">
        <v>137</v>
      </c>
      <c r="AT106" t="s">
        <v>71</v>
      </c>
      <c r="AU106">
        <v>1030</v>
      </c>
      <c r="AV106" t="s">
        <v>76</v>
      </c>
    </row>
    <row r="107" spans="1:48" x14ac:dyDescent="0.25">
      <c r="A107" t="s">
        <v>391</v>
      </c>
      <c r="B107" t="s">
        <v>277</v>
      </c>
      <c r="C107" t="s">
        <v>330</v>
      </c>
      <c r="D107" t="s">
        <v>122</v>
      </c>
      <c r="E107">
        <v>40</v>
      </c>
      <c r="F107" t="s">
        <v>241</v>
      </c>
      <c r="G107" t="s">
        <v>215</v>
      </c>
      <c r="H107" t="s">
        <v>216</v>
      </c>
      <c r="I107" t="s">
        <v>217</v>
      </c>
      <c r="J107" t="s">
        <v>218</v>
      </c>
      <c r="K107" t="s">
        <v>146</v>
      </c>
      <c r="L107" t="s">
        <v>86</v>
      </c>
      <c r="M107" t="s">
        <v>275</v>
      </c>
      <c r="N107" t="s">
        <v>108</v>
      </c>
      <c r="O107" t="s">
        <v>109</v>
      </c>
      <c r="P107" s="1">
        <v>44839</v>
      </c>
      <c r="Q107">
        <v>1.7</v>
      </c>
      <c r="R107" t="s">
        <v>129</v>
      </c>
      <c r="S107" t="s">
        <v>219</v>
      </c>
      <c r="T107" t="s">
        <v>220</v>
      </c>
      <c r="U107">
        <v>0</v>
      </c>
      <c r="V107">
        <v>0</v>
      </c>
      <c r="W107">
        <v>3637</v>
      </c>
      <c r="X107">
        <v>1797</v>
      </c>
      <c r="Y107">
        <v>266</v>
      </c>
      <c r="Z107">
        <v>5700</v>
      </c>
      <c r="AA107">
        <v>472</v>
      </c>
      <c r="AB107" t="s">
        <v>65</v>
      </c>
      <c r="AC107">
        <v>14</v>
      </c>
      <c r="AD107">
        <v>81</v>
      </c>
      <c r="AE107">
        <v>65</v>
      </c>
      <c r="AF107" t="s">
        <v>93</v>
      </c>
      <c r="AG107">
        <v>37</v>
      </c>
      <c r="AH107" t="s">
        <v>94</v>
      </c>
      <c r="AI107" t="s">
        <v>95</v>
      </c>
      <c r="AJ107" t="s">
        <v>96</v>
      </c>
      <c r="AK107" t="s">
        <v>70</v>
      </c>
      <c r="AL107" t="s">
        <v>71</v>
      </c>
      <c r="AM107" t="s">
        <v>71</v>
      </c>
      <c r="AN107" t="s">
        <v>72</v>
      </c>
      <c r="AO107" t="s">
        <v>116</v>
      </c>
      <c r="AP107" t="s">
        <v>227</v>
      </c>
      <c r="AQ107" t="s">
        <v>117</v>
      </c>
      <c r="AR107" s="1">
        <v>45213</v>
      </c>
      <c r="AS107" t="s">
        <v>137</v>
      </c>
      <c r="AT107" t="s">
        <v>70</v>
      </c>
      <c r="AU107">
        <v>404</v>
      </c>
      <c r="AV107" t="s">
        <v>76</v>
      </c>
    </row>
    <row r="108" spans="1:48" x14ac:dyDescent="0.25">
      <c r="A108" t="s">
        <v>392</v>
      </c>
      <c r="B108" t="s">
        <v>377</v>
      </c>
      <c r="C108" t="s">
        <v>167</v>
      </c>
      <c r="D108" t="s">
        <v>51</v>
      </c>
      <c r="E108">
        <v>23</v>
      </c>
      <c r="F108" t="s">
        <v>52</v>
      </c>
      <c r="G108" t="s">
        <v>215</v>
      </c>
      <c r="H108" t="s">
        <v>216</v>
      </c>
      <c r="I108" t="s">
        <v>260</v>
      </c>
      <c r="J108" t="s">
        <v>261</v>
      </c>
      <c r="K108" t="s">
        <v>173</v>
      </c>
      <c r="L108" t="s">
        <v>174</v>
      </c>
      <c r="M108" t="s">
        <v>107</v>
      </c>
      <c r="N108" t="s">
        <v>88</v>
      </c>
      <c r="O108" t="s">
        <v>176</v>
      </c>
      <c r="P108" s="1">
        <v>39728</v>
      </c>
      <c r="Q108">
        <v>15.6</v>
      </c>
      <c r="R108" t="s">
        <v>150</v>
      </c>
      <c r="S108" t="s">
        <v>219</v>
      </c>
      <c r="T108" t="s">
        <v>220</v>
      </c>
      <c r="U108">
        <v>0</v>
      </c>
      <c r="V108">
        <v>0</v>
      </c>
      <c r="W108">
        <v>3637</v>
      </c>
      <c r="X108">
        <v>981</v>
      </c>
      <c r="Y108">
        <v>266</v>
      </c>
      <c r="Z108">
        <v>4884</v>
      </c>
      <c r="AA108">
        <v>417</v>
      </c>
      <c r="AB108" t="s">
        <v>65</v>
      </c>
      <c r="AC108">
        <v>16.3</v>
      </c>
      <c r="AD108">
        <v>36</v>
      </c>
      <c r="AE108">
        <v>43</v>
      </c>
      <c r="AF108" t="s">
        <v>66</v>
      </c>
      <c r="AG108">
        <v>27</v>
      </c>
      <c r="AH108" t="s">
        <v>113</v>
      </c>
      <c r="AI108" t="s">
        <v>95</v>
      </c>
      <c r="AJ108" t="s">
        <v>69</v>
      </c>
      <c r="AK108" t="s">
        <v>70</v>
      </c>
      <c r="AL108" t="s">
        <v>70</v>
      </c>
      <c r="AM108" t="s">
        <v>70</v>
      </c>
      <c r="AN108" t="s">
        <v>72</v>
      </c>
      <c r="AO108" t="s">
        <v>134</v>
      </c>
      <c r="AP108" t="s">
        <v>72</v>
      </c>
      <c r="AQ108" t="s">
        <v>136</v>
      </c>
      <c r="AR108" s="1">
        <v>42522</v>
      </c>
      <c r="AS108" t="s">
        <v>198</v>
      </c>
      <c r="AT108" t="s">
        <v>71</v>
      </c>
      <c r="AU108">
        <v>-85</v>
      </c>
      <c r="AV108" t="s">
        <v>179</v>
      </c>
    </row>
    <row r="109" spans="1:48" x14ac:dyDescent="0.25">
      <c r="A109" t="s">
        <v>393</v>
      </c>
      <c r="B109" t="s">
        <v>251</v>
      </c>
      <c r="C109" t="s">
        <v>394</v>
      </c>
      <c r="D109" t="s">
        <v>122</v>
      </c>
      <c r="E109">
        <v>37</v>
      </c>
      <c r="F109" t="s">
        <v>52</v>
      </c>
      <c r="G109" t="s">
        <v>53</v>
      </c>
      <c r="H109" t="s">
        <v>54</v>
      </c>
      <c r="I109" t="s">
        <v>273</v>
      </c>
      <c r="J109" t="s">
        <v>274</v>
      </c>
      <c r="K109" t="s">
        <v>57</v>
      </c>
      <c r="L109" t="s">
        <v>126</v>
      </c>
      <c r="M109" t="s">
        <v>127</v>
      </c>
      <c r="N109" t="s">
        <v>128</v>
      </c>
      <c r="O109" t="s">
        <v>89</v>
      </c>
      <c r="P109" s="1">
        <v>40768</v>
      </c>
      <c r="Q109">
        <v>12.8</v>
      </c>
      <c r="R109" t="s">
        <v>129</v>
      </c>
      <c r="S109" t="s">
        <v>163</v>
      </c>
      <c r="T109" t="s">
        <v>164</v>
      </c>
      <c r="U109">
        <v>10</v>
      </c>
      <c r="V109">
        <v>1</v>
      </c>
      <c r="W109">
        <v>4739</v>
      </c>
      <c r="X109">
        <v>0</v>
      </c>
      <c r="Y109">
        <v>422</v>
      </c>
      <c r="Z109">
        <v>5161</v>
      </c>
      <c r="AA109">
        <v>372</v>
      </c>
      <c r="AB109" t="s">
        <v>65</v>
      </c>
      <c r="AC109">
        <v>13.1</v>
      </c>
      <c r="AD109">
        <v>30</v>
      </c>
      <c r="AE109">
        <v>54</v>
      </c>
      <c r="AF109" t="s">
        <v>66</v>
      </c>
      <c r="AG109">
        <v>33</v>
      </c>
      <c r="AH109" t="s">
        <v>67</v>
      </c>
      <c r="AI109" t="s">
        <v>114</v>
      </c>
      <c r="AJ109" t="s">
        <v>72</v>
      </c>
      <c r="AK109" t="s">
        <v>70</v>
      </c>
      <c r="AL109" t="s">
        <v>70</v>
      </c>
      <c r="AM109" t="s">
        <v>70</v>
      </c>
      <c r="AN109" t="s">
        <v>72</v>
      </c>
      <c r="AO109" t="s">
        <v>97</v>
      </c>
      <c r="AP109" t="s">
        <v>72</v>
      </c>
      <c r="AQ109" t="s">
        <v>74</v>
      </c>
      <c r="AR109" s="1">
        <v>42227</v>
      </c>
      <c r="AS109" t="s">
        <v>137</v>
      </c>
      <c r="AT109" t="s">
        <v>71</v>
      </c>
      <c r="AU109">
        <v>278</v>
      </c>
      <c r="AV109" t="s">
        <v>76</v>
      </c>
    </row>
    <row r="110" spans="1:48" x14ac:dyDescent="0.25">
      <c r="A110" t="s">
        <v>395</v>
      </c>
      <c r="B110" t="s">
        <v>245</v>
      </c>
      <c r="C110" t="s">
        <v>396</v>
      </c>
      <c r="D110" t="s">
        <v>122</v>
      </c>
      <c r="E110">
        <v>27</v>
      </c>
      <c r="F110" t="s">
        <v>291</v>
      </c>
      <c r="G110" t="s">
        <v>242</v>
      </c>
      <c r="H110" t="s">
        <v>54</v>
      </c>
      <c r="I110" t="s">
        <v>158</v>
      </c>
      <c r="J110" t="s">
        <v>159</v>
      </c>
      <c r="K110" t="s">
        <v>160</v>
      </c>
      <c r="L110" t="s">
        <v>86</v>
      </c>
      <c r="M110" t="s">
        <v>207</v>
      </c>
      <c r="N110" t="s">
        <v>108</v>
      </c>
      <c r="O110" t="s">
        <v>89</v>
      </c>
      <c r="P110" s="1">
        <v>38759</v>
      </c>
      <c r="Q110">
        <v>18.3</v>
      </c>
      <c r="R110" t="s">
        <v>129</v>
      </c>
      <c r="S110" t="s">
        <v>91</v>
      </c>
      <c r="T110" t="s">
        <v>92</v>
      </c>
      <c r="U110">
        <v>15</v>
      </c>
      <c r="V110">
        <v>2</v>
      </c>
      <c r="W110">
        <v>4739</v>
      </c>
      <c r="X110">
        <v>0</v>
      </c>
      <c r="Y110">
        <v>422</v>
      </c>
      <c r="Z110">
        <v>5161</v>
      </c>
      <c r="AA110">
        <v>440</v>
      </c>
      <c r="AB110" t="s">
        <v>65</v>
      </c>
      <c r="AC110">
        <v>15.6</v>
      </c>
      <c r="AD110">
        <v>47</v>
      </c>
      <c r="AE110">
        <v>35</v>
      </c>
      <c r="AF110" t="s">
        <v>132</v>
      </c>
      <c r="AG110">
        <v>22</v>
      </c>
      <c r="AH110" t="s">
        <v>113</v>
      </c>
      <c r="AI110" t="s">
        <v>95</v>
      </c>
      <c r="AJ110" t="s">
        <v>96</v>
      </c>
      <c r="AK110" t="s">
        <v>71</v>
      </c>
      <c r="AL110" t="s">
        <v>70</v>
      </c>
      <c r="AM110" t="s">
        <v>71</v>
      </c>
      <c r="AN110" t="s">
        <v>243</v>
      </c>
      <c r="AO110" t="s">
        <v>97</v>
      </c>
      <c r="AP110" t="s">
        <v>72</v>
      </c>
      <c r="AQ110" t="s">
        <v>98</v>
      </c>
      <c r="AR110" s="1">
        <v>39464</v>
      </c>
      <c r="AS110" t="s">
        <v>198</v>
      </c>
      <c r="AT110" t="s">
        <v>71</v>
      </c>
      <c r="AU110">
        <v>1728</v>
      </c>
      <c r="AV110" t="s">
        <v>76</v>
      </c>
    </row>
    <row r="111" spans="1:48" x14ac:dyDescent="0.25">
      <c r="A111" t="s">
        <v>397</v>
      </c>
      <c r="B111" t="s">
        <v>282</v>
      </c>
      <c r="C111" t="s">
        <v>334</v>
      </c>
      <c r="D111" t="s">
        <v>122</v>
      </c>
      <c r="E111">
        <v>35</v>
      </c>
      <c r="F111" t="s">
        <v>141</v>
      </c>
      <c r="G111" t="s">
        <v>156</v>
      </c>
      <c r="H111" t="s">
        <v>157</v>
      </c>
      <c r="I111" t="s">
        <v>83</v>
      </c>
      <c r="J111" t="s">
        <v>84</v>
      </c>
      <c r="K111" t="s">
        <v>85</v>
      </c>
      <c r="L111" t="s">
        <v>58</v>
      </c>
      <c r="M111" t="s">
        <v>249</v>
      </c>
      <c r="N111" t="s">
        <v>60</v>
      </c>
      <c r="O111" t="s">
        <v>176</v>
      </c>
      <c r="P111" s="1">
        <v>41955</v>
      </c>
      <c r="Q111">
        <v>9.6</v>
      </c>
      <c r="R111" t="s">
        <v>208</v>
      </c>
      <c r="S111" t="s">
        <v>91</v>
      </c>
      <c r="T111" t="s">
        <v>92</v>
      </c>
      <c r="U111">
        <v>8</v>
      </c>
      <c r="V111">
        <v>1</v>
      </c>
      <c r="W111">
        <v>4836</v>
      </c>
      <c r="X111">
        <v>1263</v>
      </c>
      <c r="Y111">
        <v>266</v>
      </c>
      <c r="Z111">
        <v>6365</v>
      </c>
      <c r="AA111">
        <v>339</v>
      </c>
      <c r="AB111" t="s">
        <v>151</v>
      </c>
      <c r="AC111">
        <v>17.3</v>
      </c>
      <c r="AD111">
        <v>29</v>
      </c>
      <c r="AE111">
        <v>78</v>
      </c>
      <c r="AF111" t="s">
        <v>66</v>
      </c>
      <c r="AG111">
        <v>37</v>
      </c>
      <c r="AH111" t="s">
        <v>94</v>
      </c>
      <c r="AI111" t="s">
        <v>152</v>
      </c>
      <c r="AJ111" t="s">
        <v>72</v>
      </c>
      <c r="AK111" t="s">
        <v>70</v>
      </c>
      <c r="AL111" t="s">
        <v>70</v>
      </c>
      <c r="AM111" t="s">
        <v>70</v>
      </c>
      <c r="AN111" t="s">
        <v>270</v>
      </c>
      <c r="AO111" t="s">
        <v>221</v>
      </c>
      <c r="AP111" t="s">
        <v>227</v>
      </c>
      <c r="AQ111" t="s">
        <v>98</v>
      </c>
      <c r="AR111" s="1">
        <v>43257</v>
      </c>
      <c r="AS111" t="s">
        <v>118</v>
      </c>
      <c r="AT111" t="s">
        <v>71</v>
      </c>
      <c r="AU111">
        <v>-358</v>
      </c>
      <c r="AV111" t="s">
        <v>179</v>
      </c>
    </row>
    <row r="112" spans="1:48" x14ac:dyDescent="0.25">
      <c r="A112" t="s">
        <v>398</v>
      </c>
      <c r="B112" t="s">
        <v>229</v>
      </c>
      <c r="C112" t="s">
        <v>140</v>
      </c>
      <c r="D112" t="s">
        <v>51</v>
      </c>
      <c r="E112">
        <v>36</v>
      </c>
      <c r="F112" t="s">
        <v>283</v>
      </c>
      <c r="G112" t="s">
        <v>101</v>
      </c>
      <c r="H112" t="s">
        <v>102</v>
      </c>
      <c r="I112" t="s">
        <v>273</v>
      </c>
      <c r="J112" t="s">
        <v>274</v>
      </c>
      <c r="K112" t="s">
        <v>57</v>
      </c>
      <c r="L112" t="s">
        <v>58</v>
      </c>
      <c r="M112" t="s">
        <v>107</v>
      </c>
      <c r="N112" t="s">
        <v>108</v>
      </c>
      <c r="O112" t="s">
        <v>89</v>
      </c>
      <c r="P112" s="1">
        <v>41821</v>
      </c>
      <c r="Q112">
        <v>9.9</v>
      </c>
      <c r="R112" t="s">
        <v>90</v>
      </c>
      <c r="S112" t="s">
        <v>163</v>
      </c>
      <c r="T112" t="s">
        <v>164</v>
      </c>
      <c r="U112">
        <v>13</v>
      </c>
      <c r="V112">
        <v>2</v>
      </c>
      <c r="W112">
        <v>2980</v>
      </c>
      <c r="X112">
        <v>0</v>
      </c>
      <c r="Y112">
        <v>422</v>
      </c>
      <c r="Z112">
        <v>3402</v>
      </c>
      <c r="AA112">
        <v>324</v>
      </c>
      <c r="AB112" t="s">
        <v>151</v>
      </c>
      <c r="AC112">
        <v>19.600000000000001</v>
      </c>
      <c r="AD112">
        <v>36</v>
      </c>
      <c r="AE112">
        <v>50</v>
      </c>
      <c r="AF112" t="s">
        <v>66</v>
      </c>
      <c r="AG112">
        <v>28</v>
      </c>
      <c r="AH112" t="s">
        <v>113</v>
      </c>
      <c r="AI112" t="s">
        <v>95</v>
      </c>
      <c r="AJ112" t="s">
        <v>96</v>
      </c>
      <c r="AK112" t="s">
        <v>70</v>
      </c>
      <c r="AL112" t="s">
        <v>71</v>
      </c>
      <c r="AM112" t="s">
        <v>70</v>
      </c>
      <c r="AN112" t="s">
        <v>202</v>
      </c>
      <c r="AO112" t="s">
        <v>203</v>
      </c>
      <c r="AP112" t="s">
        <v>72</v>
      </c>
      <c r="AQ112" t="s">
        <v>117</v>
      </c>
      <c r="AR112" s="1">
        <v>43960</v>
      </c>
      <c r="AS112" t="s">
        <v>137</v>
      </c>
      <c r="AT112" t="s">
        <v>71</v>
      </c>
      <c r="AU112">
        <v>-90</v>
      </c>
      <c r="AV112" t="s">
        <v>179</v>
      </c>
    </row>
    <row r="113" spans="1:48" x14ac:dyDescent="0.25">
      <c r="A113" t="s">
        <v>399</v>
      </c>
      <c r="B113" t="s">
        <v>154</v>
      </c>
      <c r="C113" t="s">
        <v>140</v>
      </c>
      <c r="D113" t="s">
        <v>51</v>
      </c>
      <c r="E113">
        <v>27</v>
      </c>
      <c r="F113" t="s">
        <v>80</v>
      </c>
      <c r="G113" t="s">
        <v>301</v>
      </c>
      <c r="H113" t="s">
        <v>302</v>
      </c>
      <c r="I113" t="s">
        <v>236</v>
      </c>
      <c r="J113" t="s">
        <v>237</v>
      </c>
      <c r="K113" t="s">
        <v>238</v>
      </c>
      <c r="L113" t="s">
        <v>126</v>
      </c>
      <c r="M113" t="s">
        <v>207</v>
      </c>
      <c r="N113" t="s">
        <v>162</v>
      </c>
      <c r="O113" t="s">
        <v>109</v>
      </c>
      <c r="P113" s="1">
        <v>43039</v>
      </c>
      <c r="Q113">
        <v>6.6</v>
      </c>
      <c r="R113" t="s">
        <v>195</v>
      </c>
      <c r="S113" t="s">
        <v>63</v>
      </c>
      <c r="T113" t="s">
        <v>64</v>
      </c>
      <c r="U113">
        <v>0</v>
      </c>
      <c r="V113">
        <v>0</v>
      </c>
      <c r="W113">
        <v>4188</v>
      </c>
      <c r="X113">
        <v>0</v>
      </c>
      <c r="Y113">
        <v>266</v>
      </c>
      <c r="Z113">
        <v>4454</v>
      </c>
      <c r="AA113">
        <v>495</v>
      </c>
      <c r="AB113" t="s">
        <v>65</v>
      </c>
      <c r="AC113">
        <v>14</v>
      </c>
      <c r="AD113">
        <v>45</v>
      </c>
      <c r="AE113">
        <v>39</v>
      </c>
      <c r="AF113" t="s">
        <v>66</v>
      </c>
      <c r="AG113">
        <v>28</v>
      </c>
      <c r="AH113" t="s">
        <v>113</v>
      </c>
      <c r="AI113" t="s">
        <v>95</v>
      </c>
      <c r="AJ113" t="s">
        <v>96</v>
      </c>
      <c r="AK113" t="s">
        <v>71</v>
      </c>
      <c r="AL113" t="s">
        <v>70</v>
      </c>
      <c r="AM113" t="s">
        <v>70</v>
      </c>
      <c r="AN113" t="s">
        <v>202</v>
      </c>
      <c r="AO113" t="s">
        <v>221</v>
      </c>
      <c r="AP113" t="s">
        <v>135</v>
      </c>
      <c r="AQ113" t="s">
        <v>74</v>
      </c>
      <c r="AR113" s="1">
        <v>43286</v>
      </c>
      <c r="AS113" t="s">
        <v>137</v>
      </c>
      <c r="AT113" t="s">
        <v>71</v>
      </c>
      <c r="AU113">
        <v>730</v>
      </c>
      <c r="AV113" t="s">
        <v>76</v>
      </c>
    </row>
    <row r="114" spans="1:48" x14ac:dyDescent="0.25">
      <c r="A114" t="s">
        <v>400</v>
      </c>
      <c r="B114" t="s">
        <v>267</v>
      </c>
      <c r="C114" t="s">
        <v>394</v>
      </c>
      <c r="D114" t="s">
        <v>122</v>
      </c>
      <c r="E114">
        <v>44</v>
      </c>
      <c r="F114" t="s">
        <v>214</v>
      </c>
      <c r="G114" t="s">
        <v>242</v>
      </c>
      <c r="H114" t="s">
        <v>54</v>
      </c>
      <c r="I114" t="s">
        <v>260</v>
      </c>
      <c r="J114" t="s">
        <v>261</v>
      </c>
      <c r="K114" t="s">
        <v>173</v>
      </c>
      <c r="L114" t="s">
        <v>126</v>
      </c>
      <c r="M114" t="s">
        <v>87</v>
      </c>
      <c r="N114" t="s">
        <v>265</v>
      </c>
      <c r="O114" t="s">
        <v>89</v>
      </c>
      <c r="P114" s="1">
        <v>39892</v>
      </c>
      <c r="Q114">
        <v>15.2</v>
      </c>
      <c r="R114" t="s">
        <v>90</v>
      </c>
      <c r="S114" t="s">
        <v>91</v>
      </c>
      <c r="T114" t="s">
        <v>92</v>
      </c>
      <c r="U114">
        <v>6</v>
      </c>
      <c r="V114">
        <v>1</v>
      </c>
      <c r="W114">
        <v>4739</v>
      </c>
      <c r="X114">
        <v>1633</v>
      </c>
      <c r="Y114">
        <v>422</v>
      </c>
      <c r="Z114">
        <v>6794</v>
      </c>
      <c r="AA114">
        <v>318</v>
      </c>
      <c r="AB114" t="s">
        <v>151</v>
      </c>
      <c r="AC114">
        <v>19</v>
      </c>
      <c r="AD114">
        <v>75</v>
      </c>
      <c r="AE114">
        <v>53</v>
      </c>
      <c r="AF114" t="s">
        <v>93</v>
      </c>
      <c r="AG114">
        <v>18</v>
      </c>
      <c r="AH114" t="s">
        <v>113</v>
      </c>
      <c r="AI114" t="s">
        <v>114</v>
      </c>
      <c r="AJ114" t="s">
        <v>72</v>
      </c>
      <c r="AK114" t="s">
        <v>70</v>
      </c>
      <c r="AL114" t="s">
        <v>71</v>
      </c>
      <c r="AM114" t="s">
        <v>70</v>
      </c>
      <c r="AN114" t="s">
        <v>243</v>
      </c>
      <c r="AO114" t="s">
        <v>134</v>
      </c>
      <c r="AP114" t="s">
        <v>227</v>
      </c>
      <c r="AQ114" t="s">
        <v>98</v>
      </c>
      <c r="AR114" s="1">
        <v>45586</v>
      </c>
      <c r="AS114" t="s">
        <v>137</v>
      </c>
      <c r="AT114" t="s">
        <v>71</v>
      </c>
      <c r="AU114">
        <v>315</v>
      </c>
      <c r="AV114" t="s">
        <v>76</v>
      </c>
    </row>
    <row r="115" spans="1:48" x14ac:dyDescent="0.25">
      <c r="A115" t="s">
        <v>401</v>
      </c>
      <c r="B115" t="s">
        <v>229</v>
      </c>
      <c r="C115" t="s">
        <v>332</v>
      </c>
      <c r="D115" t="s">
        <v>51</v>
      </c>
      <c r="E115">
        <v>45</v>
      </c>
      <c r="F115" t="s">
        <v>322</v>
      </c>
      <c r="G115" t="s">
        <v>156</v>
      </c>
      <c r="H115" t="s">
        <v>157</v>
      </c>
      <c r="I115" t="s">
        <v>158</v>
      </c>
      <c r="J115" t="s">
        <v>159</v>
      </c>
      <c r="K115" t="s">
        <v>160</v>
      </c>
      <c r="L115" t="s">
        <v>174</v>
      </c>
      <c r="M115" t="s">
        <v>175</v>
      </c>
      <c r="N115" t="s">
        <v>60</v>
      </c>
      <c r="O115" t="s">
        <v>149</v>
      </c>
      <c r="P115" s="1">
        <v>41404</v>
      </c>
      <c r="Q115">
        <v>11.1</v>
      </c>
      <c r="R115" t="s">
        <v>75</v>
      </c>
      <c r="S115" t="s">
        <v>91</v>
      </c>
      <c r="T115" t="s">
        <v>92</v>
      </c>
      <c r="U115">
        <v>14</v>
      </c>
      <c r="V115">
        <v>2</v>
      </c>
      <c r="W115">
        <v>4836</v>
      </c>
      <c r="X115">
        <v>1163</v>
      </c>
      <c r="Y115">
        <v>266</v>
      </c>
      <c r="Z115">
        <v>6265</v>
      </c>
      <c r="AA115">
        <v>373</v>
      </c>
      <c r="AB115" t="s">
        <v>65</v>
      </c>
      <c r="AC115">
        <v>17.5</v>
      </c>
      <c r="AD115">
        <v>42</v>
      </c>
      <c r="AE115">
        <v>52</v>
      </c>
      <c r="AF115" t="s">
        <v>112</v>
      </c>
      <c r="AG115">
        <v>39</v>
      </c>
      <c r="AH115" t="s">
        <v>94</v>
      </c>
      <c r="AI115" t="s">
        <v>114</v>
      </c>
      <c r="AJ115" t="s">
        <v>72</v>
      </c>
      <c r="AK115" t="s">
        <v>70</v>
      </c>
      <c r="AL115" t="s">
        <v>70</v>
      </c>
      <c r="AM115" t="s">
        <v>70</v>
      </c>
      <c r="AN115" t="s">
        <v>72</v>
      </c>
      <c r="AO115" t="s">
        <v>72</v>
      </c>
      <c r="AP115" t="s">
        <v>72</v>
      </c>
      <c r="AQ115" t="s">
        <v>136</v>
      </c>
      <c r="AR115" s="1">
        <v>44629</v>
      </c>
      <c r="AS115" t="s">
        <v>118</v>
      </c>
      <c r="AT115" t="s">
        <v>71</v>
      </c>
      <c r="AU115">
        <v>1602</v>
      </c>
      <c r="AV115" t="s">
        <v>76</v>
      </c>
    </row>
    <row r="116" spans="1:48" x14ac:dyDescent="0.25">
      <c r="A116" t="s">
        <v>402</v>
      </c>
      <c r="B116" t="s">
        <v>308</v>
      </c>
      <c r="C116" t="s">
        <v>50</v>
      </c>
      <c r="D116" t="s">
        <v>51</v>
      </c>
      <c r="E116">
        <v>35</v>
      </c>
      <c r="F116" t="s">
        <v>305</v>
      </c>
      <c r="G116" t="s">
        <v>124</v>
      </c>
      <c r="H116" t="s">
        <v>125</v>
      </c>
      <c r="I116" t="s">
        <v>158</v>
      </c>
      <c r="J116" t="s">
        <v>159</v>
      </c>
      <c r="K116" t="s">
        <v>160</v>
      </c>
      <c r="L116" t="s">
        <v>58</v>
      </c>
      <c r="M116" t="s">
        <v>87</v>
      </c>
      <c r="N116" t="s">
        <v>128</v>
      </c>
      <c r="O116" t="s">
        <v>89</v>
      </c>
      <c r="P116" s="1">
        <v>40186</v>
      </c>
      <c r="Q116">
        <v>14.4</v>
      </c>
      <c r="R116" t="s">
        <v>208</v>
      </c>
      <c r="S116" t="s">
        <v>110</v>
      </c>
      <c r="T116" t="s">
        <v>111</v>
      </c>
      <c r="U116">
        <v>9</v>
      </c>
      <c r="V116">
        <v>1</v>
      </c>
      <c r="W116">
        <v>2730</v>
      </c>
      <c r="X116">
        <v>2116</v>
      </c>
      <c r="Y116">
        <v>422</v>
      </c>
      <c r="Z116">
        <v>5268</v>
      </c>
      <c r="AA116">
        <v>525</v>
      </c>
      <c r="AB116" t="s">
        <v>65</v>
      </c>
      <c r="AC116">
        <v>16.100000000000001</v>
      </c>
      <c r="AD116">
        <v>44</v>
      </c>
      <c r="AE116">
        <v>52</v>
      </c>
      <c r="AF116" t="s">
        <v>112</v>
      </c>
      <c r="AG116">
        <v>22</v>
      </c>
      <c r="AH116" t="s">
        <v>113</v>
      </c>
      <c r="AI116" t="s">
        <v>152</v>
      </c>
      <c r="AJ116" t="s">
        <v>72</v>
      </c>
      <c r="AK116" t="s">
        <v>71</v>
      </c>
      <c r="AL116" t="s">
        <v>70</v>
      </c>
      <c r="AM116" t="s">
        <v>70</v>
      </c>
      <c r="AN116" t="s">
        <v>72</v>
      </c>
      <c r="AO116" t="s">
        <v>287</v>
      </c>
      <c r="AP116" t="s">
        <v>72</v>
      </c>
      <c r="AQ116" t="s">
        <v>74</v>
      </c>
      <c r="AR116" s="1">
        <v>41064</v>
      </c>
      <c r="AS116" t="s">
        <v>75</v>
      </c>
      <c r="AT116" t="s">
        <v>71</v>
      </c>
      <c r="AU116">
        <v>1473</v>
      </c>
      <c r="AV116" t="s">
        <v>76</v>
      </c>
    </row>
    <row r="117" spans="1:48" x14ac:dyDescent="0.25">
      <c r="A117" t="s">
        <v>403</v>
      </c>
      <c r="B117" t="s">
        <v>49</v>
      </c>
      <c r="C117" t="s">
        <v>360</v>
      </c>
      <c r="D117" t="s">
        <v>51</v>
      </c>
      <c r="E117">
        <v>39</v>
      </c>
      <c r="F117" t="s">
        <v>168</v>
      </c>
      <c r="G117" t="s">
        <v>215</v>
      </c>
      <c r="H117" t="s">
        <v>216</v>
      </c>
      <c r="I117" t="s">
        <v>144</v>
      </c>
      <c r="J117" t="s">
        <v>145</v>
      </c>
      <c r="K117" t="s">
        <v>146</v>
      </c>
      <c r="L117" t="s">
        <v>86</v>
      </c>
      <c r="M117" t="s">
        <v>207</v>
      </c>
      <c r="N117" t="s">
        <v>265</v>
      </c>
      <c r="O117" t="s">
        <v>176</v>
      </c>
      <c r="P117" s="1">
        <v>39896</v>
      </c>
      <c r="Q117">
        <v>15.2</v>
      </c>
      <c r="R117" t="s">
        <v>129</v>
      </c>
      <c r="S117" t="s">
        <v>130</v>
      </c>
      <c r="T117" t="s">
        <v>131</v>
      </c>
      <c r="U117">
        <v>7</v>
      </c>
      <c r="V117">
        <v>1</v>
      </c>
      <c r="W117">
        <v>3637</v>
      </c>
      <c r="X117">
        <v>916</v>
      </c>
      <c r="Y117">
        <v>266</v>
      </c>
      <c r="Z117">
        <v>4819</v>
      </c>
      <c r="AA117">
        <v>303</v>
      </c>
      <c r="AB117" t="s">
        <v>151</v>
      </c>
      <c r="AC117">
        <v>18.100000000000001</v>
      </c>
      <c r="AD117">
        <v>63</v>
      </c>
      <c r="AE117">
        <v>38</v>
      </c>
      <c r="AF117" t="s">
        <v>132</v>
      </c>
      <c r="AG117">
        <v>25</v>
      </c>
      <c r="AH117" t="s">
        <v>113</v>
      </c>
      <c r="AI117" t="s">
        <v>95</v>
      </c>
      <c r="AJ117" t="s">
        <v>72</v>
      </c>
      <c r="AK117" t="s">
        <v>70</v>
      </c>
      <c r="AL117" t="s">
        <v>70</v>
      </c>
      <c r="AM117" t="s">
        <v>70</v>
      </c>
      <c r="AN117" t="s">
        <v>202</v>
      </c>
      <c r="AO117" t="s">
        <v>134</v>
      </c>
      <c r="AP117" t="s">
        <v>227</v>
      </c>
      <c r="AQ117" t="s">
        <v>74</v>
      </c>
      <c r="AR117" s="1">
        <v>45201</v>
      </c>
      <c r="AS117" t="s">
        <v>75</v>
      </c>
      <c r="AT117" t="s">
        <v>71</v>
      </c>
      <c r="AU117">
        <v>1786</v>
      </c>
      <c r="AV117" t="s">
        <v>76</v>
      </c>
    </row>
    <row r="118" spans="1:48" x14ac:dyDescent="0.25">
      <c r="A118" t="s">
        <v>404</v>
      </c>
      <c r="B118" t="s">
        <v>277</v>
      </c>
      <c r="C118" t="s">
        <v>252</v>
      </c>
      <c r="D118" t="s">
        <v>51</v>
      </c>
      <c r="E118">
        <v>36</v>
      </c>
      <c r="F118" t="s">
        <v>305</v>
      </c>
      <c r="G118" t="s">
        <v>285</v>
      </c>
      <c r="H118" t="s">
        <v>286</v>
      </c>
      <c r="I118" t="s">
        <v>273</v>
      </c>
      <c r="J118" t="s">
        <v>274</v>
      </c>
      <c r="K118" t="s">
        <v>57</v>
      </c>
      <c r="L118" t="s">
        <v>106</v>
      </c>
      <c r="M118" t="s">
        <v>207</v>
      </c>
      <c r="N118" t="s">
        <v>265</v>
      </c>
      <c r="O118" t="s">
        <v>61</v>
      </c>
      <c r="P118" s="1">
        <v>44602</v>
      </c>
      <c r="Q118">
        <v>2.2999999999999998</v>
      </c>
      <c r="R118" t="s">
        <v>75</v>
      </c>
      <c r="S118" t="s">
        <v>130</v>
      </c>
      <c r="T118" t="s">
        <v>131</v>
      </c>
      <c r="U118">
        <v>10</v>
      </c>
      <c r="V118">
        <v>1</v>
      </c>
      <c r="W118">
        <v>7668</v>
      </c>
      <c r="X118">
        <v>0</v>
      </c>
      <c r="Y118">
        <v>266</v>
      </c>
      <c r="Z118">
        <v>7934</v>
      </c>
      <c r="AA118">
        <v>447</v>
      </c>
      <c r="AB118" t="s">
        <v>65</v>
      </c>
      <c r="AC118">
        <v>14.4</v>
      </c>
      <c r="AD118">
        <v>34</v>
      </c>
      <c r="AE118">
        <v>77</v>
      </c>
      <c r="AF118" t="s">
        <v>132</v>
      </c>
      <c r="AG118">
        <v>26</v>
      </c>
      <c r="AH118" t="s">
        <v>113</v>
      </c>
      <c r="AI118" t="s">
        <v>177</v>
      </c>
      <c r="AJ118" t="s">
        <v>72</v>
      </c>
      <c r="AK118" t="s">
        <v>70</v>
      </c>
      <c r="AL118" t="s">
        <v>71</v>
      </c>
      <c r="AM118" t="s">
        <v>70</v>
      </c>
      <c r="AN118" t="s">
        <v>115</v>
      </c>
      <c r="AO118" t="s">
        <v>221</v>
      </c>
      <c r="AP118" t="s">
        <v>72</v>
      </c>
      <c r="AQ118" t="s">
        <v>117</v>
      </c>
      <c r="AR118" s="1">
        <v>44807</v>
      </c>
      <c r="AS118" t="s">
        <v>198</v>
      </c>
      <c r="AT118" t="s">
        <v>71</v>
      </c>
      <c r="AU118">
        <v>1063</v>
      </c>
      <c r="AV118" t="s">
        <v>76</v>
      </c>
    </row>
    <row r="119" spans="1:48" x14ac:dyDescent="0.25">
      <c r="A119" t="s">
        <v>405</v>
      </c>
      <c r="B119" t="s">
        <v>205</v>
      </c>
      <c r="C119" t="s">
        <v>257</v>
      </c>
      <c r="D119" t="s">
        <v>51</v>
      </c>
      <c r="E119">
        <v>37</v>
      </c>
      <c r="F119" t="s">
        <v>52</v>
      </c>
      <c r="G119" t="s">
        <v>124</v>
      </c>
      <c r="H119" t="s">
        <v>125</v>
      </c>
      <c r="I119" t="s">
        <v>273</v>
      </c>
      <c r="J119" t="s">
        <v>274</v>
      </c>
      <c r="K119" t="s">
        <v>57</v>
      </c>
      <c r="L119" t="s">
        <v>58</v>
      </c>
      <c r="M119" t="s">
        <v>161</v>
      </c>
      <c r="N119" t="s">
        <v>162</v>
      </c>
      <c r="O119" t="s">
        <v>61</v>
      </c>
      <c r="P119" s="1">
        <v>42101</v>
      </c>
      <c r="Q119">
        <v>9.1999999999999993</v>
      </c>
      <c r="R119" t="s">
        <v>208</v>
      </c>
      <c r="S119" t="s">
        <v>130</v>
      </c>
      <c r="T119" t="s">
        <v>131</v>
      </c>
      <c r="U119">
        <v>10</v>
      </c>
      <c r="V119">
        <v>1</v>
      </c>
      <c r="W119">
        <v>2730</v>
      </c>
      <c r="X119">
        <v>0</v>
      </c>
      <c r="Y119">
        <v>422</v>
      </c>
      <c r="Z119">
        <v>3152</v>
      </c>
      <c r="AA119">
        <v>450</v>
      </c>
      <c r="AB119" t="s">
        <v>65</v>
      </c>
      <c r="AC119">
        <v>16.600000000000001</v>
      </c>
      <c r="AD119">
        <v>60</v>
      </c>
      <c r="AE119">
        <v>41</v>
      </c>
      <c r="AF119" t="s">
        <v>66</v>
      </c>
      <c r="AG119">
        <v>16</v>
      </c>
      <c r="AH119" t="s">
        <v>113</v>
      </c>
      <c r="AI119" t="s">
        <v>95</v>
      </c>
      <c r="AJ119" t="s">
        <v>188</v>
      </c>
      <c r="AK119" t="s">
        <v>70</v>
      </c>
      <c r="AL119" t="s">
        <v>71</v>
      </c>
      <c r="AM119" t="s">
        <v>70</v>
      </c>
      <c r="AN119" t="s">
        <v>231</v>
      </c>
      <c r="AO119" t="s">
        <v>287</v>
      </c>
      <c r="AP119" t="s">
        <v>72</v>
      </c>
      <c r="AQ119" t="s">
        <v>98</v>
      </c>
      <c r="AR119" s="1">
        <v>43575</v>
      </c>
      <c r="AS119" t="s">
        <v>198</v>
      </c>
      <c r="AT119" t="s">
        <v>71</v>
      </c>
      <c r="AU119">
        <v>-481</v>
      </c>
      <c r="AV119" t="s">
        <v>179</v>
      </c>
    </row>
    <row r="120" spans="1:48" x14ac:dyDescent="0.25">
      <c r="A120" t="s">
        <v>406</v>
      </c>
      <c r="B120" t="s">
        <v>282</v>
      </c>
      <c r="C120" t="s">
        <v>155</v>
      </c>
      <c r="D120" t="s">
        <v>51</v>
      </c>
      <c r="E120">
        <v>28</v>
      </c>
      <c r="F120" t="s">
        <v>141</v>
      </c>
      <c r="G120" t="s">
        <v>234</v>
      </c>
      <c r="H120" t="s">
        <v>235</v>
      </c>
      <c r="I120" t="s">
        <v>236</v>
      </c>
      <c r="J120" t="s">
        <v>237</v>
      </c>
      <c r="K120" t="s">
        <v>238</v>
      </c>
      <c r="L120" t="s">
        <v>86</v>
      </c>
      <c r="M120" t="s">
        <v>147</v>
      </c>
      <c r="N120" t="s">
        <v>108</v>
      </c>
      <c r="O120" t="s">
        <v>89</v>
      </c>
      <c r="P120" s="1">
        <v>43896</v>
      </c>
      <c r="Q120">
        <v>4.2</v>
      </c>
      <c r="R120" t="s">
        <v>75</v>
      </c>
      <c r="S120" t="s">
        <v>163</v>
      </c>
      <c r="T120" t="s">
        <v>164</v>
      </c>
      <c r="U120">
        <v>7</v>
      </c>
      <c r="V120">
        <v>1</v>
      </c>
      <c r="W120">
        <v>1917</v>
      </c>
      <c r="X120">
        <v>1263</v>
      </c>
      <c r="Y120">
        <v>422</v>
      </c>
      <c r="Z120">
        <v>3602</v>
      </c>
      <c r="AA120">
        <v>547</v>
      </c>
      <c r="AB120" t="s">
        <v>65</v>
      </c>
      <c r="AC120">
        <v>15.2</v>
      </c>
      <c r="AD120">
        <v>26</v>
      </c>
      <c r="AE120">
        <v>54</v>
      </c>
      <c r="AF120" t="s">
        <v>112</v>
      </c>
      <c r="AG120">
        <v>21</v>
      </c>
      <c r="AH120" t="s">
        <v>113</v>
      </c>
      <c r="AI120" t="s">
        <v>68</v>
      </c>
      <c r="AJ120" t="s">
        <v>96</v>
      </c>
      <c r="AK120" t="s">
        <v>70</v>
      </c>
      <c r="AL120" t="s">
        <v>70</v>
      </c>
      <c r="AM120" t="s">
        <v>70</v>
      </c>
      <c r="AN120" t="s">
        <v>72</v>
      </c>
      <c r="AO120" t="s">
        <v>97</v>
      </c>
      <c r="AP120" t="s">
        <v>134</v>
      </c>
      <c r="AQ120" t="s">
        <v>117</v>
      </c>
      <c r="AR120" s="1">
        <v>45493</v>
      </c>
      <c r="AS120" t="s">
        <v>118</v>
      </c>
      <c r="AT120" t="s">
        <v>71</v>
      </c>
      <c r="AU120">
        <v>1152</v>
      </c>
      <c r="AV120" t="s">
        <v>76</v>
      </c>
    </row>
    <row r="121" spans="1:48" x14ac:dyDescent="0.25">
      <c r="A121" t="s">
        <v>407</v>
      </c>
      <c r="B121" t="s">
        <v>120</v>
      </c>
      <c r="C121" t="s">
        <v>182</v>
      </c>
      <c r="D121" t="s">
        <v>51</v>
      </c>
      <c r="E121">
        <v>21</v>
      </c>
      <c r="F121" t="s">
        <v>168</v>
      </c>
      <c r="G121" t="s">
        <v>124</v>
      </c>
      <c r="H121" t="s">
        <v>125</v>
      </c>
      <c r="I121" t="s">
        <v>55</v>
      </c>
      <c r="J121" t="s">
        <v>56</v>
      </c>
      <c r="K121" t="s">
        <v>57</v>
      </c>
      <c r="L121" t="s">
        <v>106</v>
      </c>
      <c r="M121" t="s">
        <v>296</v>
      </c>
      <c r="N121" t="s">
        <v>148</v>
      </c>
      <c r="O121" t="s">
        <v>61</v>
      </c>
      <c r="P121" s="1">
        <v>39737</v>
      </c>
      <c r="Q121">
        <v>15.6</v>
      </c>
      <c r="R121" t="s">
        <v>150</v>
      </c>
      <c r="S121" t="s">
        <v>163</v>
      </c>
      <c r="T121" t="s">
        <v>164</v>
      </c>
      <c r="U121">
        <v>11</v>
      </c>
      <c r="V121">
        <v>1</v>
      </c>
      <c r="W121">
        <v>2730</v>
      </c>
      <c r="X121">
        <v>0</v>
      </c>
      <c r="Y121">
        <v>422</v>
      </c>
      <c r="Z121">
        <v>3152</v>
      </c>
      <c r="AA121">
        <v>563</v>
      </c>
      <c r="AB121" t="s">
        <v>65</v>
      </c>
      <c r="AC121">
        <v>15.7</v>
      </c>
      <c r="AD121">
        <v>60</v>
      </c>
      <c r="AE121">
        <v>46</v>
      </c>
      <c r="AF121" t="s">
        <v>66</v>
      </c>
      <c r="AG121">
        <v>35</v>
      </c>
      <c r="AH121" t="s">
        <v>67</v>
      </c>
      <c r="AI121" t="s">
        <v>68</v>
      </c>
      <c r="AJ121" t="s">
        <v>72</v>
      </c>
      <c r="AK121" t="s">
        <v>70</v>
      </c>
      <c r="AL121" t="s">
        <v>70</v>
      </c>
      <c r="AM121" t="s">
        <v>70</v>
      </c>
      <c r="AN121" t="s">
        <v>202</v>
      </c>
      <c r="AO121" t="s">
        <v>135</v>
      </c>
      <c r="AP121" t="s">
        <v>72</v>
      </c>
      <c r="AQ121" t="s">
        <v>136</v>
      </c>
      <c r="AR121" s="1">
        <v>45143</v>
      </c>
      <c r="AS121" t="s">
        <v>198</v>
      </c>
      <c r="AT121" t="s">
        <v>71</v>
      </c>
      <c r="AU121">
        <v>-462</v>
      </c>
      <c r="AV121" t="s">
        <v>179</v>
      </c>
    </row>
    <row r="122" spans="1:48" x14ac:dyDescent="0.25">
      <c r="A122" t="s">
        <v>408</v>
      </c>
      <c r="B122" t="s">
        <v>210</v>
      </c>
      <c r="C122" t="s">
        <v>257</v>
      </c>
      <c r="D122" t="s">
        <v>51</v>
      </c>
      <c r="E122">
        <v>35</v>
      </c>
      <c r="F122" t="s">
        <v>141</v>
      </c>
      <c r="G122" t="s">
        <v>81</v>
      </c>
      <c r="H122" t="s">
        <v>82</v>
      </c>
      <c r="I122" t="s">
        <v>158</v>
      </c>
      <c r="J122" t="s">
        <v>159</v>
      </c>
      <c r="K122" t="s">
        <v>160</v>
      </c>
      <c r="L122" t="s">
        <v>201</v>
      </c>
      <c r="M122" t="s">
        <v>207</v>
      </c>
      <c r="N122" t="s">
        <v>148</v>
      </c>
      <c r="O122" t="s">
        <v>61</v>
      </c>
      <c r="P122" s="1">
        <v>44093</v>
      </c>
      <c r="Q122">
        <v>3.7</v>
      </c>
      <c r="R122" t="s">
        <v>195</v>
      </c>
      <c r="S122" t="s">
        <v>130</v>
      </c>
      <c r="T122" t="s">
        <v>131</v>
      </c>
      <c r="U122">
        <v>13</v>
      </c>
      <c r="V122">
        <v>2</v>
      </c>
      <c r="W122">
        <v>2504</v>
      </c>
      <c r="X122">
        <v>0</v>
      </c>
      <c r="Y122">
        <v>422</v>
      </c>
      <c r="Z122">
        <v>2926</v>
      </c>
      <c r="AA122">
        <v>544</v>
      </c>
      <c r="AB122" t="s">
        <v>65</v>
      </c>
      <c r="AC122">
        <v>14.9</v>
      </c>
      <c r="AD122">
        <v>70</v>
      </c>
      <c r="AE122">
        <v>36</v>
      </c>
      <c r="AF122" t="s">
        <v>93</v>
      </c>
      <c r="AG122">
        <v>35</v>
      </c>
      <c r="AH122" t="s">
        <v>67</v>
      </c>
      <c r="AI122" t="s">
        <v>114</v>
      </c>
      <c r="AJ122" t="s">
        <v>69</v>
      </c>
      <c r="AK122" t="s">
        <v>70</v>
      </c>
      <c r="AL122" t="s">
        <v>71</v>
      </c>
      <c r="AM122" t="s">
        <v>71</v>
      </c>
      <c r="AN122" t="s">
        <v>72</v>
      </c>
      <c r="AO122" t="s">
        <v>73</v>
      </c>
      <c r="AP122" t="s">
        <v>203</v>
      </c>
      <c r="AQ122" t="s">
        <v>98</v>
      </c>
      <c r="AR122" s="1">
        <v>43836</v>
      </c>
      <c r="AS122" t="s">
        <v>198</v>
      </c>
      <c r="AT122" t="s">
        <v>71</v>
      </c>
      <c r="AU122">
        <v>-448</v>
      </c>
      <c r="AV122" t="s">
        <v>179</v>
      </c>
    </row>
    <row r="123" spans="1:48" x14ac:dyDescent="0.25">
      <c r="A123" t="s">
        <v>409</v>
      </c>
      <c r="B123" t="s">
        <v>251</v>
      </c>
      <c r="C123" t="s">
        <v>140</v>
      </c>
      <c r="D123" t="s">
        <v>51</v>
      </c>
      <c r="E123">
        <v>21</v>
      </c>
      <c r="F123" t="s">
        <v>214</v>
      </c>
      <c r="G123" t="s">
        <v>285</v>
      </c>
      <c r="H123" t="s">
        <v>286</v>
      </c>
      <c r="I123" t="s">
        <v>273</v>
      </c>
      <c r="J123" t="s">
        <v>274</v>
      </c>
      <c r="K123" t="s">
        <v>57</v>
      </c>
      <c r="L123" t="s">
        <v>174</v>
      </c>
      <c r="M123" t="s">
        <v>147</v>
      </c>
      <c r="N123" t="s">
        <v>60</v>
      </c>
      <c r="O123" t="s">
        <v>89</v>
      </c>
      <c r="P123" s="1">
        <v>40449</v>
      </c>
      <c r="Q123">
        <v>13.7</v>
      </c>
      <c r="R123" t="s">
        <v>90</v>
      </c>
      <c r="S123" t="s">
        <v>219</v>
      </c>
      <c r="T123" t="s">
        <v>220</v>
      </c>
      <c r="U123">
        <v>0</v>
      </c>
      <c r="V123">
        <v>0</v>
      </c>
      <c r="W123">
        <v>7668</v>
      </c>
      <c r="X123">
        <v>1273</v>
      </c>
      <c r="Y123">
        <v>266</v>
      </c>
      <c r="Z123">
        <v>9207</v>
      </c>
      <c r="AA123">
        <v>527</v>
      </c>
      <c r="AB123" t="s">
        <v>65</v>
      </c>
      <c r="AC123">
        <v>20.9</v>
      </c>
      <c r="AD123">
        <v>38</v>
      </c>
      <c r="AE123">
        <v>46</v>
      </c>
      <c r="AF123" t="s">
        <v>66</v>
      </c>
      <c r="AG123">
        <v>19</v>
      </c>
      <c r="AH123" t="s">
        <v>113</v>
      </c>
      <c r="AI123" t="s">
        <v>177</v>
      </c>
      <c r="AJ123" t="s">
        <v>96</v>
      </c>
      <c r="AK123" t="s">
        <v>70</v>
      </c>
      <c r="AL123" t="s">
        <v>70</v>
      </c>
      <c r="AM123" t="s">
        <v>71</v>
      </c>
      <c r="AN123" t="s">
        <v>202</v>
      </c>
      <c r="AO123" t="s">
        <v>178</v>
      </c>
      <c r="AP123" t="s">
        <v>134</v>
      </c>
      <c r="AQ123" t="s">
        <v>117</v>
      </c>
      <c r="AR123" s="1">
        <v>42871</v>
      </c>
      <c r="AS123" t="s">
        <v>118</v>
      </c>
      <c r="AT123" t="s">
        <v>71</v>
      </c>
      <c r="AU123">
        <v>964</v>
      </c>
      <c r="AV123" t="s">
        <v>76</v>
      </c>
    </row>
    <row r="124" spans="1:48" x14ac:dyDescent="0.25">
      <c r="A124" t="s">
        <v>410</v>
      </c>
      <c r="B124" t="s">
        <v>49</v>
      </c>
      <c r="C124" t="s">
        <v>330</v>
      </c>
      <c r="D124" t="s">
        <v>122</v>
      </c>
      <c r="E124">
        <v>23</v>
      </c>
      <c r="F124" t="s">
        <v>305</v>
      </c>
      <c r="G124" t="s">
        <v>193</v>
      </c>
      <c r="H124" t="s">
        <v>194</v>
      </c>
      <c r="I124" t="s">
        <v>83</v>
      </c>
      <c r="J124" t="s">
        <v>84</v>
      </c>
      <c r="K124" t="s">
        <v>85</v>
      </c>
      <c r="L124" t="s">
        <v>86</v>
      </c>
      <c r="M124" t="s">
        <v>275</v>
      </c>
      <c r="N124" t="s">
        <v>60</v>
      </c>
      <c r="O124" t="s">
        <v>109</v>
      </c>
      <c r="P124" s="1">
        <v>41631</v>
      </c>
      <c r="Q124">
        <v>10.4</v>
      </c>
      <c r="R124" t="s">
        <v>150</v>
      </c>
      <c r="S124" t="s">
        <v>91</v>
      </c>
      <c r="T124" t="s">
        <v>92</v>
      </c>
      <c r="U124">
        <v>8</v>
      </c>
      <c r="V124">
        <v>1</v>
      </c>
      <c r="W124">
        <v>2259</v>
      </c>
      <c r="X124">
        <v>1589</v>
      </c>
      <c r="Y124">
        <v>422</v>
      </c>
      <c r="Z124">
        <v>4270</v>
      </c>
      <c r="AA124">
        <v>347</v>
      </c>
      <c r="AB124" t="s">
        <v>151</v>
      </c>
      <c r="AC124">
        <v>19.3</v>
      </c>
      <c r="AD124">
        <v>61</v>
      </c>
      <c r="AE124">
        <v>40</v>
      </c>
      <c r="AF124" t="s">
        <v>93</v>
      </c>
      <c r="AG124">
        <v>38</v>
      </c>
      <c r="AH124" t="s">
        <v>94</v>
      </c>
      <c r="AI124" t="s">
        <v>95</v>
      </c>
      <c r="AJ124" t="s">
        <v>69</v>
      </c>
      <c r="AK124" t="s">
        <v>70</v>
      </c>
      <c r="AL124" t="s">
        <v>70</v>
      </c>
      <c r="AM124" t="s">
        <v>70</v>
      </c>
      <c r="AN124" t="s">
        <v>133</v>
      </c>
      <c r="AO124" t="s">
        <v>72</v>
      </c>
      <c r="AP124" t="s">
        <v>72</v>
      </c>
      <c r="AQ124" t="s">
        <v>98</v>
      </c>
      <c r="AR124" s="1">
        <v>42345</v>
      </c>
      <c r="AS124" t="s">
        <v>75</v>
      </c>
      <c r="AT124" t="s">
        <v>71</v>
      </c>
      <c r="AU124">
        <v>1478</v>
      </c>
      <c r="AV124" t="s">
        <v>76</v>
      </c>
    </row>
    <row r="125" spans="1:48" x14ac:dyDescent="0.25">
      <c r="A125" t="s">
        <v>411</v>
      </c>
      <c r="B125" t="s">
        <v>166</v>
      </c>
      <c r="C125" t="s">
        <v>223</v>
      </c>
      <c r="D125" t="s">
        <v>122</v>
      </c>
      <c r="E125">
        <v>19</v>
      </c>
      <c r="F125" t="s">
        <v>316</v>
      </c>
      <c r="G125" t="s">
        <v>279</v>
      </c>
      <c r="H125" t="s">
        <v>280</v>
      </c>
      <c r="I125" t="s">
        <v>268</v>
      </c>
      <c r="J125" t="s">
        <v>269</v>
      </c>
      <c r="K125" t="s">
        <v>173</v>
      </c>
      <c r="L125" t="s">
        <v>174</v>
      </c>
      <c r="M125" t="s">
        <v>207</v>
      </c>
      <c r="N125" t="s">
        <v>265</v>
      </c>
      <c r="O125" t="s">
        <v>176</v>
      </c>
      <c r="P125" s="1">
        <v>38454</v>
      </c>
      <c r="Q125">
        <v>19.100000000000001</v>
      </c>
      <c r="R125" t="s">
        <v>129</v>
      </c>
      <c r="S125" t="s">
        <v>219</v>
      </c>
      <c r="T125" t="s">
        <v>220</v>
      </c>
      <c r="U125">
        <v>0</v>
      </c>
      <c r="V125">
        <v>0</v>
      </c>
      <c r="W125">
        <v>6618</v>
      </c>
      <c r="X125">
        <v>0</v>
      </c>
      <c r="Y125">
        <v>266</v>
      </c>
      <c r="Z125">
        <v>6884</v>
      </c>
      <c r="AA125">
        <v>555</v>
      </c>
      <c r="AB125" t="s">
        <v>65</v>
      </c>
      <c r="AC125">
        <v>20.8</v>
      </c>
      <c r="AD125">
        <v>62</v>
      </c>
      <c r="AE125">
        <v>51</v>
      </c>
      <c r="AF125" t="s">
        <v>66</v>
      </c>
      <c r="AG125">
        <v>29</v>
      </c>
      <c r="AH125" t="s">
        <v>113</v>
      </c>
      <c r="AI125" t="s">
        <v>114</v>
      </c>
      <c r="AJ125" t="s">
        <v>69</v>
      </c>
      <c r="AK125" t="s">
        <v>70</v>
      </c>
      <c r="AL125" t="s">
        <v>70</v>
      </c>
      <c r="AM125" t="s">
        <v>70</v>
      </c>
      <c r="AN125" t="s">
        <v>202</v>
      </c>
      <c r="AO125" t="s">
        <v>72</v>
      </c>
      <c r="AP125" t="s">
        <v>287</v>
      </c>
      <c r="AQ125" t="s">
        <v>117</v>
      </c>
      <c r="AR125" s="1">
        <v>38966</v>
      </c>
      <c r="AS125" t="s">
        <v>198</v>
      </c>
      <c r="AT125" t="s">
        <v>71</v>
      </c>
      <c r="AU125">
        <v>1513</v>
      </c>
      <c r="AV125" t="s">
        <v>76</v>
      </c>
    </row>
    <row r="126" spans="1:48" x14ac:dyDescent="0.25">
      <c r="A126" t="s">
        <v>412</v>
      </c>
      <c r="B126" t="s">
        <v>267</v>
      </c>
      <c r="C126" t="s">
        <v>182</v>
      </c>
      <c r="D126" t="s">
        <v>51</v>
      </c>
      <c r="E126">
        <v>19</v>
      </c>
      <c r="F126" t="s">
        <v>168</v>
      </c>
      <c r="G126" t="s">
        <v>242</v>
      </c>
      <c r="H126" t="s">
        <v>54</v>
      </c>
      <c r="I126" t="s">
        <v>268</v>
      </c>
      <c r="J126" t="s">
        <v>269</v>
      </c>
      <c r="K126" t="s">
        <v>173</v>
      </c>
      <c r="L126" t="s">
        <v>201</v>
      </c>
      <c r="M126" t="s">
        <v>107</v>
      </c>
      <c r="N126" t="s">
        <v>148</v>
      </c>
      <c r="O126" t="s">
        <v>109</v>
      </c>
      <c r="P126" s="1">
        <v>41656</v>
      </c>
      <c r="Q126">
        <v>10.4</v>
      </c>
      <c r="R126" t="s">
        <v>129</v>
      </c>
      <c r="S126" t="s">
        <v>196</v>
      </c>
      <c r="T126" t="s">
        <v>197</v>
      </c>
      <c r="U126">
        <v>0</v>
      </c>
      <c r="V126">
        <v>0</v>
      </c>
      <c r="W126">
        <v>4739</v>
      </c>
      <c r="X126">
        <v>0</v>
      </c>
      <c r="Y126">
        <v>422</v>
      </c>
      <c r="Z126">
        <v>5161</v>
      </c>
      <c r="AA126">
        <v>519</v>
      </c>
      <c r="AB126" t="s">
        <v>65</v>
      </c>
      <c r="AC126">
        <v>16.399999999999999</v>
      </c>
      <c r="AD126">
        <v>71</v>
      </c>
      <c r="AE126">
        <v>66</v>
      </c>
      <c r="AF126" t="s">
        <v>66</v>
      </c>
      <c r="AG126">
        <v>31</v>
      </c>
      <c r="AH126" t="s">
        <v>67</v>
      </c>
      <c r="AI126" t="s">
        <v>152</v>
      </c>
      <c r="AJ126" t="s">
        <v>72</v>
      </c>
      <c r="AK126" t="s">
        <v>71</v>
      </c>
      <c r="AL126" t="s">
        <v>70</v>
      </c>
      <c r="AM126" t="s">
        <v>70</v>
      </c>
      <c r="AN126" t="s">
        <v>115</v>
      </c>
      <c r="AO126" t="s">
        <v>287</v>
      </c>
      <c r="AP126" t="s">
        <v>72</v>
      </c>
      <c r="AQ126" t="s">
        <v>74</v>
      </c>
      <c r="AR126" s="1">
        <v>45585</v>
      </c>
      <c r="AS126" t="s">
        <v>137</v>
      </c>
      <c r="AT126" t="s">
        <v>71</v>
      </c>
      <c r="AU126">
        <v>747</v>
      </c>
      <c r="AV126" t="s">
        <v>76</v>
      </c>
    </row>
    <row r="127" spans="1:48" x14ac:dyDescent="0.25">
      <c r="A127" t="s">
        <v>413</v>
      </c>
      <c r="B127" t="s">
        <v>267</v>
      </c>
      <c r="C127" t="s">
        <v>200</v>
      </c>
      <c r="D127" t="s">
        <v>51</v>
      </c>
      <c r="E127">
        <v>19</v>
      </c>
      <c r="F127" t="s">
        <v>123</v>
      </c>
      <c r="G127" t="s">
        <v>301</v>
      </c>
      <c r="H127" t="s">
        <v>302</v>
      </c>
      <c r="I127" t="s">
        <v>144</v>
      </c>
      <c r="J127" t="s">
        <v>145</v>
      </c>
      <c r="K127" t="s">
        <v>146</v>
      </c>
      <c r="L127" t="s">
        <v>174</v>
      </c>
      <c r="M127" t="s">
        <v>107</v>
      </c>
      <c r="N127" t="s">
        <v>128</v>
      </c>
      <c r="O127" t="s">
        <v>109</v>
      </c>
      <c r="P127" s="1">
        <v>41072</v>
      </c>
      <c r="Q127">
        <v>12</v>
      </c>
      <c r="R127" t="s">
        <v>195</v>
      </c>
      <c r="S127" t="s">
        <v>63</v>
      </c>
      <c r="T127" t="s">
        <v>64</v>
      </c>
      <c r="U127">
        <v>0</v>
      </c>
      <c r="V127">
        <v>0</v>
      </c>
      <c r="W127">
        <v>4188</v>
      </c>
      <c r="X127">
        <v>2069</v>
      </c>
      <c r="Y127">
        <v>266</v>
      </c>
      <c r="Z127">
        <v>6523</v>
      </c>
      <c r="AA127">
        <v>521</v>
      </c>
      <c r="AB127" t="s">
        <v>65</v>
      </c>
      <c r="AC127">
        <v>18.600000000000001</v>
      </c>
      <c r="AD127">
        <v>43</v>
      </c>
      <c r="AE127">
        <v>75</v>
      </c>
      <c r="AF127" t="s">
        <v>66</v>
      </c>
      <c r="AG127">
        <v>19</v>
      </c>
      <c r="AH127" t="s">
        <v>113</v>
      </c>
      <c r="AI127" t="s">
        <v>95</v>
      </c>
      <c r="AJ127" t="s">
        <v>96</v>
      </c>
      <c r="AK127" t="s">
        <v>70</v>
      </c>
      <c r="AL127" t="s">
        <v>70</v>
      </c>
      <c r="AM127" t="s">
        <v>71</v>
      </c>
      <c r="AN127" t="s">
        <v>133</v>
      </c>
      <c r="AO127" t="s">
        <v>72</v>
      </c>
      <c r="AP127" t="s">
        <v>135</v>
      </c>
      <c r="AQ127" t="s">
        <v>117</v>
      </c>
      <c r="AR127" s="1">
        <v>44261</v>
      </c>
      <c r="AS127" t="s">
        <v>118</v>
      </c>
      <c r="AT127" t="s">
        <v>71</v>
      </c>
      <c r="AU127">
        <v>-62</v>
      </c>
      <c r="AV127" t="s">
        <v>179</v>
      </c>
    </row>
    <row r="128" spans="1:48" x14ac:dyDescent="0.25">
      <c r="A128" t="s">
        <v>414</v>
      </c>
      <c r="B128" t="s">
        <v>263</v>
      </c>
      <c r="C128" t="s">
        <v>155</v>
      </c>
      <c r="D128" t="s">
        <v>51</v>
      </c>
      <c r="E128">
        <v>44</v>
      </c>
      <c r="F128" t="s">
        <v>241</v>
      </c>
      <c r="G128" t="s">
        <v>81</v>
      </c>
      <c r="H128" t="s">
        <v>82</v>
      </c>
      <c r="I128" t="s">
        <v>236</v>
      </c>
      <c r="J128" t="s">
        <v>237</v>
      </c>
      <c r="K128" t="s">
        <v>238</v>
      </c>
      <c r="L128" t="s">
        <v>126</v>
      </c>
      <c r="M128" t="s">
        <v>107</v>
      </c>
      <c r="N128" t="s">
        <v>162</v>
      </c>
      <c r="O128" t="s">
        <v>149</v>
      </c>
      <c r="P128" s="1">
        <v>44224</v>
      </c>
      <c r="Q128">
        <v>3.3</v>
      </c>
      <c r="R128" t="s">
        <v>75</v>
      </c>
      <c r="S128" t="s">
        <v>110</v>
      </c>
      <c r="T128" t="s">
        <v>111</v>
      </c>
      <c r="U128">
        <v>3</v>
      </c>
      <c r="V128">
        <v>0</v>
      </c>
      <c r="W128">
        <v>2504</v>
      </c>
      <c r="X128">
        <v>0</v>
      </c>
      <c r="Y128">
        <v>422</v>
      </c>
      <c r="Z128">
        <v>2926</v>
      </c>
      <c r="AA128">
        <v>591</v>
      </c>
      <c r="AB128" t="s">
        <v>65</v>
      </c>
      <c r="AC128">
        <v>20.399999999999999</v>
      </c>
      <c r="AD128">
        <v>73</v>
      </c>
      <c r="AE128">
        <v>73</v>
      </c>
      <c r="AF128" t="s">
        <v>66</v>
      </c>
      <c r="AG128">
        <v>40</v>
      </c>
      <c r="AH128" t="s">
        <v>94</v>
      </c>
      <c r="AI128" t="s">
        <v>95</v>
      </c>
      <c r="AJ128" t="s">
        <v>72</v>
      </c>
      <c r="AK128" t="s">
        <v>71</v>
      </c>
      <c r="AL128" t="s">
        <v>70</v>
      </c>
      <c r="AM128" t="s">
        <v>70</v>
      </c>
      <c r="AN128" t="s">
        <v>202</v>
      </c>
      <c r="AO128" t="s">
        <v>287</v>
      </c>
      <c r="AP128" t="s">
        <v>72</v>
      </c>
      <c r="AQ128" t="s">
        <v>98</v>
      </c>
      <c r="AR128" s="1">
        <v>44459</v>
      </c>
      <c r="AS128" t="s">
        <v>118</v>
      </c>
      <c r="AT128" t="s">
        <v>71</v>
      </c>
      <c r="AU128">
        <v>-76</v>
      </c>
      <c r="AV128" t="s">
        <v>179</v>
      </c>
    </row>
    <row r="129" spans="1:48" x14ac:dyDescent="0.25">
      <c r="A129" t="s">
        <v>415</v>
      </c>
      <c r="B129" t="s">
        <v>100</v>
      </c>
      <c r="C129" t="s">
        <v>240</v>
      </c>
      <c r="D129" t="s">
        <v>122</v>
      </c>
      <c r="E129">
        <v>39</v>
      </c>
      <c r="F129" t="s">
        <v>192</v>
      </c>
      <c r="G129" t="s">
        <v>215</v>
      </c>
      <c r="H129" t="s">
        <v>216</v>
      </c>
      <c r="I129" t="s">
        <v>103</v>
      </c>
      <c r="J129" t="s">
        <v>104</v>
      </c>
      <c r="K129" t="s">
        <v>105</v>
      </c>
      <c r="L129" t="s">
        <v>126</v>
      </c>
      <c r="M129" t="s">
        <v>212</v>
      </c>
      <c r="N129" t="s">
        <v>148</v>
      </c>
      <c r="O129" t="s">
        <v>149</v>
      </c>
      <c r="P129" s="1">
        <v>40594</v>
      </c>
      <c r="Q129">
        <v>13.3</v>
      </c>
      <c r="R129" t="s">
        <v>62</v>
      </c>
      <c r="S129" t="s">
        <v>91</v>
      </c>
      <c r="T129" t="s">
        <v>92</v>
      </c>
      <c r="U129">
        <v>10</v>
      </c>
      <c r="V129">
        <v>1</v>
      </c>
      <c r="W129">
        <v>3637</v>
      </c>
      <c r="X129">
        <v>1402</v>
      </c>
      <c r="Y129">
        <v>266</v>
      </c>
      <c r="Z129">
        <v>5305</v>
      </c>
      <c r="AA129">
        <v>598</v>
      </c>
      <c r="AB129" t="s">
        <v>65</v>
      </c>
      <c r="AC129">
        <v>19.3</v>
      </c>
      <c r="AD129">
        <v>28</v>
      </c>
      <c r="AE129">
        <v>56</v>
      </c>
      <c r="AF129" t="s">
        <v>112</v>
      </c>
      <c r="AG129">
        <v>38</v>
      </c>
      <c r="AH129" t="s">
        <v>94</v>
      </c>
      <c r="AI129" t="s">
        <v>114</v>
      </c>
      <c r="AJ129" t="s">
        <v>188</v>
      </c>
      <c r="AK129" t="s">
        <v>70</v>
      </c>
      <c r="AL129" t="s">
        <v>70</v>
      </c>
      <c r="AM129" t="s">
        <v>70</v>
      </c>
      <c r="AN129" t="s">
        <v>243</v>
      </c>
      <c r="AO129" t="s">
        <v>203</v>
      </c>
      <c r="AP129" t="s">
        <v>72</v>
      </c>
      <c r="AQ129" t="s">
        <v>98</v>
      </c>
      <c r="AR129" s="1">
        <v>45150</v>
      </c>
      <c r="AS129" t="s">
        <v>75</v>
      </c>
      <c r="AT129" t="s">
        <v>71</v>
      </c>
      <c r="AU129">
        <v>1467</v>
      </c>
      <c r="AV129" t="s">
        <v>76</v>
      </c>
    </row>
    <row r="130" spans="1:48" x14ac:dyDescent="0.25">
      <c r="A130" t="s">
        <v>416</v>
      </c>
      <c r="B130" t="s">
        <v>245</v>
      </c>
      <c r="C130" t="s">
        <v>240</v>
      </c>
      <c r="D130" t="s">
        <v>122</v>
      </c>
      <c r="E130">
        <v>29</v>
      </c>
      <c r="F130" t="s">
        <v>278</v>
      </c>
      <c r="G130" t="s">
        <v>142</v>
      </c>
      <c r="H130" t="s">
        <v>143</v>
      </c>
      <c r="I130" t="s">
        <v>236</v>
      </c>
      <c r="J130" t="s">
        <v>237</v>
      </c>
      <c r="K130" t="s">
        <v>238</v>
      </c>
      <c r="L130" t="s">
        <v>126</v>
      </c>
      <c r="M130" t="s">
        <v>296</v>
      </c>
      <c r="N130" t="s">
        <v>148</v>
      </c>
      <c r="O130" t="s">
        <v>89</v>
      </c>
      <c r="P130" s="1">
        <v>38560</v>
      </c>
      <c r="Q130">
        <v>18.8</v>
      </c>
      <c r="R130" t="s">
        <v>129</v>
      </c>
      <c r="S130" t="s">
        <v>91</v>
      </c>
      <c r="T130" t="s">
        <v>92</v>
      </c>
      <c r="U130">
        <v>4</v>
      </c>
      <c r="V130">
        <v>0</v>
      </c>
      <c r="W130">
        <v>5473</v>
      </c>
      <c r="X130">
        <v>0</v>
      </c>
      <c r="Y130">
        <v>422</v>
      </c>
      <c r="Z130">
        <v>5895</v>
      </c>
      <c r="AA130">
        <v>372</v>
      </c>
      <c r="AB130" t="s">
        <v>65</v>
      </c>
      <c r="AC130">
        <v>14.2</v>
      </c>
      <c r="AD130">
        <v>68</v>
      </c>
      <c r="AE130">
        <v>80</v>
      </c>
      <c r="AF130" t="s">
        <v>112</v>
      </c>
      <c r="AG130">
        <v>37</v>
      </c>
      <c r="AH130" t="s">
        <v>94</v>
      </c>
      <c r="AI130" t="s">
        <v>177</v>
      </c>
      <c r="AJ130" t="s">
        <v>96</v>
      </c>
      <c r="AK130" t="s">
        <v>70</v>
      </c>
      <c r="AL130" t="s">
        <v>70</v>
      </c>
      <c r="AM130" t="s">
        <v>71</v>
      </c>
      <c r="AN130" t="s">
        <v>115</v>
      </c>
      <c r="AO130" t="s">
        <v>134</v>
      </c>
      <c r="AP130" t="s">
        <v>72</v>
      </c>
      <c r="AQ130" t="s">
        <v>136</v>
      </c>
      <c r="AR130" s="1">
        <v>41538</v>
      </c>
      <c r="AS130" t="s">
        <v>118</v>
      </c>
      <c r="AT130" t="s">
        <v>71</v>
      </c>
      <c r="AU130">
        <v>473</v>
      </c>
      <c r="AV130" t="s">
        <v>76</v>
      </c>
    </row>
    <row r="131" spans="1:48" x14ac:dyDescent="0.25">
      <c r="A131" t="s">
        <v>417</v>
      </c>
      <c r="B131" t="s">
        <v>78</v>
      </c>
      <c r="C131" t="s">
        <v>191</v>
      </c>
      <c r="D131" t="s">
        <v>51</v>
      </c>
      <c r="E131">
        <v>39</v>
      </c>
      <c r="F131" t="s">
        <v>325</v>
      </c>
      <c r="G131" t="s">
        <v>156</v>
      </c>
      <c r="H131" t="s">
        <v>157</v>
      </c>
      <c r="I131" t="s">
        <v>253</v>
      </c>
      <c r="J131" t="s">
        <v>254</v>
      </c>
      <c r="K131" t="s">
        <v>255</v>
      </c>
      <c r="L131" t="s">
        <v>106</v>
      </c>
      <c r="M131" t="s">
        <v>161</v>
      </c>
      <c r="N131" t="s">
        <v>148</v>
      </c>
      <c r="O131" t="s">
        <v>89</v>
      </c>
      <c r="P131" s="1">
        <v>38459</v>
      </c>
      <c r="Q131">
        <v>19.100000000000001</v>
      </c>
      <c r="R131" t="s">
        <v>90</v>
      </c>
      <c r="S131" t="s">
        <v>219</v>
      </c>
      <c r="T131" t="s">
        <v>220</v>
      </c>
      <c r="U131">
        <v>0</v>
      </c>
      <c r="V131">
        <v>0</v>
      </c>
      <c r="W131">
        <v>4836</v>
      </c>
      <c r="X131">
        <v>0</v>
      </c>
      <c r="Y131">
        <v>266</v>
      </c>
      <c r="Z131">
        <v>5102</v>
      </c>
      <c r="AA131">
        <v>405</v>
      </c>
      <c r="AB131" t="s">
        <v>65</v>
      </c>
      <c r="AC131">
        <v>17.8</v>
      </c>
      <c r="AD131">
        <v>69</v>
      </c>
      <c r="AE131">
        <v>58</v>
      </c>
      <c r="AF131" t="s">
        <v>112</v>
      </c>
      <c r="AG131">
        <v>40</v>
      </c>
      <c r="AH131" t="s">
        <v>94</v>
      </c>
      <c r="AI131" t="s">
        <v>114</v>
      </c>
      <c r="AJ131" t="s">
        <v>188</v>
      </c>
      <c r="AK131" t="s">
        <v>70</v>
      </c>
      <c r="AL131" t="s">
        <v>70</v>
      </c>
      <c r="AM131" t="s">
        <v>70</v>
      </c>
      <c r="AN131" t="s">
        <v>270</v>
      </c>
      <c r="AO131" t="s">
        <v>116</v>
      </c>
      <c r="AP131" t="s">
        <v>116</v>
      </c>
      <c r="AQ131" t="s">
        <v>98</v>
      </c>
      <c r="AR131" s="1">
        <v>41443</v>
      </c>
      <c r="AS131" t="s">
        <v>118</v>
      </c>
      <c r="AT131" t="s">
        <v>71</v>
      </c>
      <c r="AU131">
        <v>-334</v>
      </c>
      <c r="AV131" t="s">
        <v>179</v>
      </c>
    </row>
    <row r="132" spans="1:48" x14ac:dyDescent="0.25">
      <c r="A132" t="s">
        <v>418</v>
      </c>
      <c r="B132" t="s">
        <v>245</v>
      </c>
      <c r="C132" t="s">
        <v>206</v>
      </c>
      <c r="D132" t="s">
        <v>122</v>
      </c>
      <c r="E132">
        <v>20</v>
      </c>
      <c r="F132" t="s">
        <v>283</v>
      </c>
      <c r="G132" t="s">
        <v>242</v>
      </c>
      <c r="H132" t="s">
        <v>54</v>
      </c>
      <c r="I132" t="s">
        <v>273</v>
      </c>
      <c r="J132" t="s">
        <v>274</v>
      </c>
      <c r="K132" t="s">
        <v>57</v>
      </c>
      <c r="L132" t="s">
        <v>58</v>
      </c>
      <c r="M132" t="s">
        <v>87</v>
      </c>
      <c r="N132" t="s">
        <v>128</v>
      </c>
      <c r="O132" t="s">
        <v>176</v>
      </c>
      <c r="P132" s="1">
        <v>38399</v>
      </c>
      <c r="Q132">
        <v>19.3</v>
      </c>
      <c r="R132" t="s">
        <v>90</v>
      </c>
      <c r="S132" t="s">
        <v>110</v>
      </c>
      <c r="T132" t="s">
        <v>111</v>
      </c>
      <c r="U132">
        <v>14</v>
      </c>
      <c r="V132">
        <v>2</v>
      </c>
      <c r="W132">
        <v>4739</v>
      </c>
      <c r="X132">
        <v>0</v>
      </c>
      <c r="Y132">
        <v>422</v>
      </c>
      <c r="Z132">
        <v>5161</v>
      </c>
      <c r="AA132">
        <v>316</v>
      </c>
      <c r="AB132" t="s">
        <v>151</v>
      </c>
      <c r="AC132">
        <v>13.8</v>
      </c>
      <c r="AD132">
        <v>40</v>
      </c>
      <c r="AE132">
        <v>68</v>
      </c>
      <c r="AF132" t="s">
        <v>112</v>
      </c>
      <c r="AG132">
        <v>31</v>
      </c>
      <c r="AH132" t="s">
        <v>67</v>
      </c>
      <c r="AI132" t="s">
        <v>114</v>
      </c>
      <c r="AJ132" t="s">
        <v>96</v>
      </c>
      <c r="AK132" t="s">
        <v>70</v>
      </c>
      <c r="AL132" t="s">
        <v>71</v>
      </c>
      <c r="AM132" t="s">
        <v>70</v>
      </c>
      <c r="AN132" t="s">
        <v>231</v>
      </c>
      <c r="AO132" t="s">
        <v>72</v>
      </c>
      <c r="AP132" t="s">
        <v>221</v>
      </c>
      <c r="AQ132" t="s">
        <v>136</v>
      </c>
      <c r="AR132" s="1">
        <v>39106</v>
      </c>
      <c r="AS132" t="s">
        <v>198</v>
      </c>
      <c r="AT132" t="s">
        <v>71</v>
      </c>
      <c r="AU132">
        <v>931</v>
      </c>
      <c r="AV132" t="s">
        <v>76</v>
      </c>
    </row>
    <row r="133" spans="1:48" x14ac:dyDescent="0.25">
      <c r="A133" t="s">
        <v>419</v>
      </c>
      <c r="B133" t="s">
        <v>210</v>
      </c>
      <c r="C133" t="s">
        <v>155</v>
      </c>
      <c r="D133" t="s">
        <v>51</v>
      </c>
      <c r="E133">
        <v>44</v>
      </c>
      <c r="F133" t="s">
        <v>248</v>
      </c>
      <c r="G133" t="s">
        <v>215</v>
      </c>
      <c r="H133" t="s">
        <v>216</v>
      </c>
      <c r="I133" t="s">
        <v>83</v>
      </c>
      <c r="J133" t="s">
        <v>84</v>
      </c>
      <c r="K133" t="s">
        <v>85</v>
      </c>
      <c r="L133" t="s">
        <v>86</v>
      </c>
      <c r="M133" t="s">
        <v>207</v>
      </c>
      <c r="N133" t="s">
        <v>108</v>
      </c>
      <c r="O133" t="s">
        <v>61</v>
      </c>
      <c r="P133" s="1">
        <v>42698</v>
      </c>
      <c r="Q133">
        <v>7.5</v>
      </c>
      <c r="R133" t="s">
        <v>75</v>
      </c>
      <c r="S133" t="s">
        <v>91</v>
      </c>
      <c r="T133" t="s">
        <v>92</v>
      </c>
      <c r="U133">
        <v>0</v>
      </c>
      <c r="V133">
        <v>0</v>
      </c>
      <c r="W133">
        <v>3637</v>
      </c>
      <c r="X133">
        <v>1034</v>
      </c>
      <c r="Y133">
        <v>266</v>
      </c>
      <c r="Z133">
        <v>4937</v>
      </c>
      <c r="AA133">
        <v>414</v>
      </c>
      <c r="AB133" t="s">
        <v>65</v>
      </c>
      <c r="AC133">
        <v>16.3</v>
      </c>
      <c r="AD133">
        <v>77</v>
      </c>
      <c r="AE133">
        <v>71</v>
      </c>
      <c r="AF133" t="s">
        <v>66</v>
      </c>
      <c r="AG133">
        <v>37</v>
      </c>
      <c r="AH133" t="s">
        <v>94</v>
      </c>
      <c r="AI133" t="s">
        <v>152</v>
      </c>
      <c r="AJ133" t="s">
        <v>96</v>
      </c>
      <c r="AK133" t="s">
        <v>70</v>
      </c>
      <c r="AL133" t="s">
        <v>71</v>
      </c>
      <c r="AM133" t="s">
        <v>70</v>
      </c>
      <c r="AN133" t="s">
        <v>243</v>
      </c>
      <c r="AO133" t="s">
        <v>221</v>
      </c>
      <c r="AP133" t="s">
        <v>72</v>
      </c>
      <c r="AQ133" t="s">
        <v>136</v>
      </c>
      <c r="AR133" s="1">
        <v>45038</v>
      </c>
      <c r="AS133" t="s">
        <v>198</v>
      </c>
      <c r="AT133" t="s">
        <v>71</v>
      </c>
      <c r="AU133">
        <v>288</v>
      </c>
      <c r="AV133" t="s">
        <v>76</v>
      </c>
    </row>
    <row r="134" spans="1:48" x14ac:dyDescent="0.25">
      <c r="A134" t="s">
        <v>420</v>
      </c>
      <c r="B134" t="s">
        <v>277</v>
      </c>
      <c r="C134" t="s">
        <v>79</v>
      </c>
      <c r="D134" t="s">
        <v>51</v>
      </c>
      <c r="E134">
        <v>19</v>
      </c>
      <c r="F134" t="s">
        <v>123</v>
      </c>
      <c r="G134" t="s">
        <v>101</v>
      </c>
      <c r="H134" t="s">
        <v>102</v>
      </c>
      <c r="I134" t="s">
        <v>292</v>
      </c>
      <c r="J134" t="s">
        <v>293</v>
      </c>
      <c r="K134" t="s">
        <v>294</v>
      </c>
      <c r="L134" t="s">
        <v>201</v>
      </c>
      <c r="M134" t="s">
        <v>147</v>
      </c>
      <c r="N134" t="s">
        <v>60</v>
      </c>
      <c r="O134" t="s">
        <v>89</v>
      </c>
      <c r="P134" s="1">
        <v>40079</v>
      </c>
      <c r="Q134">
        <v>14.7</v>
      </c>
      <c r="R134" t="s">
        <v>75</v>
      </c>
      <c r="S134" t="s">
        <v>219</v>
      </c>
      <c r="T134" t="s">
        <v>220</v>
      </c>
      <c r="U134">
        <v>0</v>
      </c>
      <c r="V134">
        <v>0</v>
      </c>
      <c r="W134">
        <v>2980</v>
      </c>
      <c r="X134">
        <v>0</v>
      </c>
      <c r="Y134">
        <v>422</v>
      </c>
      <c r="Z134">
        <v>3402</v>
      </c>
      <c r="AA134">
        <v>395</v>
      </c>
      <c r="AB134" t="s">
        <v>65</v>
      </c>
      <c r="AC134">
        <v>19.899999999999999</v>
      </c>
      <c r="AD134">
        <v>47</v>
      </c>
      <c r="AE134">
        <v>36</v>
      </c>
      <c r="AF134" t="s">
        <v>132</v>
      </c>
      <c r="AG134">
        <v>36</v>
      </c>
      <c r="AH134" t="s">
        <v>94</v>
      </c>
      <c r="AI134" t="s">
        <v>68</v>
      </c>
      <c r="AJ134" t="s">
        <v>96</v>
      </c>
      <c r="AK134" t="s">
        <v>71</v>
      </c>
      <c r="AL134" t="s">
        <v>71</v>
      </c>
      <c r="AM134" t="s">
        <v>71</v>
      </c>
      <c r="AN134" t="s">
        <v>202</v>
      </c>
      <c r="AO134" t="s">
        <v>97</v>
      </c>
      <c r="AP134" t="s">
        <v>178</v>
      </c>
      <c r="AQ134" t="s">
        <v>136</v>
      </c>
      <c r="AR134" s="1">
        <v>41932</v>
      </c>
      <c r="AS134" t="s">
        <v>137</v>
      </c>
      <c r="AT134" t="s">
        <v>71</v>
      </c>
      <c r="AU134">
        <v>1169</v>
      </c>
      <c r="AV134" t="s">
        <v>76</v>
      </c>
    </row>
    <row r="135" spans="1:48" x14ac:dyDescent="0.25">
      <c r="A135" t="s">
        <v>421</v>
      </c>
      <c r="B135" t="s">
        <v>139</v>
      </c>
      <c r="C135" t="s">
        <v>230</v>
      </c>
      <c r="D135" t="s">
        <v>122</v>
      </c>
      <c r="E135">
        <v>33</v>
      </c>
      <c r="F135" t="s">
        <v>123</v>
      </c>
      <c r="G135" t="s">
        <v>156</v>
      </c>
      <c r="H135" t="s">
        <v>157</v>
      </c>
      <c r="I135" t="s">
        <v>253</v>
      </c>
      <c r="J135" t="s">
        <v>254</v>
      </c>
      <c r="K135" t="s">
        <v>255</v>
      </c>
      <c r="L135" t="s">
        <v>86</v>
      </c>
      <c r="M135" t="s">
        <v>296</v>
      </c>
      <c r="N135" t="s">
        <v>162</v>
      </c>
      <c r="O135" t="s">
        <v>89</v>
      </c>
      <c r="P135" s="1">
        <v>42734</v>
      </c>
      <c r="Q135">
        <v>7.4</v>
      </c>
      <c r="R135" t="s">
        <v>195</v>
      </c>
      <c r="S135" t="s">
        <v>163</v>
      </c>
      <c r="T135" t="s">
        <v>164</v>
      </c>
      <c r="U135">
        <v>2</v>
      </c>
      <c r="V135">
        <v>0</v>
      </c>
      <c r="W135">
        <v>4836</v>
      </c>
      <c r="X135">
        <v>0</v>
      </c>
      <c r="Y135">
        <v>266</v>
      </c>
      <c r="Z135">
        <v>5102</v>
      </c>
      <c r="AA135">
        <v>547</v>
      </c>
      <c r="AB135" t="s">
        <v>65</v>
      </c>
      <c r="AC135">
        <v>18.5</v>
      </c>
      <c r="AD135">
        <v>24</v>
      </c>
      <c r="AE135">
        <v>52</v>
      </c>
      <c r="AF135" t="s">
        <v>66</v>
      </c>
      <c r="AG135">
        <v>25</v>
      </c>
      <c r="AH135" t="s">
        <v>113</v>
      </c>
      <c r="AI135" t="s">
        <v>152</v>
      </c>
      <c r="AJ135" t="s">
        <v>69</v>
      </c>
      <c r="AK135" t="s">
        <v>70</v>
      </c>
      <c r="AL135" t="s">
        <v>70</v>
      </c>
      <c r="AM135" t="s">
        <v>71</v>
      </c>
      <c r="AN135" t="s">
        <v>72</v>
      </c>
      <c r="AO135" t="s">
        <v>72</v>
      </c>
      <c r="AP135" t="s">
        <v>116</v>
      </c>
      <c r="AQ135" t="s">
        <v>136</v>
      </c>
      <c r="AR135" s="1">
        <v>43971</v>
      </c>
      <c r="AS135" t="s">
        <v>118</v>
      </c>
      <c r="AT135" t="s">
        <v>71</v>
      </c>
      <c r="AU135">
        <v>1735</v>
      </c>
      <c r="AV135" t="s">
        <v>76</v>
      </c>
    </row>
    <row r="136" spans="1:48" x14ac:dyDescent="0.25">
      <c r="A136" t="s">
        <v>422</v>
      </c>
      <c r="B136" t="s">
        <v>154</v>
      </c>
      <c r="C136" t="s">
        <v>233</v>
      </c>
      <c r="D136" t="s">
        <v>51</v>
      </c>
      <c r="E136">
        <v>23</v>
      </c>
      <c r="F136" t="s">
        <v>241</v>
      </c>
      <c r="G136" t="s">
        <v>301</v>
      </c>
      <c r="H136" t="s">
        <v>302</v>
      </c>
      <c r="I136" t="s">
        <v>268</v>
      </c>
      <c r="J136" t="s">
        <v>269</v>
      </c>
      <c r="K136" t="s">
        <v>173</v>
      </c>
      <c r="L136" t="s">
        <v>201</v>
      </c>
      <c r="M136" t="s">
        <v>147</v>
      </c>
      <c r="N136" t="s">
        <v>108</v>
      </c>
      <c r="O136" t="s">
        <v>89</v>
      </c>
      <c r="P136" s="1">
        <v>38695</v>
      </c>
      <c r="Q136">
        <v>18.5</v>
      </c>
      <c r="R136" t="s">
        <v>62</v>
      </c>
      <c r="S136" t="s">
        <v>163</v>
      </c>
      <c r="T136" t="s">
        <v>164</v>
      </c>
      <c r="U136">
        <v>12</v>
      </c>
      <c r="V136">
        <v>2</v>
      </c>
      <c r="W136">
        <v>4188</v>
      </c>
      <c r="X136">
        <v>0</v>
      </c>
      <c r="Y136">
        <v>266</v>
      </c>
      <c r="Z136">
        <v>4454</v>
      </c>
      <c r="AA136">
        <v>466</v>
      </c>
      <c r="AB136" t="s">
        <v>65</v>
      </c>
      <c r="AC136">
        <v>15.1</v>
      </c>
      <c r="AD136">
        <v>67</v>
      </c>
      <c r="AE136">
        <v>77</v>
      </c>
      <c r="AF136" t="s">
        <v>93</v>
      </c>
      <c r="AG136">
        <v>29</v>
      </c>
      <c r="AH136" t="s">
        <v>113</v>
      </c>
      <c r="AI136" t="s">
        <v>177</v>
      </c>
      <c r="AJ136" t="s">
        <v>188</v>
      </c>
      <c r="AK136" t="s">
        <v>70</v>
      </c>
      <c r="AL136" t="s">
        <v>71</v>
      </c>
      <c r="AM136" t="s">
        <v>71</v>
      </c>
      <c r="AN136" t="s">
        <v>270</v>
      </c>
      <c r="AO136" t="s">
        <v>72</v>
      </c>
      <c r="AP136" t="s">
        <v>178</v>
      </c>
      <c r="AQ136" t="s">
        <v>98</v>
      </c>
      <c r="AR136" s="1">
        <v>40734</v>
      </c>
      <c r="AS136" t="s">
        <v>198</v>
      </c>
      <c r="AT136" t="s">
        <v>71</v>
      </c>
      <c r="AU136">
        <v>-225</v>
      </c>
      <c r="AV136" t="s">
        <v>179</v>
      </c>
    </row>
    <row r="137" spans="1:48" x14ac:dyDescent="0.25">
      <c r="A137" t="s">
        <v>423</v>
      </c>
      <c r="B137" t="s">
        <v>263</v>
      </c>
      <c r="C137" t="s">
        <v>140</v>
      </c>
      <c r="D137" t="s">
        <v>51</v>
      </c>
      <c r="E137">
        <v>43</v>
      </c>
      <c r="F137" t="s">
        <v>322</v>
      </c>
      <c r="G137" t="s">
        <v>285</v>
      </c>
      <c r="H137" t="s">
        <v>286</v>
      </c>
      <c r="I137" t="s">
        <v>83</v>
      </c>
      <c r="J137" t="s">
        <v>84</v>
      </c>
      <c r="K137" t="s">
        <v>85</v>
      </c>
      <c r="L137" t="s">
        <v>86</v>
      </c>
      <c r="M137" t="s">
        <v>275</v>
      </c>
      <c r="N137" t="s">
        <v>265</v>
      </c>
      <c r="O137" t="s">
        <v>149</v>
      </c>
      <c r="P137" s="1">
        <v>39172</v>
      </c>
      <c r="Q137">
        <v>17.2</v>
      </c>
      <c r="R137" t="s">
        <v>75</v>
      </c>
      <c r="S137" t="s">
        <v>110</v>
      </c>
      <c r="T137" t="s">
        <v>111</v>
      </c>
      <c r="U137">
        <v>2</v>
      </c>
      <c r="V137">
        <v>0</v>
      </c>
      <c r="W137">
        <v>7668</v>
      </c>
      <c r="X137">
        <v>1196</v>
      </c>
      <c r="Y137">
        <v>266</v>
      </c>
      <c r="Z137">
        <v>9130</v>
      </c>
      <c r="AA137">
        <v>446</v>
      </c>
      <c r="AB137" t="s">
        <v>65</v>
      </c>
      <c r="AC137">
        <v>16.600000000000001</v>
      </c>
      <c r="AD137">
        <v>41</v>
      </c>
      <c r="AE137">
        <v>69</v>
      </c>
      <c r="AF137" t="s">
        <v>93</v>
      </c>
      <c r="AG137">
        <v>34</v>
      </c>
      <c r="AH137" t="s">
        <v>67</v>
      </c>
      <c r="AI137" t="s">
        <v>95</v>
      </c>
      <c r="AJ137" t="s">
        <v>188</v>
      </c>
      <c r="AK137" t="s">
        <v>71</v>
      </c>
      <c r="AL137" t="s">
        <v>70</v>
      </c>
      <c r="AM137" t="s">
        <v>70</v>
      </c>
      <c r="AN137" t="s">
        <v>202</v>
      </c>
      <c r="AO137" t="s">
        <v>116</v>
      </c>
      <c r="AP137" t="s">
        <v>72</v>
      </c>
      <c r="AQ137" t="s">
        <v>117</v>
      </c>
      <c r="AR137" s="1">
        <v>44650</v>
      </c>
      <c r="AS137" t="s">
        <v>75</v>
      </c>
      <c r="AT137" t="s">
        <v>71</v>
      </c>
      <c r="AU137">
        <v>858</v>
      </c>
      <c r="AV137" t="s">
        <v>76</v>
      </c>
    </row>
    <row r="138" spans="1:48" x14ac:dyDescent="0.25">
      <c r="A138" t="s">
        <v>424</v>
      </c>
      <c r="B138" t="s">
        <v>229</v>
      </c>
      <c r="C138" t="s">
        <v>230</v>
      </c>
      <c r="D138" t="s">
        <v>122</v>
      </c>
      <c r="E138">
        <v>19</v>
      </c>
      <c r="F138" t="s">
        <v>168</v>
      </c>
      <c r="G138" t="s">
        <v>301</v>
      </c>
      <c r="H138" t="s">
        <v>302</v>
      </c>
      <c r="I138" t="s">
        <v>292</v>
      </c>
      <c r="J138" t="s">
        <v>293</v>
      </c>
      <c r="K138" t="s">
        <v>294</v>
      </c>
      <c r="L138" t="s">
        <v>86</v>
      </c>
      <c r="M138" t="s">
        <v>249</v>
      </c>
      <c r="N138" t="s">
        <v>148</v>
      </c>
      <c r="O138" t="s">
        <v>89</v>
      </c>
      <c r="P138" s="1">
        <v>39792</v>
      </c>
      <c r="Q138">
        <v>15.5</v>
      </c>
      <c r="R138" t="s">
        <v>150</v>
      </c>
      <c r="S138" t="s">
        <v>219</v>
      </c>
      <c r="T138" t="s">
        <v>220</v>
      </c>
      <c r="U138">
        <v>0</v>
      </c>
      <c r="V138">
        <v>0</v>
      </c>
      <c r="W138">
        <v>4188</v>
      </c>
      <c r="X138">
        <v>0</v>
      </c>
      <c r="Y138">
        <v>266</v>
      </c>
      <c r="Z138">
        <v>4454</v>
      </c>
      <c r="AA138">
        <v>565</v>
      </c>
      <c r="AB138" t="s">
        <v>65</v>
      </c>
      <c r="AC138">
        <v>19.7</v>
      </c>
      <c r="AD138">
        <v>74</v>
      </c>
      <c r="AE138">
        <v>38</v>
      </c>
      <c r="AF138" t="s">
        <v>93</v>
      </c>
      <c r="AG138">
        <v>24</v>
      </c>
      <c r="AH138" t="s">
        <v>113</v>
      </c>
      <c r="AI138" t="s">
        <v>68</v>
      </c>
      <c r="AJ138" t="s">
        <v>72</v>
      </c>
      <c r="AK138" t="s">
        <v>70</v>
      </c>
      <c r="AL138" t="s">
        <v>70</v>
      </c>
      <c r="AM138" t="s">
        <v>70</v>
      </c>
      <c r="AN138" t="s">
        <v>202</v>
      </c>
      <c r="AO138" t="s">
        <v>72</v>
      </c>
      <c r="AP138" t="s">
        <v>97</v>
      </c>
      <c r="AQ138" t="s">
        <v>136</v>
      </c>
      <c r="AR138" s="1">
        <v>42444</v>
      </c>
      <c r="AS138" t="s">
        <v>198</v>
      </c>
      <c r="AT138" t="s">
        <v>71</v>
      </c>
      <c r="AU138">
        <v>1107</v>
      </c>
      <c r="AV138" t="s">
        <v>76</v>
      </c>
    </row>
    <row r="139" spans="1:48" x14ac:dyDescent="0.25">
      <c r="A139" t="s">
        <v>425</v>
      </c>
      <c r="B139" t="s">
        <v>377</v>
      </c>
      <c r="C139" t="s">
        <v>252</v>
      </c>
      <c r="D139" t="s">
        <v>51</v>
      </c>
      <c r="E139">
        <v>20</v>
      </c>
      <c r="F139" t="s">
        <v>80</v>
      </c>
      <c r="G139" t="s">
        <v>279</v>
      </c>
      <c r="H139" t="s">
        <v>280</v>
      </c>
      <c r="I139" t="s">
        <v>103</v>
      </c>
      <c r="J139" t="s">
        <v>104</v>
      </c>
      <c r="K139" t="s">
        <v>105</v>
      </c>
      <c r="L139" t="s">
        <v>201</v>
      </c>
      <c r="M139" t="s">
        <v>127</v>
      </c>
      <c r="N139" t="s">
        <v>162</v>
      </c>
      <c r="O139" t="s">
        <v>176</v>
      </c>
      <c r="P139" s="1">
        <v>42466</v>
      </c>
      <c r="Q139">
        <v>8.1999999999999993</v>
      </c>
      <c r="R139" t="s">
        <v>195</v>
      </c>
      <c r="S139" t="s">
        <v>163</v>
      </c>
      <c r="T139" t="s">
        <v>164</v>
      </c>
      <c r="U139">
        <v>7</v>
      </c>
      <c r="V139">
        <v>1</v>
      </c>
      <c r="W139">
        <v>6618</v>
      </c>
      <c r="X139">
        <v>0</v>
      </c>
      <c r="Y139">
        <v>266</v>
      </c>
      <c r="Z139">
        <v>6884</v>
      </c>
      <c r="AA139">
        <v>371</v>
      </c>
      <c r="AB139" t="s">
        <v>65</v>
      </c>
      <c r="AC139">
        <v>18.899999999999999</v>
      </c>
      <c r="AD139">
        <v>28</v>
      </c>
      <c r="AE139">
        <v>58</v>
      </c>
      <c r="AF139" t="s">
        <v>93</v>
      </c>
      <c r="AG139">
        <v>34</v>
      </c>
      <c r="AH139" t="s">
        <v>67</v>
      </c>
      <c r="AI139" t="s">
        <v>68</v>
      </c>
      <c r="AJ139" t="s">
        <v>72</v>
      </c>
      <c r="AK139" t="s">
        <v>70</v>
      </c>
      <c r="AL139" t="s">
        <v>70</v>
      </c>
      <c r="AM139" t="s">
        <v>70</v>
      </c>
      <c r="AN139" t="s">
        <v>72</v>
      </c>
      <c r="AO139" t="s">
        <v>116</v>
      </c>
      <c r="AP139" t="s">
        <v>178</v>
      </c>
      <c r="AQ139" t="s">
        <v>74</v>
      </c>
      <c r="AR139" s="1">
        <v>43216</v>
      </c>
      <c r="AS139" t="s">
        <v>118</v>
      </c>
      <c r="AT139" t="s">
        <v>71</v>
      </c>
      <c r="AU139">
        <v>1621</v>
      </c>
      <c r="AV139" t="s">
        <v>76</v>
      </c>
    </row>
    <row r="140" spans="1:48" x14ac:dyDescent="0.25">
      <c r="A140" t="s">
        <v>426</v>
      </c>
      <c r="B140" t="s">
        <v>308</v>
      </c>
      <c r="C140" t="s">
        <v>375</v>
      </c>
      <c r="D140" t="s">
        <v>51</v>
      </c>
      <c r="E140">
        <v>30</v>
      </c>
      <c r="F140" t="s">
        <v>248</v>
      </c>
      <c r="G140" t="s">
        <v>279</v>
      </c>
      <c r="H140" t="s">
        <v>280</v>
      </c>
      <c r="I140" t="s">
        <v>236</v>
      </c>
      <c r="J140" t="s">
        <v>237</v>
      </c>
      <c r="K140" t="s">
        <v>238</v>
      </c>
      <c r="L140" t="s">
        <v>174</v>
      </c>
      <c r="M140" t="s">
        <v>296</v>
      </c>
      <c r="N140" t="s">
        <v>265</v>
      </c>
      <c r="O140" t="s">
        <v>176</v>
      </c>
      <c r="P140" s="1">
        <v>39198</v>
      </c>
      <c r="Q140">
        <v>17.100000000000001</v>
      </c>
      <c r="R140" t="s">
        <v>208</v>
      </c>
      <c r="S140" t="s">
        <v>219</v>
      </c>
      <c r="T140" t="s">
        <v>220</v>
      </c>
      <c r="U140">
        <v>0</v>
      </c>
      <c r="V140">
        <v>0</v>
      </c>
      <c r="W140">
        <v>6618</v>
      </c>
      <c r="X140">
        <v>1867</v>
      </c>
      <c r="Y140">
        <v>266</v>
      </c>
      <c r="Z140">
        <v>8751</v>
      </c>
      <c r="AA140">
        <v>568</v>
      </c>
      <c r="AB140" t="s">
        <v>65</v>
      </c>
      <c r="AC140">
        <v>19.600000000000001</v>
      </c>
      <c r="AD140">
        <v>36</v>
      </c>
      <c r="AE140">
        <v>67</v>
      </c>
      <c r="AF140" t="s">
        <v>93</v>
      </c>
      <c r="AG140">
        <v>28</v>
      </c>
      <c r="AH140" t="s">
        <v>113</v>
      </c>
      <c r="AI140" t="s">
        <v>68</v>
      </c>
      <c r="AJ140" t="s">
        <v>96</v>
      </c>
      <c r="AK140" t="s">
        <v>70</v>
      </c>
      <c r="AL140" t="s">
        <v>71</v>
      </c>
      <c r="AM140" t="s">
        <v>70</v>
      </c>
      <c r="AN140" t="s">
        <v>115</v>
      </c>
      <c r="AO140" t="s">
        <v>72</v>
      </c>
      <c r="AP140" t="s">
        <v>72</v>
      </c>
      <c r="AQ140" t="s">
        <v>136</v>
      </c>
      <c r="AR140" s="1">
        <v>39137</v>
      </c>
      <c r="AS140" t="s">
        <v>198</v>
      </c>
      <c r="AT140" t="s">
        <v>71</v>
      </c>
      <c r="AU140">
        <v>1555</v>
      </c>
      <c r="AV140" t="s">
        <v>76</v>
      </c>
    </row>
    <row r="141" spans="1:48" x14ac:dyDescent="0.25">
      <c r="A141" t="s">
        <v>427</v>
      </c>
      <c r="B141" t="s">
        <v>181</v>
      </c>
      <c r="C141" t="s">
        <v>200</v>
      </c>
      <c r="D141" t="s">
        <v>51</v>
      </c>
      <c r="E141">
        <v>22</v>
      </c>
      <c r="F141" t="s">
        <v>241</v>
      </c>
      <c r="G141" t="s">
        <v>53</v>
      </c>
      <c r="H141" t="s">
        <v>54</v>
      </c>
      <c r="I141" t="s">
        <v>171</v>
      </c>
      <c r="J141" t="s">
        <v>172</v>
      </c>
      <c r="K141" t="s">
        <v>173</v>
      </c>
      <c r="L141" t="s">
        <v>201</v>
      </c>
      <c r="M141" t="s">
        <v>175</v>
      </c>
      <c r="N141" t="s">
        <v>88</v>
      </c>
      <c r="O141" t="s">
        <v>149</v>
      </c>
      <c r="P141" s="1">
        <v>39583</v>
      </c>
      <c r="Q141">
        <v>16</v>
      </c>
      <c r="R141" t="s">
        <v>129</v>
      </c>
      <c r="S141" t="s">
        <v>130</v>
      </c>
      <c r="T141" t="s">
        <v>131</v>
      </c>
      <c r="U141">
        <v>5</v>
      </c>
      <c r="V141">
        <v>0</v>
      </c>
      <c r="W141">
        <v>4739</v>
      </c>
      <c r="X141">
        <v>0</v>
      </c>
      <c r="Y141">
        <v>422</v>
      </c>
      <c r="Z141">
        <v>5161</v>
      </c>
      <c r="AA141">
        <v>348</v>
      </c>
      <c r="AB141" t="s">
        <v>151</v>
      </c>
      <c r="AC141">
        <v>18.100000000000001</v>
      </c>
      <c r="AD141">
        <v>46</v>
      </c>
      <c r="AE141">
        <v>51</v>
      </c>
      <c r="AF141" t="s">
        <v>132</v>
      </c>
      <c r="AG141">
        <v>37</v>
      </c>
      <c r="AH141" t="s">
        <v>94</v>
      </c>
      <c r="AI141" t="s">
        <v>152</v>
      </c>
      <c r="AJ141" t="s">
        <v>69</v>
      </c>
      <c r="AK141" t="s">
        <v>71</v>
      </c>
      <c r="AL141" t="s">
        <v>71</v>
      </c>
      <c r="AM141" t="s">
        <v>71</v>
      </c>
      <c r="AN141" t="s">
        <v>72</v>
      </c>
      <c r="AO141" t="s">
        <v>287</v>
      </c>
      <c r="AP141" t="s">
        <v>72</v>
      </c>
      <c r="AQ141" t="s">
        <v>98</v>
      </c>
      <c r="AR141" s="1">
        <v>43647</v>
      </c>
      <c r="AS141" t="s">
        <v>118</v>
      </c>
      <c r="AT141" t="s">
        <v>71</v>
      </c>
      <c r="AU141">
        <v>-340</v>
      </c>
      <c r="AV141" t="s">
        <v>179</v>
      </c>
    </row>
    <row r="142" spans="1:48" x14ac:dyDescent="0.25">
      <c r="A142" t="s">
        <v>428</v>
      </c>
      <c r="B142" t="s">
        <v>181</v>
      </c>
      <c r="C142" t="s">
        <v>191</v>
      </c>
      <c r="D142" t="s">
        <v>51</v>
      </c>
      <c r="E142">
        <v>26</v>
      </c>
      <c r="F142" t="s">
        <v>123</v>
      </c>
      <c r="G142" t="s">
        <v>242</v>
      </c>
      <c r="H142" t="s">
        <v>54</v>
      </c>
      <c r="I142" t="s">
        <v>236</v>
      </c>
      <c r="J142" t="s">
        <v>237</v>
      </c>
      <c r="K142" t="s">
        <v>238</v>
      </c>
      <c r="L142" t="s">
        <v>58</v>
      </c>
      <c r="M142" t="s">
        <v>147</v>
      </c>
      <c r="N142" t="s">
        <v>162</v>
      </c>
      <c r="O142" t="s">
        <v>61</v>
      </c>
      <c r="P142" s="1">
        <v>42970</v>
      </c>
      <c r="Q142">
        <v>6.8</v>
      </c>
      <c r="R142" t="s">
        <v>208</v>
      </c>
      <c r="S142" t="s">
        <v>219</v>
      </c>
      <c r="T142" t="s">
        <v>220</v>
      </c>
      <c r="U142">
        <v>0</v>
      </c>
      <c r="V142">
        <v>0</v>
      </c>
      <c r="W142">
        <v>4739</v>
      </c>
      <c r="X142">
        <v>838</v>
      </c>
      <c r="Y142">
        <v>422</v>
      </c>
      <c r="Z142">
        <v>5999</v>
      </c>
      <c r="AA142">
        <v>600</v>
      </c>
      <c r="AB142" t="s">
        <v>65</v>
      </c>
      <c r="AC142">
        <v>20.6</v>
      </c>
      <c r="AD142">
        <v>33</v>
      </c>
      <c r="AE142">
        <v>58</v>
      </c>
      <c r="AF142" t="s">
        <v>132</v>
      </c>
      <c r="AG142">
        <v>31</v>
      </c>
      <c r="AH142" t="s">
        <v>67</v>
      </c>
      <c r="AI142" t="s">
        <v>68</v>
      </c>
      <c r="AJ142" t="s">
        <v>188</v>
      </c>
      <c r="AK142" t="s">
        <v>70</v>
      </c>
      <c r="AL142" t="s">
        <v>70</v>
      </c>
      <c r="AM142" t="s">
        <v>70</v>
      </c>
      <c r="AN142" t="s">
        <v>270</v>
      </c>
      <c r="AO142" t="s">
        <v>178</v>
      </c>
      <c r="AP142" t="s">
        <v>72</v>
      </c>
      <c r="AQ142" t="s">
        <v>74</v>
      </c>
      <c r="AR142" s="1">
        <v>43677</v>
      </c>
      <c r="AS142" t="s">
        <v>198</v>
      </c>
      <c r="AT142" t="s">
        <v>71</v>
      </c>
      <c r="AU142">
        <v>1049</v>
      </c>
      <c r="AV142" t="s">
        <v>76</v>
      </c>
    </row>
    <row r="143" spans="1:48" x14ac:dyDescent="0.25">
      <c r="A143" t="s">
        <v>429</v>
      </c>
      <c r="B143" t="s">
        <v>277</v>
      </c>
      <c r="C143" t="s">
        <v>334</v>
      </c>
      <c r="D143" t="s">
        <v>122</v>
      </c>
      <c r="E143">
        <v>40</v>
      </c>
      <c r="F143" t="s">
        <v>283</v>
      </c>
      <c r="G143" t="s">
        <v>234</v>
      </c>
      <c r="H143" t="s">
        <v>235</v>
      </c>
      <c r="I143" t="s">
        <v>55</v>
      </c>
      <c r="J143" t="s">
        <v>56</v>
      </c>
      <c r="K143" t="s">
        <v>57</v>
      </c>
      <c r="L143" t="s">
        <v>201</v>
      </c>
      <c r="M143" t="s">
        <v>147</v>
      </c>
      <c r="N143" t="s">
        <v>265</v>
      </c>
      <c r="O143" t="s">
        <v>109</v>
      </c>
      <c r="P143" s="1">
        <v>39578</v>
      </c>
      <c r="Q143">
        <v>16.100000000000001</v>
      </c>
      <c r="R143" t="s">
        <v>90</v>
      </c>
      <c r="S143" t="s">
        <v>63</v>
      </c>
      <c r="T143" t="s">
        <v>64</v>
      </c>
      <c r="U143">
        <v>0</v>
      </c>
      <c r="V143">
        <v>0</v>
      </c>
      <c r="W143">
        <v>1917</v>
      </c>
      <c r="X143">
        <v>0</v>
      </c>
      <c r="Y143">
        <v>422</v>
      </c>
      <c r="Z143">
        <v>2339</v>
      </c>
      <c r="AA143">
        <v>309</v>
      </c>
      <c r="AB143" t="s">
        <v>151</v>
      </c>
      <c r="AC143">
        <v>16.5</v>
      </c>
      <c r="AD143">
        <v>59</v>
      </c>
      <c r="AE143">
        <v>68</v>
      </c>
      <c r="AF143" t="s">
        <v>66</v>
      </c>
      <c r="AG143">
        <v>18</v>
      </c>
      <c r="AH143" t="s">
        <v>113</v>
      </c>
      <c r="AI143" t="s">
        <v>95</v>
      </c>
      <c r="AJ143" t="s">
        <v>69</v>
      </c>
      <c r="AK143" t="s">
        <v>70</v>
      </c>
      <c r="AL143" t="s">
        <v>70</v>
      </c>
      <c r="AM143" t="s">
        <v>71</v>
      </c>
      <c r="AN143" t="s">
        <v>231</v>
      </c>
      <c r="AO143" t="s">
        <v>287</v>
      </c>
      <c r="AP143" t="s">
        <v>116</v>
      </c>
      <c r="AQ143" t="s">
        <v>136</v>
      </c>
      <c r="AR143" s="1">
        <v>42571</v>
      </c>
      <c r="AS143" t="s">
        <v>118</v>
      </c>
      <c r="AT143" t="s">
        <v>71</v>
      </c>
      <c r="AU143">
        <v>935</v>
      </c>
      <c r="AV143" t="s">
        <v>76</v>
      </c>
    </row>
    <row r="144" spans="1:48" x14ac:dyDescent="0.25">
      <c r="A144" t="s">
        <v>430</v>
      </c>
      <c r="B144" t="s">
        <v>377</v>
      </c>
      <c r="C144" t="s">
        <v>257</v>
      </c>
      <c r="D144" t="s">
        <v>51</v>
      </c>
      <c r="E144">
        <v>22</v>
      </c>
      <c r="F144" t="s">
        <v>52</v>
      </c>
      <c r="G144" t="s">
        <v>242</v>
      </c>
      <c r="H144" t="s">
        <v>54</v>
      </c>
      <c r="I144" t="s">
        <v>185</v>
      </c>
      <c r="J144" t="s">
        <v>186</v>
      </c>
      <c r="K144" t="s">
        <v>187</v>
      </c>
      <c r="L144" t="s">
        <v>58</v>
      </c>
      <c r="M144" t="s">
        <v>127</v>
      </c>
      <c r="N144" t="s">
        <v>88</v>
      </c>
      <c r="O144" t="s">
        <v>61</v>
      </c>
      <c r="P144" s="1">
        <v>42807</v>
      </c>
      <c r="Q144">
        <v>7.2</v>
      </c>
      <c r="R144" t="s">
        <v>129</v>
      </c>
      <c r="S144" t="s">
        <v>91</v>
      </c>
      <c r="T144" t="s">
        <v>92</v>
      </c>
      <c r="U144">
        <v>8</v>
      </c>
      <c r="V144">
        <v>1</v>
      </c>
      <c r="W144">
        <v>4739</v>
      </c>
      <c r="X144">
        <v>0</v>
      </c>
      <c r="Y144">
        <v>422</v>
      </c>
      <c r="Z144">
        <v>5161</v>
      </c>
      <c r="AA144">
        <v>585</v>
      </c>
      <c r="AB144" t="s">
        <v>65</v>
      </c>
      <c r="AC144">
        <v>18.5</v>
      </c>
      <c r="AD144">
        <v>70</v>
      </c>
      <c r="AE144">
        <v>30</v>
      </c>
      <c r="AF144" t="s">
        <v>66</v>
      </c>
      <c r="AG144">
        <v>32</v>
      </c>
      <c r="AH144" t="s">
        <v>67</v>
      </c>
      <c r="AI144" t="s">
        <v>152</v>
      </c>
      <c r="AJ144" t="s">
        <v>96</v>
      </c>
      <c r="AK144" t="s">
        <v>70</v>
      </c>
      <c r="AL144" t="s">
        <v>70</v>
      </c>
      <c r="AM144" t="s">
        <v>71</v>
      </c>
      <c r="AN144" t="s">
        <v>72</v>
      </c>
      <c r="AO144" t="s">
        <v>135</v>
      </c>
      <c r="AP144" t="s">
        <v>72</v>
      </c>
      <c r="AQ144" t="s">
        <v>98</v>
      </c>
      <c r="AR144" s="1">
        <v>44931</v>
      </c>
      <c r="AS144" t="s">
        <v>75</v>
      </c>
      <c r="AT144" t="s">
        <v>71</v>
      </c>
      <c r="AU144">
        <v>1234</v>
      </c>
      <c r="AV144" t="s">
        <v>76</v>
      </c>
    </row>
    <row r="145" spans="1:48" x14ac:dyDescent="0.25">
      <c r="A145" t="s">
        <v>431</v>
      </c>
      <c r="B145" t="s">
        <v>210</v>
      </c>
      <c r="C145" t="s">
        <v>272</v>
      </c>
      <c r="D145" t="s">
        <v>51</v>
      </c>
      <c r="E145">
        <v>21</v>
      </c>
      <c r="F145" t="s">
        <v>211</v>
      </c>
      <c r="G145" t="s">
        <v>156</v>
      </c>
      <c r="H145" t="s">
        <v>157</v>
      </c>
      <c r="I145" t="s">
        <v>292</v>
      </c>
      <c r="J145" t="s">
        <v>293</v>
      </c>
      <c r="K145" t="s">
        <v>294</v>
      </c>
      <c r="L145" t="s">
        <v>58</v>
      </c>
      <c r="M145" t="s">
        <v>212</v>
      </c>
      <c r="N145" t="s">
        <v>148</v>
      </c>
      <c r="O145" t="s">
        <v>61</v>
      </c>
      <c r="P145" s="1">
        <v>42305</v>
      </c>
      <c r="Q145">
        <v>8.6</v>
      </c>
      <c r="R145" t="s">
        <v>129</v>
      </c>
      <c r="S145" t="s">
        <v>130</v>
      </c>
      <c r="T145" t="s">
        <v>131</v>
      </c>
      <c r="U145">
        <v>11</v>
      </c>
      <c r="V145">
        <v>1</v>
      </c>
      <c r="W145">
        <v>4836</v>
      </c>
      <c r="X145">
        <v>1945</v>
      </c>
      <c r="Y145">
        <v>266</v>
      </c>
      <c r="Z145">
        <v>7047</v>
      </c>
      <c r="AA145">
        <v>466</v>
      </c>
      <c r="AB145" t="s">
        <v>65</v>
      </c>
      <c r="AC145">
        <v>14.7</v>
      </c>
      <c r="AD145">
        <v>39</v>
      </c>
      <c r="AE145">
        <v>66</v>
      </c>
      <c r="AF145" t="s">
        <v>132</v>
      </c>
      <c r="AG145">
        <v>39</v>
      </c>
      <c r="AH145" t="s">
        <v>94</v>
      </c>
      <c r="AI145" t="s">
        <v>152</v>
      </c>
      <c r="AJ145" t="s">
        <v>188</v>
      </c>
      <c r="AK145" t="s">
        <v>70</v>
      </c>
      <c r="AL145" t="s">
        <v>70</v>
      </c>
      <c r="AM145" t="s">
        <v>70</v>
      </c>
      <c r="AN145" t="s">
        <v>115</v>
      </c>
      <c r="AO145" t="s">
        <v>178</v>
      </c>
      <c r="AP145" t="s">
        <v>72</v>
      </c>
      <c r="AQ145" t="s">
        <v>136</v>
      </c>
      <c r="AR145" s="1">
        <v>44520</v>
      </c>
      <c r="AS145" t="s">
        <v>198</v>
      </c>
      <c r="AT145" t="s">
        <v>71</v>
      </c>
      <c r="AU145">
        <v>-287</v>
      </c>
      <c r="AV145" t="s">
        <v>179</v>
      </c>
    </row>
    <row r="146" spans="1:48" x14ac:dyDescent="0.25">
      <c r="A146" t="s">
        <v>432</v>
      </c>
      <c r="B146" t="s">
        <v>139</v>
      </c>
      <c r="C146" t="s">
        <v>375</v>
      </c>
      <c r="D146" t="s">
        <v>51</v>
      </c>
      <c r="E146">
        <v>24</v>
      </c>
      <c r="F146" t="s">
        <v>283</v>
      </c>
      <c r="G146" t="s">
        <v>234</v>
      </c>
      <c r="H146" t="s">
        <v>235</v>
      </c>
      <c r="I146" t="s">
        <v>292</v>
      </c>
      <c r="J146" t="s">
        <v>293</v>
      </c>
      <c r="K146" t="s">
        <v>294</v>
      </c>
      <c r="L146" t="s">
        <v>174</v>
      </c>
      <c r="M146" t="s">
        <v>275</v>
      </c>
      <c r="N146" t="s">
        <v>162</v>
      </c>
      <c r="O146" t="s">
        <v>61</v>
      </c>
      <c r="P146" s="1">
        <v>41919</v>
      </c>
      <c r="Q146">
        <v>9.6999999999999993</v>
      </c>
      <c r="R146" t="s">
        <v>90</v>
      </c>
      <c r="S146" t="s">
        <v>163</v>
      </c>
      <c r="T146" t="s">
        <v>164</v>
      </c>
      <c r="U146">
        <v>2</v>
      </c>
      <c r="V146">
        <v>0</v>
      </c>
      <c r="W146">
        <v>1917</v>
      </c>
      <c r="X146">
        <v>0</v>
      </c>
      <c r="Y146">
        <v>422</v>
      </c>
      <c r="Z146">
        <v>2339</v>
      </c>
      <c r="AA146">
        <v>486</v>
      </c>
      <c r="AB146" t="s">
        <v>65</v>
      </c>
      <c r="AC146">
        <v>15.7</v>
      </c>
      <c r="AD146">
        <v>58</v>
      </c>
      <c r="AE146">
        <v>32</v>
      </c>
      <c r="AF146" t="s">
        <v>132</v>
      </c>
      <c r="AG146">
        <v>35</v>
      </c>
      <c r="AH146" t="s">
        <v>67</v>
      </c>
      <c r="AI146" t="s">
        <v>68</v>
      </c>
      <c r="AJ146" t="s">
        <v>188</v>
      </c>
      <c r="AK146" t="s">
        <v>70</v>
      </c>
      <c r="AL146" t="s">
        <v>70</v>
      </c>
      <c r="AM146" t="s">
        <v>71</v>
      </c>
      <c r="AN146" t="s">
        <v>72</v>
      </c>
      <c r="AO146" t="s">
        <v>72</v>
      </c>
      <c r="AP146" t="s">
        <v>72</v>
      </c>
      <c r="AQ146" t="s">
        <v>136</v>
      </c>
      <c r="AR146" s="1">
        <v>44095</v>
      </c>
      <c r="AS146" t="s">
        <v>118</v>
      </c>
      <c r="AT146" t="s">
        <v>71</v>
      </c>
      <c r="AU146">
        <v>1591</v>
      </c>
      <c r="AV146" t="s">
        <v>76</v>
      </c>
    </row>
    <row r="147" spans="1:48" x14ac:dyDescent="0.25">
      <c r="A147" t="s">
        <v>433</v>
      </c>
      <c r="B147" t="s">
        <v>210</v>
      </c>
      <c r="C147" t="s">
        <v>264</v>
      </c>
      <c r="D147" t="s">
        <v>51</v>
      </c>
      <c r="E147">
        <v>32</v>
      </c>
      <c r="F147" t="s">
        <v>291</v>
      </c>
      <c r="G147" t="s">
        <v>298</v>
      </c>
      <c r="H147" t="s">
        <v>299</v>
      </c>
      <c r="I147" t="s">
        <v>83</v>
      </c>
      <c r="J147" t="s">
        <v>84</v>
      </c>
      <c r="K147" t="s">
        <v>85</v>
      </c>
      <c r="L147" t="s">
        <v>58</v>
      </c>
      <c r="M147" t="s">
        <v>175</v>
      </c>
      <c r="N147" t="s">
        <v>60</v>
      </c>
      <c r="O147" t="s">
        <v>149</v>
      </c>
      <c r="P147" s="1">
        <v>39064</v>
      </c>
      <c r="Q147">
        <v>17.5</v>
      </c>
      <c r="R147" t="s">
        <v>195</v>
      </c>
      <c r="S147" t="s">
        <v>110</v>
      </c>
      <c r="T147" t="s">
        <v>111</v>
      </c>
      <c r="U147">
        <v>12</v>
      </c>
      <c r="V147">
        <v>2</v>
      </c>
      <c r="W147">
        <v>2149</v>
      </c>
      <c r="X147">
        <v>1523</v>
      </c>
      <c r="Y147">
        <v>422</v>
      </c>
      <c r="Z147">
        <v>4094</v>
      </c>
      <c r="AA147">
        <v>297</v>
      </c>
      <c r="AB147" t="s">
        <v>151</v>
      </c>
      <c r="AC147">
        <v>15.9</v>
      </c>
      <c r="AD147">
        <v>32</v>
      </c>
      <c r="AE147">
        <v>63</v>
      </c>
      <c r="AF147" t="s">
        <v>66</v>
      </c>
      <c r="AG147">
        <v>18</v>
      </c>
      <c r="AH147" t="s">
        <v>113</v>
      </c>
      <c r="AI147" t="s">
        <v>152</v>
      </c>
      <c r="AJ147" t="s">
        <v>96</v>
      </c>
      <c r="AK147" t="s">
        <v>70</v>
      </c>
      <c r="AL147" t="s">
        <v>70</v>
      </c>
      <c r="AM147" t="s">
        <v>70</v>
      </c>
      <c r="AN147" t="s">
        <v>72</v>
      </c>
      <c r="AO147" t="s">
        <v>203</v>
      </c>
      <c r="AP147" t="s">
        <v>72</v>
      </c>
      <c r="AQ147" t="s">
        <v>117</v>
      </c>
      <c r="AR147" s="1">
        <v>42053</v>
      </c>
      <c r="AS147" t="s">
        <v>137</v>
      </c>
      <c r="AT147" t="s">
        <v>71</v>
      </c>
      <c r="AU147">
        <v>1573</v>
      </c>
      <c r="AV147" t="s">
        <v>76</v>
      </c>
    </row>
    <row r="148" spans="1:48" x14ac:dyDescent="0.25">
      <c r="A148" t="s">
        <v>434</v>
      </c>
      <c r="B148" t="s">
        <v>190</v>
      </c>
      <c r="C148" t="s">
        <v>79</v>
      </c>
      <c r="D148" t="s">
        <v>51</v>
      </c>
      <c r="E148">
        <v>38</v>
      </c>
      <c r="F148" t="s">
        <v>322</v>
      </c>
      <c r="G148" t="s">
        <v>142</v>
      </c>
      <c r="H148" t="s">
        <v>143</v>
      </c>
      <c r="I148" t="s">
        <v>83</v>
      </c>
      <c r="J148" t="s">
        <v>84</v>
      </c>
      <c r="K148" t="s">
        <v>85</v>
      </c>
      <c r="L148" t="s">
        <v>174</v>
      </c>
      <c r="M148" t="s">
        <v>147</v>
      </c>
      <c r="N148" t="s">
        <v>88</v>
      </c>
      <c r="O148" t="s">
        <v>61</v>
      </c>
      <c r="P148" s="1">
        <v>44852</v>
      </c>
      <c r="Q148">
        <v>1.6</v>
      </c>
      <c r="R148" t="s">
        <v>75</v>
      </c>
      <c r="S148" t="s">
        <v>63</v>
      </c>
      <c r="T148" t="s">
        <v>64</v>
      </c>
      <c r="U148">
        <v>0</v>
      </c>
      <c r="V148">
        <v>0</v>
      </c>
      <c r="W148">
        <v>5473</v>
      </c>
      <c r="X148">
        <v>1312</v>
      </c>
      <c r="Y148">
        <v>422</v>
      </c>
      <c r="Z148">
        <v>7207</v>
      </c>
      <c r="AA148">
        <v>414</v>
      </c>
      <c r="AB148" t="s">
        <v>65</v>
      </c>
      <c r="AC148">
        <v>20.7</v>
      </c>
      <c r="AD148">
        <v>56</v>
      </c>
      <c r="AE148">
        <v>60</v>
      </c>
      <c r="AF148" t="s">
        <v>112</v>
      </c>
      <c r="AG148">
        <v>40</v>
      </c>
      <c r="AH148" t="s">
        <v>94</v>
      </c>
      <c r="AI148" t="s">
        <v>114</v>
      </c>
      <c r="AJ148" t="s">
        <v>72</v>
      </c>
      <c r="AK148" t="s">
        <v>70</v>
      </c>
      <c r="AL148" t="s">
        <v>71</v>
      </c>
      <c r="AM148" t="s">
        <v>70</v>
      </c>
      <c r="AN148" t="s">
        <v>243</v>
      </c>
      <c r="AO148" t="s">
        <v>287</v>
      </c>
      <c r="AP148" t="s">
        <v>116</v>
      </c>
      <c r="AQ148" t="s">
        <v>136</v>
      </c>
      <c r="AR148" s="1">
        <v>45619</v>
      </c>
      <c r="AS148" t="s">
        <v>75</v>
      </c>
      <c r="AT148" t="s">
        <v>70</v>
      </c>
      <c r="AU148">
        <v>1694</v>
      </c>
      <c r="AV148" t="s">
        <v>76</v>
      </c>
    </row>
    <row r="149" spans="1:48" x14ac:dyDescent="0.25">
      <c r="A149" t="s">
        <v>435</v>
      </c>
      <c r="B149" t="s">
        <v>120</v>
      </c>
      <c r="C149" t="s">
        <v>272</v>
      </c>
      <c r="D149" t="s">
        <v>51</v>
      </c>
      <c r="E149">
        <v>45</v>
      </c>
      <c r="F149" t="s">
        <v>80</v>
      </c>
      <c r="G149" t="s">
        <v>142</v>
      </c>
      <c r="H149" t="s">
        <v>143</v>
      </c>
      <c r="I149" t="s">
        <v>171</v>
      </c>
      <c r="J149" t="s">
        <v>172</v>
      </c>
      <c r="K149" t="s">
        <v>173</v>
      </c>
      <c r="L149" t="s">
        <v>126</v>
      </c>
      <c r="M149" t="s">
        <v>175</v>
      </c>
      <c r="N149" t="s">
        <v>265</v>
      </c>
      <c r="O149" t="s">
        <v>176</v>
      </c>
      <c r="P149" s="1">
        <v>38975</v>
      </c>
      <c r="Q149">
        <v>17.7</v>
      </c>
      <c r="R149" t="s">
        <v>129</v>
      </c>
      <c r="S149" t="s">
        <v>63</v>
      </c>
      <c r="T149" t="s">
        <v>64</v>
      </c>
      <c r="U149">
        <v>0</v>
      </c>
      <c r="V149">
        <v>0</v>
      </c>
      <c r="W149">
        <v>5473</v>
      </c>
      <c r="X149">
        <v>1165</v>
      </c>
      <c r="Y149">
        <v>422</v>
      </c>
      <c r="Z149">
        <v>7060</v>
      </c>
      <c r="AA149">
        <v>427</v>
      </c>
      <c r="AB149" t="s">
        <v>65</v>
      </c>
      <c r="AC149">
        <v>15.2</v>
      </c>
      <c r="AD149">
        <v>33</v>
      </c>
      <c r="AE149">
        <v>66</v>
      </c>
      <c r="AF149" t="s">
        <v>93</v>
      </c>
      <c r="AG149">
        <v>39</v>
      </c>
      <c r="AH149" t="s">
        <v>94</v>
      </c>
      <c r="AI149" t="s">
        <v>114</v>
      </c>
      <c r="AJ149" t="s">
        <v>188</v>
      </c>
      <c r="AK149" t="s">
        <v>70</v>
      </c>
      <c r="AL149" t="s">
        <v>70</v>
      </c>
      <c r="AM149" t="s">
        <v>70</v>
      </c>
      <c r="AN149" t="s">
        <v>72</v>
      </c>
      <c r="AO149" t="s">
        <v>72</v>
      </c>
      <c r="AP149" t="s">
        <v>73</v>
      </c>
      <c r="AQ149" t="s">
        <v>74</v>
      </c>
      <c r="AR149" s="1">
        <v>40763</v>
      </c>
      <c r="AS149" t="s">
        <v>118</v>
      </c>
      <c r="AT149" t="s">
        <v>71</v>
      </c>
      <c r="AU149">
        <v>958</v>
      </c>
      <c r="AV149" t="s">
        <v>76</v>
      </c>
    </row>
    <row r="150" spans="1:48" x14ac:dyDescent="0.25">
      <c r="A150" t="s">
        <v>436</v>
      </c>
      <c r="B150" t="s">
        <v>277</v>
      </c>
      <c r="C150" t="s">
        <v>140</v>
      </c>
      <c r="D150" t="s">
        <v>51</v>
      </c>
      <c r="E150">
        <v>43</v>
      </c>
      <c r="F150" t="s">
        <v>52</v>
      </c>
      <c r="G150" t="s">
        <v>193</v>
      </c>
      <c r="H150" t="s">
        <v>194</v>
      </c>
      <c r="I150" t="s">
        <v>158</v>
      </c>
      <c r="J150" t="s">
        <v>159</v>
      </c>
      <c r="K150" t="s">
        <v>160</v>
      </c>
      <c r="L150" t="s">
        <v>106</v>
      </c>
      <c r="M150" t="s">
        <v>249</v>
      </c>
      <c r="N150" t="s">
        <v>148</v>
      </c>
      <c r="O150" t="s">
        <v>89</v>
      </c>
      <c r="P150" s="1">
        <v>44613</v>
      </c>
      <c r="Q150">
        <v>2.2999999999999998</v>
      </c>
      <c r="R150" t="s">
        <v>75</v>
      </c>
      <c r="S150" t="s">
        <v>196</v>
      </c>
      <c r="T150" t="s">
        <v>197</v>
      </c>
      <c r="U150">
        <v>0</v>
      </c>
      <c r="V150">
        <v>0</v>
      </c>
      <c r="W150">
        <v>2259</v>
      </c>
      <c r="X150">
        <v>0</v>
      </c>
      <c r="Y150">
        <v>422</v>
      </c>
      <c r="Z150">
        <v>2681</v>
      </c>
      <c r="AA150">
        <v>451</v>
      </c>
      <c r="AB150" t="s">
        <v>65</v>
      </c>
      <c r="AC150">
        <v>19.7</v>
      </c>
      <c r="AD150">
        <v>43</v>
      </c>
      <c r="AE150">
        <v>69</v>
      </c>
      <c r="AF150" t="s">
        <v>132</v>
      </c>
      <c r="AG150">
        <v>34</v>
      </c>
      <c r="AH150" t="s">
        <v>67</v>
      </c>
      <c r="AI150" t="s">
        <v>95</v>
      </c>
      <c r="AJ150" t="s">
        <v>188</v>
      </c>
      <c r="AK150" t="s">
        <v>70</v>
      </c>
      <c r="AL150" t="s">
        <v>71</v>
      </c>
      <c r="AM150" t="s">
        <v>70</v>
      </c>
      <c r="AN150" t="s">
        <v>231</v>
      </c>
      <c r="AO150" t="s">
        <v>134</v>
      </c>
      <c r="AP150" t="s">
        <v>72</v>
      </c>
      <c r="AQ150" t="s">
        <v>117</v>
      </c>
      <c r="AR150" s="1">
        <v>44919</v>
      </c>
      <c r="AS150" t="s">
        <v>137</v>
      </c>
      <c r="AT150" t="s">
        <v>71</v>
      </c>
      <c r="AU150">
        <v>1372</v>
      </c>
      <c r="AV150" t="s">
        <v>76</v>
      </c>
    </row>
    <row r="151" spans="1:48" x14ac:dyDescent="0.25">
      <c r="A151" t="s">
        <v>437</v>
      </c>
      <c r="B151" t="s">
        <v>267</v>
      </c>
      <c r="C151" t="s">
        <v>200</v>
      </c>
      <c r="D151" t="s">
        <v>51</v>
      </c>
      <c r="E151">
        <v>29</v>
      </c>
      <c r="F151" t="s">
        <v>291</v>
      </c>
      <c r="G151" t="s">
        <v>234</v>
      </c>
      <c r="H151" t="s">
        <v>235</v>
      </c>
      <c r="I151" t="s">
        <v>268</v>
      </c>
      <c r="J151" t="s">
        <v>269</v>
      </c>
      <c r="K151" t="s">
        <v>173</v>
      </c>
      <c r="L151" t="s">
        <v>106</v>
      </c>
      <c r="M151" t="s">
        <v>107</v>
      </c>
      <c r="N151" t="s">
        <v>162</v>
      </c>
      <c r="O151" t="s">
        <v>61</v>
      </c>
      <c r="P151" s="1">
        <v>39178</v>
      </c>
      <c r="Q151">
        <v>17.2</v>
      </c>
      <c r="R151" t="s">
        <v>75</v>
      </c>
      <c r="S151" t="s">
        <v>110</v>
      </c>
      <c r="T151" t="s">
        <v>111</v>
      </c>
      <c r="U151">
        <v>11</v>
      </c>
      <c r="V151">
        <v>1</v>
      </c>
      <c r="W151">
        <v>1917</v>
      </c>
      <c r="X151">
        <v>2054</v>
      </c>
      <c r="Y151">
        <v>422</v>
      </c>
      <c r="Z151">
        <v>4393</v>
      </c>
      <c r="AA151">
        <v>427</v>
      </c>
      <c r="AB151" t="s">
        <v>65</v>
      </c>
      <c r="AC151">
        <v>14.1</v>
      </c>
      <c r="AD151">
        <v>36</v>
      </c>
      <c r="AE151">
        <v>45</v>
      </c>
      <c r="AF151" t="s">
        <v>132</v>
      </c>
      <c r="AG151">
        <v>35</v>
      </c>
      <c r="AH151" t="s">
        <v>67</v>
      </c>
      <c r="AI151" t="s">
        <v>68</v>
      </c>
      <c r="AJ151" t="s">
        <v>188</v>
      </c>
      <c r="AK151" t="s">
        <v>70</v>
      </c>
      <c r="AL151" t="s">
        <v>70</v>
      </c>
      <c r="AM151" t="s">
        <v>70</v>
      </c>
      <c r="AN151" t="s">
        <v>72</v>
      </c>
      <c r="AO151" t="s">
        <v>221</v>
      </c>
      <c r="AP151" t="s">
        <v>72</v>
      </c>
      <c r="AQ151" t="s">
        <v>74</v>
      </c>
      <c r="AR151" s="1">
        <v>40157</v>
      </c>
      <c r="AS151" t="s">
        <v>198</v>
      </c>
      <c r="AT151" t="s">
        <v>71</v>
      </c>
      <c r="AU151">
        <v>436</v>
      </c>
      <c r="AV151" t="s">
        <v>76</v>
      </c>
    </row>
    <row r="152" spans="1:48" x14ac:dyDescent="0.25">
      <c r="A152" t="s">
        <v>438</v>
      </c>
      <c r="B152" t="s">
        <v>120</v>
      </c>
      <c r="C152" t="s">
        <v>272</v>
      </c>
      <c r="D152" t="s">
        <v>51</v>
      </c>
      <c r="E152">
        <v>44</v>
      </c>
      <c r="F152" t="s">
        <v>80</v>
      </c>
      <c r="G152" t="s">
        <v>183</v>
      </c>
      <c r="H152" t="s">
        <v>184</v>
      </c>
      <c r="I152" t="s">
        <v>144</v>
      </c>
      <c r="J152" t="s">
        <v>145</v>
      </c>
      <c r="K152" t="s">
        <v>146</v>
      </c>
      <c r="L152" t="s">
        <v>126</v>
      </c>
      <c r="M152" t="s">
        <v>107</v>
      </c>
      <c r="N152" t="s">
        <v>108</v>
      </c>
      <c r="O152" t="s">
        <v>149</v>
      </c>
      <c r="P152" s="1">
        <v>42227</v>
      </c>
      <c r="Q152">
        <v>8.8000000000000007</v>
      </c>
      <c r="R152" t="s">
        <v>75</v>
      </c>
      <c r="S152" t="s">
        <v>196</v>
      </c>
      <c r="T152" t="s">
        <v>197</v>
      </c>
      <c r="U152">
        <v>0</v>
      </c>
      <c r="V152">
        <v>0</v>
      </c>
      <c r="W152">
        <v>5696</v>
      </c>
      <c r="X152">
        <v>0</v>
      </c>
      <c r="Y152">
        <v>266</v>
      </c>
      <c r="Z152">
        <v>5962</v>
      </c>
      <c r="AA152">
        <v>554</v>
      </c>
      <c r="AB152" t="s">
        <v>65</v>
      </c>
      <c r="AC152">
        <v>16.100000000000001</v>
      </c>
      <c r="AD152">
        <v>28</v>
      </c>
      <c r="AE152">
        <v>70</v>
      </c>
      <c r="AF152" t="s">
        <v>112</v>
      </c>
      <c r="AG152">
        <v>31</v>
      </c>
      <c r="AH152" t="s">
        <v>67</v>
      </c>
      <c r="AI152" t="s">
        <v>95</v>
      </c>
      <c r="AJ152" t="s">
        <v>72</v>
      </c>
      <c r="AK152" t="s">
        <v>70</v>
      </c>
      <c r="AL152" t="s">
        <v>71</v>
      </c>
      <c r="AM152" t="s">
        <v>70</v>
      </c>
      <c r="AN152" t="s">
        <v>243</v>
      </c>
      <c r="AO152" t="s">
        <v>134</v>
      </c>
      <c r="AP152" t="s">
        <v>72</v>
      </c>
      <c r="AQ152" t="s">
        <v>136</v>
      </c>
      <c r="AR152" s="1">
        <v>43069</v>
      </c>
      <c r="AS152" t="s">
        <v>137</v>
      </c>
      <c r="AT152" t="s">
        <v>71</v>
      </c>
      <c r="AU152">
        <v>978</v>
      </c>
      <c r="AV152" t="s">
        <v>76</v>
      </c>
    </row>
    <row r="153" spans="1:48" x14ac:dyDescent="0.25">
      <c r="A153" t="s">
        <v>439</v>
      </c>
      <c r="B153" t="s">
        <v>282</v>
      </c>
      <c r="C153" t="s">
        <v>272</v>
      </c>
      <c r="D153" t="s">
        <v>51</v>
      </c>
      <c r="E153">
        <v>45</v>
      </c>
      <c r="F153" t="s">
        <v>123</v>
      </c>
      <c r="G153" t="s">
        <v>234</v>
      </c>
      <c r="H153" t="s">
        <v>235</v>
      </c>
      <c r="I153" t="s">
        <v>253</v>
      </c>
      <c r="J153" t="s">
        <v>254</v>
      </c>
      <c r="K153" t="s">
        <v>255</v>
      </c>
      <c r="L153" t="s">
        <v>174</v>
      </c>
      <c r="M153" t="s">
        <v>161</v>
      </c>
      <c r="N153" t="s">
        <v>128</v>
      </c>
      <c r="O153" t="s">
        <v>61</v>
      </c>
      <c r="P153" s="1">
        <v>39982</v>
      </c>
      <c r="Q153">
        <v>15</v>
      </c>
      <c r="R153" t="s">
        <v>75</v>
      </c>
      <c r="S153" t="s">
        <v>63</v>
      </c>
      <c r="T153" t="s">
        <v>64</v>
      </c>
      <c r="U153">
        <v>0</v>
      </c>
      <c r="V153">
        <v>0</v>
      </c>
      <c r="W153">
        <v>1917</v>
      </c>
      <c r="X153">
        <v>0</v>
      </c>
      <c r="Y153">
        <v>422</v>
      </c>
      <c r="Z153">
        <v>2339</v>
      </c>
      <c r="AA153">
        <v>456</v>
      </c>
      <c r="AB153" t="s">
        <v>65</v>
      </c>
      <c r="AC153">
        <v>20.8</v>
      </c>
      <c r="AD153">
        <v>38</v>
      </c>
      <c r="AE153">
        <v>52</v>
      </c>
      <c r="AF153" t="s">
        <v>132</v>
      </c>
      <c r="AG153">
        <v>40</v>
      </c>
      <c r="AH153" t="s">
        <v>94</v>
      </c>
      <c r="AI153" t="s">
        <v>68</v>
      </c>
      <c r="AJ153" t="s">
        <v>96</v>
      </c>
      <c r="AK153" t="s">
        <v>70</v>
      </c>
      <c r="AL153" t="s">
        <v>70</v>
      </c>
      <c r="AM153" t="s">
        <v>70</v>
      </c>
      <c r="AN153" t="s">
        <v>115</v>
      </c>
      <c r="AO153" t="s">
        <v>72</v>
      </c>
      <c r="AP153" t="s">
        <v>72</v>
      </c>
      <c r="AQ153" t="s">
        <v>136</v>
      </c>
      <c r="AR153" s="1">
        <v>43129</v>
      </c>
      <c r="AS153" t="s">
        <v>198</v>
      </c>
      <c r="AT153" t="s">
        <v>71</v>
      </c>
      <c r="AU153">
        <v>-208</v>
      </c>
      <c r="AV153" t="s">
        <v>179</v>
      </c>
    </row>
    <row r="154" spans="1:48" x14ac:dyDescent="0.25">
      <c r="A154" t="s">
        <v>440</v>
      </c>
      <c r="B154" t="s">
        <v>267</v>
      </c>
      <c r="C154" t="s">
        <v>264</v>
      </c>
      <c r="D154" t="s">
        <v>51</v>
      </c>
      <c r="E154">
        <v>24</v>
      </c>
      <c r="F154" t="s">
        <v>123</v>
      </c>
      <c r="G154" t="s">
        <v>53</v>
      </c>
      <c r="H154" t="s">
        <v>54</v>
      </c>
      <c r="I154" t="s">
        <v>83</v>
      </c>
      <c r="J154" t="s">
        <v>84</v>
      </c>
      <c r="K154" t="s">
        <v>85</v>
      </c>
      <c r="L154" t="s">
        <v>86</v>
      </c>
      <c r="M154" t="s">
        <v>175</v>
      </c>
      <c r="N154" t="s">
        <v>88</v>
      </c>
      <c r="O154" t="s">
        <v>176</v>
      </c>
      <c r="P154" s="1">
        <v>43312</v>
      </c>
      <c r="Q154">
        <v>5.8</v>
      </c>
      <c r="R154" t="s">
        <v>62</v>
      </c>
      <c r="S154" t="s">
        <v>219</v>
      </c>
      <c r="T154" t="s">
        <v>220</v>
      </c>
      <c r="U154">
        <v>0</v>
      </c>
      <c r="V154">
        <v>0</v>
      </c>
      <c r="W154">
        <v>4739</v>
      </c>
      <c r="X154">
        <v>1609</v>
      </c>
      <c r="Y154">
        <v>422</v>
      </c>
      <c r="Z154">
        <v>6770</v>
      </c>
      <c r="AA154">
        <v>590</v>
      </c>
      <c r="AB154" t="s">
        <v>65</v>
      </c>
      <c r="AC154">
        <v>20</v>
      </c>
      <c r="AD154">
        <v>69</v>
      </c>
      <c r="AE154">
        <v>53</v>
      </c>
      <c r="AF154" t="s">
        <v>132</v>
      </c>
      <c r="AG154">
        <v>29</v>
      </c>
      <c r="AH154" t="s">
        <v>113</v>
      </c>
      <c r="AI154" t="s">
        <v>95</v>
      </c>
      <c r="AJ154" t="s">
        <v>188</v>
      </c>
      <c r="AK154" t="s">
        <v>70</v>
      </c>
      <c r="AL154" t="s">
        <v>70</v>
      </c>
      <c r="AM154" t="s">
        <v>71</v>
      </c>
      <c r="AN154" t="s">
        <v>72</v>
      </c>
      <c r="AO154" t="s">
        <v>178</v>
      </c>
      <c r="AP154" t="s">
        <v>72</v>
      </c>
      <c r="AQ154" t="s">
        <v>136</v>
      </c>
      <c r="AR154" s="1">
        <v>45039</v>
      </c>
      <c r="AS154" t="s">
        <v>137</v>
      </c>
      <c r="AT154" t="s">
        <v>71</v>
      </c>
      <c r="AU154">
        <v>1746</v>
      </c>
      <c r="AV154" t="s">
        <v>76</v>
      </c>
    </row>
    <row r="155" spans="1:48" x14ac:dyDescent="0.25">
      <c r="A155" t="s">
        <v>441</v>
      </c>
      <c r="B155" t="s">
        <v>78</v>
      </c>
      <c r="C155" t="s">
        <v>50</v>
      </c>
      <c r="D155" t="s">
        <v>51</v>
      </c>
      <c r="E155">
        <v>26</v>
      </c>
      <c r="F155" t="s">
        <v>168</v>
      </c>
      <c r="G155" t="s">
        <v>193</v>
      </c>
      <c r="H155" t="s">
        <v>194</v>
      </c>
      <c r="I155" t="s">
        <v>171</v>
      </c>
      <c r="J155" t="s">
        <v>172</v>
      </c>
      <c r="K155" t="s">
        <v>173</v>
      </c>
      <c r="L155" t="s">
        <v>86</v>
      </c>
      <c r="M155" t="s">
        <v>87</v>
      </c>
      <c r="N155" t="s">
        <v>108</v>
      </c>
      <c r="O155" t="s">
        <v>89</v>
      </c>
      <c r="P155" s="1">
        <v>43717</v>
      </c>
      <c r="Q155">
        <v>4.7</v>
      </c>
      <c r="R155" t="s">
        <v>90</v>
      </c>
      <c r="S155" t="s">
        <v>91</v>
      </c>
      <c r="T155" t="s">
        <v>92</v>
      </c>
      <c r="U155">
        <v>9</v>
      </c>
      <c r="V155">
        <v>1</v>
      </c>
      <c r="W155">
        <v>2259</v>
      </c>
      <c r="X155">
        <v>0</v>
      </c>
      <c r="Y155">
        <v>422</v>
      </c>
      <c r="Z155">
        <v>2681</v>
      </c>
      <c r="AA155">
        <v>354</v>
      </c>
      <c r="AB155" t="s">
        <v>151</v>
      </c>
      <c r="AC155">
        <v>18.8</v>
      </c>
      <c r="AD155">
        <v>48</v>
      </c>
      <c r="AE155">
        <v>70</v>
      </c>
      <c r="AF155" t="s">
        <v>93</v>
      </c>
      <c r="AG155">
        <v>32</v>
      </c>
      <c r="AH155" t="s">
        <v>67</v>
      </c>
      <c r="AI155" t="s">
        <v>95</v>
      </c>
      <c r="AJ155" t="s">
        <v>96</v>
      </c>
      <c r="AK155" t="s">
        <v>70</v>
      </c>
      <c r="AL155" t="s">
        <v>70</v>
      </c>
      <c r="AM155" t="s">
        <v>70</v>
      </c>
      <c r="AN155" t="s">
        <v>133</v>
      </c>
      <c r="AO155" t="s">
        <v>178</v>
      </c>
      <c r="AP155" t="s">
        <v>72</v>
      </c>
      <c r="AQ155" t="s">
        <v>117</v>
      </c>
      <c r="AR155" s="1">
        <v>44191</v>
      </c>
      <c r="AS155" t="s">
        <v>118</v>
      </c>
      <c r="AT155" t="s">
        <v>71</v>
      </c>
      <c r="AU155">
        <v>1370</v>
      </c>
      <c r="AV155" t="s">
        <v>76</v>
      </c>
    </row>
    <row r="156" spans="1:48" x14ac:dyDescent="0.25">
      <c r="A156" t="s">
        <v>442</v>
      </c>
      <c r="B156" t="s">
        <v>139</v>
      </c>
      <c r="C156" t="s">
        <v>246</v>
      </c>
      <c r="D156" t="s">
        <v>122</v>
      </c>
      <c r="E156">
        <v>42</v>
      </c>
      <c r="F156" t="s">
        <v>52</v>
      </c>
      <c r="G156" t="s">
        <v>142</v>
      </c>
      <c r="H156" t="s">
        <v>143</v>
      </c>
      <c r="I156" t="s">
        <v>236</v>
      </c>
      <c r="J156" t="s">
        <v>237</v>
      </c>
      <c r="K156" t="s">
        <v>238</v>
      </c>
      <c r="L156" t="s">
        <v>86</v>
      </c>
      <c r="M156" t="s">
        <v>249</v>
      </c>
      <c r="N156" t="s">
        <v>148</v>
      </c>
      <c r="O156" t="s">
        <v>149</v>
      </c>
      <c r="P156" s="1">
        <v>39086</v>
      </c>
      <c r="Q156">
        <v>17.399999999999999</v>
      </c>
      <c r="R156" t="s">
        <v>129</v>
      </c>
      <c r="S156" t="s">
        <v>91</v>
      </c>
      <c r="T156" t="s">
        <v>92</v>
      </c>
      <c r="U156">
        <v>9</v>
      </c>
      <c r="V156">
        <v>1</v>
      </c>
      <c r="W156">
        <v>5473</v>
      </c>
      <c r="X156">
        <v>1549</v>
      </c>
      <c r="Y156">
        <v>422</v>
      </c>
      <c r="Z156">
        <v>7444</v>
      </c>
      <c r="AA156">
        <v>290</v>
      </c>
      <c r="AB156" t="s">
        <v>151</v>
      </c>
      <c r="AC156">
        <v>14.7</v>
      </c>
      <c r="AD156">
        <v>39</v>
      </c>
      <c r="AE156">
        <v>30</v>
      </c>
      <c r="AF156" t="s">
        <v>93</v>
      </c>
      <c r="AG156">
        <v>27</v>
      </c>
      <c r="AH156" t="s">
        <v>113</v>
      </c>
      <c r="AI156" t="s">
        <v>68</v>
      </c>
      <c r="AJ156" t="s">
        <v>69</v>
      </c>
      <c r="AK156" t="s">
        <v>70</v>
      </c>
      <c r="AL156" t="s">
        <v>70</v>
      </c>
      <c r="AM156" t="s">
        <v>71</v>
      </c>
      <c r="AN156" t="s">
        <v>115</v>
      </c>
      <c r="AO156" t="s">
        <v>134</v>
      </c>
      <c r="AP156" t="s">
        <v>72</v>
      </c>
      <c r="AQ156" t="s">
        <v>136</v>
      </c>
      <c r="AR156" s="1">
        <v>42143</v>
      </c>
      <c r="AS156" t="s">
        <v>118</v>
      </c>
      <c r="AT156" t="s">
        <v>71</v>
      </c>
      <c r="AU156">
        <v>272</v>
      </c>
      <c r="AV156" t="s">
        <v>76</v>
      </c>
    </row>
    <row r="157" spans="1:48" x14ac:dyDescent="0.25">
      <c r="A157" t="s">
        <v>443</v>
      </c>
      <c r="B157" t="s">
        <v>166</v>
      </c>
      <c r="C157" t="s">
        <v>246</v>
      </c>
      <c r="D157" t="s">
        <v>122</v>
      </c>
      <c r="E157">
        <v>21</v>
      </c>
      <c r="F157" t="s">
        <v>278</v>
      </c>
      <c r="G157" t="s">
        <v>156</v>
      </c>
      <c r="H157" t="s">
        <v>157</v>
      </c>
      <c r="I157" t="s">
        <v>55</v>
      </c>
      <c r="J157" t="s">
        <v>56</v>
      </c>
      <c r="K157" t="s">
        <v>57</v>
      </c>
      <c r="L157" t="s">
        <v>58</v>
      </c>
      <c r="M157" t="s">
        <v>59</v>
      </c>
      <c r="N157" t="s">
        <v>265</v>
      </c>
      <c r="O157" t="s">
        <v>109</v>
      </c>
      <c r="P157" s="1">
        <v>41452</v>
      </c>
      <c r="Q157">
        <v>10.9</v>
      </c>
      <c r="R157" t="s">
        <v>62</v>
      </c>
      <c r="S157" t="s">
        <v>130</v>
      </c>
      <c r="T157" t="s">
        <v>131</v>
      </c>
      <c r="U157">
        <v>8</v>
      </c>
      <c r="V157">
        <v>1</v>
      </c>
      <c r="W157">
        <v>4836</v>
      </c>
      <c r="X157">
        <v>962</v>
      </c>
      <c r="Y157">
        <v>266</v>
      </c>
      <c r="Z157">
        <v>6064</v>
      </c>
      <c r="AA157">
        <v>429</v>
      </c>
      <c r="AB157" t="s">
        <v>65</v>
      </c>
      <c r="AC157">
        <v>17.8</v>
      </c>
      <c r="AD157">
        <v>53</v>
      </c>
      <c r="AE157">
        <v>78</v>
      </c>
      <c r="AF157" t="s">
        <v>112</v>
      </c>
      <c r="AG157">
        <v>36</v>
      </c>
      <c r="AH157" t="s">
        <v>94</v>
      </c>
      <c r="AI157" t="s">
        <v>152</v>
      </c>
      <c r="AJ157" t="s">
        <v>72</v>
      </c>
      <c r="AK157" t="s">
        <v>70</v>
      </c>
      <c r="AL157" t="s">
        <v>71</v>
      </c>
      <c r="AM157" t="s">
        <v>70</v>
      </c>
      <c r="AN157" t="s">
        <v>72</v>
      </c>
      <c r="AO157" t="s">
        <v>72</v>
      </c>
      <c r="AP157" t="s">
        <v>134</v>
      </c>
      <c r="AQ157" t="s">
        <v>74</v>
      </c>
      <c r="AR157" s="1">
        <v>45305</v>
      </c>
      <c r="AS157" t="s">
        <v>198</v>
      </c>
      <c r="AT157" t="s">
        <v>71</v>
      </c>
      <c r="AU157">
        <v>269</v>
      </c>
      <c r="AV157" t="s">
        <v>76</v>
      </c>
    </row>
    <row r="158" spans="1:48" x14ac:dyDescent="0.25">
      <c r="A158" t="s">
        <v>444</v>
      </c>
      <c r="B158" t="s">
        <v>377</v>
      </c>
      <c r="C158" t="s">
        <v>50</v>
      </c>
      <c r="D158" t="s">
        <v>51</v>
      </c>
      <c r="E158">
        <v>19</v>
      </c>
      <c r="F158" t="s">
        <v>80</v>
      </c>
      <c r="G158" t="s">
        <v>298</v>
      </c>
      <c r="H158" t="s">
        <v>299</v>
      </c>
      <c r="I158" t="s">
        <v>103</v>
      </c>
      <c r="J158" t="s">
        <v>104</v>
      </c>
      <c r="K158" t="s">
        <v>105</v>
      </c>
      <c r="L158" t="s">
        <v>174</v>
      </c>
      <c r="M158" t="s">
        <v>275</v>
      </c>
      <c r="N158" t="s">
        <v>60</v>
      </c>
      <c r="O158" t="s">
        <v>176</v>
      </c>
      <c r="P158" s="1">
        <v>40558</v>
      </c>
      <c r="Q158">
        <v>13.4</v>
      </c>
      <c r="R158" t="s">
        <v>75</v>
      </c>
      <c r="S158" t="s">
        <v>130</v>
      </c>
      <c r="T158" t="s">
        <v>131</v>
      </c>
      <c r="U158">
        <v>14</v>
      </c>
      <c r="V158">
        <v>2</v>
      </c>
      <c r="W158">
        <v>2149</v>
      </c>
      <c r="X158">
        <v>0</v>
      </c>
      <c r="Y158">
        <v>422</v>
      </c>
      <c r="Z158">
        <v>2571</v>
      </c>
      <c r="AA158">
        <v>401</v>
      </c>
      <c r="AB158" t="s">
        <v>65</v>
      </c>
      <c r="AC158">
        <v>13.3</v>
      </c>
      <c r="AD158">
        <v>20</v>
      </c>
      <c r="AE158">
        <v>61</v>
      </c>
      <c r="AF158" t="s">
        <v>112</v>
      </c>
      <c r="AG158">
        <v>29</v>
      </c>
      <c r="AH158" t="s">
        <v>113</v>
      </c>
      <c r="AI158" t="s">
        <v>95</v>
      </c>
      <c r="AJ158" t="s">
        <v>72</v>
      </c>
      <c r="AK158" t="s">
        <v>70</v>
      </c>
      <c r="AL158" t="s">
        <v>71</v>
      </c>
      <c r="AM158" t="s">
        <v>70</v>
      </c>
      <c r="AN158" t="s">
        <v>202</v>
      </c>
      <c r="AO158" t="s">
        <v>134</v>
      </c>
      <c r="AP158" t="s">
        <v>287</v>
      </c>
      <c r="AQ158" t="s">
        <v>117</v>
      </c>
      <c r="AR158" s="1">
        <v>42118</v>
      </c>
      <c r="AS158" t="s">
        <v>137</v>
      </c>
      <c r="AT158" t="s">
        <v>71</v>
      </c>
      <c r="AU158">
        <v>524</v>
      </c>
      <c r="AV158" t="s">
        <v>76</v>
      </c>
    </row>
    <row r="159" spans="1:48" x14ac:dyDescent="0.25">
      <c r="A159" t="s">
        <v>445</v>
      </c>
      <c r="B159" t="s">
        <v>346</v>
      </c>
      <c r="C159" t="s">
        <v>313</v>
      </c>
      <c r="D159" t="s">
        <v>122</v>
      </c>
      <c r="E159">
        <v>38</v>
      </c>
      <c r="F159" t="s">
        <v>224</v>
      </c>
      <c r="G159" t="s">
        <v>81</v>
      </c>
      <c r="H159" t="s">
        <v>82</v>
      </c>
      <c r="I159" t="s">
        <v>292</v>
      </c>
      <c r="J159" t="s">
        <v>293</v>
      </c>
      <c r="K159" t="s">
        <v>294</v>
      </c>
      <c r="L159" t="s">
        <v>106</v>
      </c>
      <c r="M159" t="s">
        <v>107</v>
      </c>
      <c r="N159" t="s">
        <v>162</v>
      </c>
      <c r="O159" t="s">
        <v>109</v>
      </c>
      <c r="P159" s="1">
        <v>40377</v>
      </c>
      <c r="Q159">
        <v>13.9</v>
      </c>
      <c r="R159" t="s">
        <v>62</v>
      </c>
      <c r="S159" t="s">
        <v>219</v>
      </c>
      <c r="T159" t="s">
        <v>220</v>
      </c>
      <c r="U159">
        <v>0</v>
      </c>
      <c r="V159">
        <v>0</v>
      </c>
      <c r="W159">
        <v>2504</v>
      </c>
      <c r="X159">
        <v>0</v>
      </c>
      <c r="Y159">
        <v>422</v>
      </c>
      <c r="Z159">
        <v>2926</v>
      </c>
      <c r="AA159">
        <v>556</v>
      </c>
      <c r="AB159" t="s">
        <v>65</v>
      </c>
      <c r="AC159">
        <v>16.399999999999999</v>
      </c>
      <c r="AD159">
        <v>69</v>
      </c>
      <c r="AE159">
        <v>36</v>
      </c>
      <c r="AF159" t="s">
        <v>93</v>
      </c>
      <c r="AG159">
        <v>31</v>
      </c>
      <c r="AH159" t="s">
        <v>67</v>
      </c>
      <c r="AI159" t="s">
        <v>114</v>
      </c>
      <c r="AJ159" t="s">
        <v>72</v>
      </c>
      <c r="AK159" t="s">
        <v>71</v>
      </c>
      <c r="AL159" t="s">
        <v>70</v>
      </c>
      <c r="AM159" t="s">
        <v>70</v>
      </c>
      <c r="AN159" t="s">
        <v>133</v>
      </c>
      <c r="AO159" t="s">
        <v>227</v>
      </c>
      <c r="AP159" t="s">
        <v>134</v>
      </c>
      <c r="AQ159" t="s">
        <v>117</v>
      </c>
      <c r="AR159" s="1">
        <v>41963</v>
      </c>
      <c r="AS159" t="s">
        <v>75</v>
      </c>
      <c r="AT159" t="s">
        <v>71</v>
      </c>
      <c r="AU159">
        <v>-38</v>
      </c>
      <c r="AV159" t="s">
        <v>179</v>
      </c>
    </row>
    <row r="160" spans="1:48" x14ac:dyDescent="0.25">
      <c r="A160" t="s">
        <v>446</v>
      </c>
      <c r="B160" t="s">
        <v>267</v>
      </c>
      <c r="C160" t="s">
        <v>257</v>
      </c>
      <c r="D160" t="s">
        <v>51</v>
      </c>
      <c r="E160">
        <v>40</v>
      </c>
      <c r="F160" t="s">
        <v>168</v>
      </c>
      <c r="G160" t="s">
        <v>234</v>
      </c>
      <c r="H160" t="s">
        <v>235</v>
      </c>
      <c r="I160" t="s">
        <v>273</v>
      </c>
      <c r="J160" t="s">
        <v>274</v>
      </c>
      <c r="K160" t="s">
        <v>57</v>
      </c>
      <c r="L160" t="s">
        <v>86</v>
      </c>
      <c r="M160" t="s">
        <v>87</v>
      </c>
      <c r="N160" t="s">
        <v>60</v>
      </c>
      <c r="O160" t="s">
        <v>109</v>
      </c>
      <c r="P160" s="1">
        <v>44817</v>
      </c>
      <c r="Q160">
        <v>1.7</v>
      </c>
      <c r="R160" t="s">
        <v>90</v>
      </c>
      <c r="S160" t="s">
        <v>130</v>
      </c>
      <c r="T160" t="s">
        <v>131</v>
      </c>
      <c r="U160">
        <v>0</v>
      </c>
      <c r="V160">
        <v>0</v>
      </c>
      <c r="W160">
        <v>1917</v>
      </c>
      <c r="X160">
        <v>886</v>
      </c>
      <c r="Y160">
        <v>422</v>
      </c>
      <c r="Z160">
        <v>3225</v>
      </c>
      <c r="AA160">
        <v>335</v>
      </c>
      <c r="AB160" t="s">
        <v>151</v>
      </c>
      <c r="AC160">
        <v>18.399999999999999</v>
      </c>
      <c r="AD160">
        <v>29</v>
      </c>
      <c r="AE160">
        <v>53</v>
      </c>
      <c r="AF160" t="s">
        <v>93</v>
      </c>
      <c r="AG160">
        <v>21</v>
      </c>
      <c r="AH160" t="s">
        <v>113</v>
      </c>
      <c r="AI160" t="s">
        <v>177</v>
      </c>
      <c r="AJ160" t="s">
        <v>72</v>
      </c>
      <c r="AK160" t="s">
        <v>71</v>
      </c>
      <c r="AL160" t="s">
        <v>70</v>
      </c>
      <c r="AM160" t="s">
        <v>70</v>
      </c>
      <c r="AN160" t="s">
        <v>243</v>
      </c>
      <c r="AO160" t="s">
        <v>287</v>
      </c>
      <c r="AP160" t="s">
        <v>72</v>
      </c>
      <c r="AQ160" t="s">
        <v>117</v>
      </c>
      <c r="AR160" s="1">
        <v>45273</v>
      </c>
      <c r="AS160" t="s">
        <v>118</v>
      </c>
      <c r="AT160" t="s">
        <v>70</v>
      </c>
      <c r="AU160">
        <v>1296</v>
      </c>
      <c r="AV160" t="s">
        <v>76</v>
      </c>
    </row>
    <row r="161" spans="1:48" x14ac:dyDescent="0.25">
      <c r="A161" t="s">
        <v>447</v>
      </c>
      <c r="B161" t="s">
        <v>78</v>
      </c>
      <c r="C161" t="s">
        <v>50</v>
      </c>
      <c r="D161" t="s">
        <v>51</v>
      </c>
      <c r="E161">
        <v>35</v>
      </c>
      <c r="F161" t="s">
        <v>248</v>
      </c>
      <c r="G161" t="s">
        <v>301</v>
      </c>
      <c r="H161" t="s">
        <v>302</v>
      </c>
      <c r="I161" t="s">
        <v>260</v>
      </c>
      <c r="J161" t="s">
        <v>261</v>
      </c>
      <c r="K161" t="s">
        <v>173</v>
      </c>
      <c r="L161" t="s">
        <v>58</v>
      </c>
      <c r="M161" t="s">
        <v>207</v>
      </c>
      <c r="N161" t="s">
        <v>60</v>
      </c>
      <c r="O161" t="s">
        <v>109</v>
      </c>
      <c r="P161" s="1">
        <v>44141</v>
      </c>
      <c r="Q161">
        <v>3.6</v>
      </c>
      <c r="R161" t="s">
        <v>150</v>
      </c>
      <c r="S161" t="s">
        <v>91</v>
      </c>
      <c r="T161" t="s">
        <v>92</v>
      </c>
      <c r="U161">
        <v>9</v>
      </c>
      <c r="V161">
        <v>1</v>
      </c>
      <c r="W161">
        <v>4188</v>
      </c>
      <c r="X161">
        <v>1911</v>
      </c>
      <c r="Y161">
        <v>266</v>
      </c>
      <c r="Z161">
        <v>6365</v>
      </c>
      <c r="AA161">
        <v>468</v>
      </c>
      <c r="AB161" t="s">
        <v>65</v>
      </c>
      <c r="AC161">
        <v>14.1</v>
      </c>
      <c r="AD161">
        <v>31</v>
      </c>
      <c r="AE161">
        <v>64</v>
      </c>
      <c r="AF161" t="s">
        <v>112</v>
      </c>
      <c r="AG161">
        <v>39</v>
      </c>
      <c r="AH161" t="s">
        <v>94</v>
      </c>
      <c r="AI161" t="s">
        <v>95</v>
      </c>
      <c r="AJ161" t="s">
        <v>188</v>
      </c>
      <c r="AK161" t="s">
        <v>70</v>
      </c>
      <c r="AL161" t="s">
        <v>70</v>
      </c>
      <c r="AM161" t="s">
        <v>70</v>
      </c>
      <c r="AN161" t="s">
        <v>115</v>
      </c>
      <c r="AO161" t="s">
        <v>287</v>
      </c>
      <c r="AP161" t="s">
        <v>72</v>
      </c>
      <c r="AQ161" t="s">
        <v>98</v>
      </c>
      <c r="AR161" s="1">
        <v>44607</v>
      </c>
      <c r="AS161" t="s">
        <v>137</v>
      </c>
      <c r="AT161" t="s">
        <v>71</v>
      </c>
      <c r="AU161">
        <v>259</v>
      </c>
      <c r="AV161" t="s">
        <v>76</v>
      </c>
    </row>
    <row r="162" spans="1:48" x14ac:dyDescent="0.25">
      <c r="A162" t="s">
        <v>448</v>
      </c>
      <c r="B162" t="s">
        <v>100</v>
      </c>
      <c r="C162" t="s">
        <v>332</v>
      </c>
      <c r="D162" t="s">
        <v>51</v>
      </c>
      <c r="E162">
        <v>24</v>
      </c>
      <c r="F162" t="s">
        <v>311</v>
      </c>
      <c r="G162" t="s">
        <v>53</v>
      </c>
      <c r="H162" t="s">
        <v>54</v>
      </c>
      <c r="I162" t="s">
        <v>83</v>
      </c>
      <c r="J162" t="s">
        <v>84</v>
      </c>
      <c r="K162" t="s">
        <v>85</v>
      </c>
      <c r="L162" t="s">
        <v>106</v>
      </c>
      <c r="M162" t="s">
        <v>127</v>
      </c>
      <c r="N162" t="s">
        <v>265</v>
      </c>
      <c r="O162" t="s">
        <v>61</v>
      </c>
      <c r="P162" s="1">
        <v>41527</v>
      </c>
      <c r="Q162">
        <v>10.7</v>
      </c>
      <c r="R162" t="s">
        <v>62</v>
      </c>
      <c r="S162" t="s">
        <v>130</v>
      </c>
      <c r="T162" t="s">
        <v>131</v>
      </c>
      <c r="U162">
        <v>15</v>
      </c>
      <c r="V162">
        <v>2</v>
      </c>
      <c r="W162">
        <v>4739</v>
      </c>
      <c r="X162">
        <v>0</v>
      </c>
      <c r="Y162">
        <v>422</v>
      </c>
      <c r="Z162">
        <v>5161</v>
      </c>
      <c r="AA162">
        <v>454</v>
      </c>
      <c r="AB162" t="s">
        <v>65</v>
      </c>
      <c r="AC162">
        <v>17.7</v>
      </c>
      <c r="AD162">
        <v>40</v>
      </c>
      <c r="AE162">
        <v>56</v>
      </c>
      <c r="AF162" t="s">
        <v>66</v>
      </c>
      <c r="AG162">
        <v>19</v>
      </c>
      <c r="AH162" t="s">
        <v>113</v>
      </c>
      <c r="AI162" t="s">
        <v>177</v>
      </c>
      <c r="AJ162" t="s">
        <v>72</v>
      </c>
      <c r="AK162" t="s">
        <v>70</v>
      </c>
      <c r="AL162" t="s">
        <v>71</v>
      </c>
      <c r="AM162" t="s">
        <v>70</v>
      </c>
      <c r="AN162" t="s">
        <v>115</v>
      </c>
      <c r="AO162" t="s">
        <v>203</v>
      </c>
      <c r="AP162" t="s">
        <v>135</v>
      </c>
      <c r="AQ162" t="s">
        <v>98</v>
      </c>
      <c r="AR162" s="1">
        <v>43371</v>
      </c>
      <c r="AS162" t="s">
        <v>198</v>
      </c>
      <c r="AT162" t="s">
        <v>71</v>
      </c>
      <c r="AU162">
        <v>-299</v>
      </c>
      <c r="AV162" t="s">
        <v>179</v>
      </c>
    </row>
    <row r="163" spans="1:48" x14ac:dyDescent="0.25">
      <c r="A163" t="s">
        <v>449</v>
      </c>
      <c r="B163" t="s">
        <v>100</v>
      </c>
      <c r="C163" t="s">
        <v>182</v>
      </c>
      <c r="D163" t="s">
        <v>51</v>
      </c>
      <c r="E163">
        <v>21</v>
      </c>
      <c r="F163" t="s">
        <v>311</v>
      </c>
      <c r="G163" t="s">
        <v>193</v>
      </c>
      <c r="H163" t="s">
        <v>194</v>
      </c>
      <c r="I163" t="s">
        <v>268</v>
      </c>
      <c r="J163" t="s">
        <v>269</v>
      </c>
      <c r="K163" t="s">
        <v>173</v>
      </c>
      <c r="L163" t="s">
        <v>58</v>
      </c>
      <c r="M163" t="s">
        <v>175</v>
      </c>
      <c r="N163" t="s">
        <v>162</v>
      </c>
      <c r="O163" t="s">
        <v>89</v>
      </c>
      <c r="P163" s="1">
        <v>42187</v>
      </c>
      <c r="Q163">
        <v>8.9</v>
      </c>
      <c r="R163" t="s">
        <v>90</v>
      </c>
      <c r="S163" t="s">
        <v>196</v>
      </c>
      <c r="T163" t="s">
        <v>197</v>
      </c>
      <c r="U163">
        <v>0</v>
      </c>
      <c r="V163">
        <v>0</v>
      </c>
      <c r="W163">
        <v>2259</v>
      </c>
      <c r="X163">
        <v>0</v>
      </c>
      <c r="Y163">
        <v>422</v>
      </c>
      <c r="Z163">
        <v>2681</v>
      </c>
      <c r="AA163">
        <v>478</v>
      </c>
      <c r="AB163" t="s">
        <v>65</v>
      </c>
      <c r="AC163">
        <v>15.6</v>
      </c>
      <c r="AD163">
        <v>67</v>
      </c>
      <c r="AE163">
        <v>56</v>
      </c>
      <c r="AF163" t="s">
        <v>66</v>
      </c>
      <c r="AG163">
        <v>35</v>
      </c>
      <c r="AH163" t="s">
        <v>67</v>
      </c>
      <c r="AI163" t="s">
        <v>114</v>
      </c>
      <c r="AJ163" t="s">
        <v>96</v>
      </c>
      <c r="AK163" t="s">
        <v>71</v>
      </c>
      <c r="AL163" t="s">
        <v>71</v>
      </c>
      <c r="AM163" t="s">
        <v>70</v>
      </c>
      <c r="AN163" t="s">
        <v>72</v>
      </c>
      <c r="AO163" t="s">
        <v>134</v>
      </c>
      <c r="AP163" t="s">
        <v>72</v>
      </c>
      <c r="AQ163" t="s">
        <v>136</v>
      </c>
      <c r="AR163" s="1">
        <v>44160</v>
      </c>
      <c r="AS163" t="s">
        <v>198</v>
      </c>
      <c r="AT163" t="s">
        <v>71</v>
      </c>
      <c r="AU163">
        <v>518</v>
      </c>
      <c r="AV163" t="s">
        <v>76</v>
      </c>
    </row>
    <row r="164" spans="1:48" x14ac:dyDescent="0.25">
      <c r="A164" t="s">
        <v>450</v>
      </c>
      <c r="B164" t="s">
        <v>277</v>
      </c>
      <c r="C164" t="s">
        <v>257</v>
      </c>
      <c r="D164" t="s">
        <v>51</v>
      </c>
      <c r="E164">
        <v>36</v>
      </c>
      <c r="F164" t="s">
        <v>168</v>
      </c>
      <c r="G164" t="s">
        <v>301</v>
      </c>
      <c r="H164" t="s">
        <v>302</v>
      </c>
      <c r="I164" t="s">
        <v>158</v>
      </c>
      <c r="J164" t="s">
        <v>159</v>
      </c>
      <c r="K164" t="s">
        <v>160</v>
      </c>
      <c r="L164" t="s">
        <v>126</v>
      </c>
      <c r="M164" t="s">
        <v>59</v>
      </c>
      <c r="N164" t="s">
        <v>265</v>
      </c>
      <c r="O164" t="s">
        <v>109</v>
      </c>
      <c r="P164" s="1">
        <v>39205</v>
      </c>
      <c r="Q164">
        <v>17.100000000000001</v>
      </c>
      <c r="R164" t="s">
        <v>75</v>
      </c>
      <c r="S164" t="s">
        <v>130</v>
      </c>
      <c r="T164" t="s">
        <v>131</v>
      </c>
      <c r="U164">
        <v>5</v>
      </c>
      <c r="V164">
        <v>0</v>
      </c>
      <c r="W164">
        <v>4188</v>
      </c>
      <c r="X164">
        <v>1926</v>
      </c>
      <c r="Y164">
        <v>266</v>
      </c>
      <c r="Z164">
        <v>6380</v>
      </c>
      <c r="AA164">
        <v>563</v>
      </c>
      <c r="AB164" t="s">
        <v>65</v>
      </c>
      <c r="AC164">
        <v>16.8</v>
      </c>
      <c r="AD164">
        <v>62</v>
      </c>
      <c r="AE164">
        <v>40</v>
      </c>
      <c r="AF164" t="s">
        <v>132</v>
      </c>
      <c r="AG164">
        <v>27</v>
      </c>
      <c r="AH164" t="s">
        <v>113</v>
      </c>
      <c r="AI164" t="s">
        <v>114</v>
      </c>
      <c r="AJ164" t="s">
        <v>69</v>
      </c>
      <c r="AK164" t="s">
        <v>70</v>
      </c>
      <c r="AL164" t="s">
        <v>70</v>
      </c>
      <c r="AM164" t="s">
        <v>70</v>
      </c>
      <c r="AN164" t="s">
        <v>133</v>
      </c>
      <c r="AO164" t="s">
        <v>221</v>
      </c>
      <c r="AP164" t="s">
        <v>221</v>
      </c>
      <c r="AQ164" t="s">
        <v>117</v>
      </c>
      <c r="AR164" s="1">
        <v>41164</v>
      </c>
      <c r="AS164" t="s">
        <v>198</v>
      </c>
      <c r="AT164" t="s">
        <v>71</v>
      </c>
      <c r="AU164">
        <v>974</v>
      </c>
      <c r="AV164" t="s">
        <v>76</v>
      </c>
    </row>
    <row r="165" spans="1:48" x14ac:dyDescent="0.25">
      <c r="A165" t="s">
        <v>451</v>
      </c>
      <c r="B165" t="s">
        <v>78</v>
      </c>
      <c r="C165" t="s">
        <v>230</v>
      </c>
      <c r="D165" t="s">
        <v>122</v>
      </c>
      <c r="E165">
        <v>22</v>
      </c>
      <c r="F165" t="s">
        <v>80</v>
      </c>
      <c r="G165" t="s">
        <v>234</v>
      </c>
      <c r="H165" t="s">
        <v>235</v>
      </c>
      <c r="I165" t="s">
        <v>260</v>
      </c>
      <c r="J165" t="s">
        <v>261</v>
      </c>
      <c r="K165" t="s">
        <v>173</v>
      </c>
      <c r="L165" t="s">
        <v>174</v>
      </c>
      <c r="M165" t="s">
        <v>207</v>
      </c>
      <c r="N165" t="s">
        <v>148</v>
      </c>
      <c r="O165" t="s">
        <v>89</v>
      </c>
      <c r="P165" s="1">
        <v>42593</v>
      </c>
      <c r="Q165">
        <v>7.8</v>
      </c>
      <c r="R165" t="s">
        <v>150</v>
      </c>
      <c r="S165" t="s">
        <v>130</v>
      </c>
      <c r="T165" t="s">
        <v>131</v>
      </c>
      <c r="U165">
        <v>9</v>
      </c>
      <c r="V165">
        <v>1</v>
      </c>
      <c r="W165">
        <v>1917</v>
      </c>
      <c r="X165">
        <v>813</v>
      </c>
      <c r="Y165">
        <v>422</v>
      </c>
      <c r="Z165">
        <v>3152</v>
      </c>
      <c r="AA165">
        <v>301</v>
      </c>
      <c r="AB165" t="s">
        <v>151</v>
      </c>
      <c r="AC165">
        <v>20.9</v>
      </c>
      <c r="AD165">
        <v>33</v>
      </c>
      <c r="AE165">
        <v>50</v>
      </c>
      <c r="AF165" t="s">
        <v>112</v>
      </c>
      <c r="AG165">
        <v>33</v>
      </c>
      <c r="AH165" t="s">
        <v>67</v>
      </c>
      <c r="AI165" t="s">
        <v>68</v>
      </c>
      <c r="AJ165" t="s">
        <v>72</v>
      </c>
      <c r="AK165" t="s">
        <v>70</v>
      </c>
      <c r="AL165" t="s">
        <v>70</v>
      </c>
      <c r="AM165" t="s">
        <v>70</v>
      </c>
      <c r="AN165" t="s">
        <v>72</v>
      </c>
      <c r="AO165" t="s">
        <v>203</v>
      </c>
      <c r="AP165" t="s">
        <v>116</v>
      </c>
      <c r="AQ165" t="s">
        <v>98</v>
      </c>
      <c r="AR165" s="1">
        <v>43600</v>
      </c>
      <c r="AS165" t="s">
        <v>118</v>
      </c>
      <c r="AT165" t="s">
        <v>71</v>
      </c>
      <c r="AU165">
        <v>-124</v>
      </c>
      <c r="AV165" t="s">
        <v>179</v>
      </c>
    </row>
    <row r="166" spans="1:48" x14ac:dyDescent="0.25">
      <c r="A166" t="s">
        <v>452</v>
      </c>
      <c r="B166" t="s">
        <v>263</v>
      </c>
      <c r="C166" t="s">
        <v>330</v>
      </c>
      <c r="D166" t="s">
        <v>122</v>
      </c>
      <c r="E166">
        <v>41</v>
      </c>
      <c r="F166" t="s">
        <v>305</v>
      </c>
      <c r="G166" t="s">
        <v>193</v>
      </c>
      <c r="H166" t="s">
        <v>194</v>
      </c>
      <c r="I166" t="s">
        <v>260</v>
      </c>
      <c r="J166" t="s">
        <v>261</v>
      </c>
      <c r="K166" t="s">
        <v>173</v>
      </c>
      <c r="L166" t="s">
        <v>86</v>
      </c>
      <c r="M166" t="s">
        <v>249</v>
      </c>
      <c r="N166" t="s">
        <v>108</v>
      </c>
      <c r="O166" t="s">
        <v>109</v>
      </c>
      <c r="P166" s="1">
        <v>44002</v>
      </c>
      <c r="Q166">
        <v>3.9</v>
      </c>
      <c r="R166" t="s">
        <v>195</v>
      </c>
      <c r="S166" t="s">
        <v>219</v>
      </c>
      <c r="T166" t="s">
        <v>220</v>
      </c>
      <c r="U166">
        <v>0</v>
      </c>
      <c r="V166">
        <v>0</v>
      </c>
      <c r="W166">
        <v>2259</v>
      </c>
      <c r="X166">
        <v>0</v>
      </c>
      <c r="Y166">
        <v>422</v>
      </c>
      <c r="Z166">
        <v>2681</v>
      </c>
      <c r="AA166">
        <v>585</v>
      </c>
      <c r="AB166" t="s">
        <v>65</v>
      </c>
      <c r="AC166">
        <v>17.600000000000001</v>
      </c>
      <c r="AD166">
        <v>39</v>
      </c>
      <c r="AE166">
        <v>32</v>
      </c>
      <c r="AF166" t="s">
        <v>132</v>
      </c>
      <c r="AG166">
        <v>18</v>
      </c>
      <c r="AH166" t="s">
        <v>113</v>
      </c>
      <c r="AI166" t="s">
        <v>177</v>
      </c>
      <c r="AJ166" t="s">
        <v>69</v>
      </c>
      <c r="AK166" t="s">
        <v>70</v>
      </c>
      <c r="AL166" t="s">
        <v>71</v>
      </c>
      <c r="AM166" t="s">
        <v>70</v>
      </c>
      <c r="AN166" t="s">
        <v>72</v>
      </c>
      <c r="AO166" t="s">
        <v>72</v>
      </c>
      <c r="AP166" t="s">
        <v>72</v>
      </c>
      <c r="AQ166" t="s">
        <v>117</v>
      </c>
      <c r="AR166" s="1">
        <v>44904</v>
      </c>
      <c r="AS166" t="s">
        <v>198</v>
      </c>
      <c r="AT166" t="s">
        <v>71</v>
      </c>
      <c r="AU166">
        <v>-332</v>
      </c>
      <c r="AV166" t="s">
        <v>179</v>
      </c>
    </row>
    <row r="167" spans="1:48" x14ac:dyDescent="0.25">
      <c r="A167" t="s">
        <v>453</v>
      </c>
      <c r="B167" t="s">
        <v>267</v>
      </c>
      <c r="C167" t="s">
        <v>233</v>
      </c>
      <c r="D167" t="s">
        <v>51</v>
      </c>
      <c r="E167">
        <v>34</v>
      </c>
      <c r="F167" t="s">
        <v>52</v>
      </c>
      <c r="G167" t="s">
        <v>53</v>
      </c>
      <c r="H167" t="s">
        <v>54</v>
      </c>
      <c r="I167" t="s">
        <v>273</v>
      </c>
      <c r="J167" t="s">
        <v>274</v>
      </c>
      <c r="K167" t="s">
        <v>57</v>
      </c>
      <c r="L167" t="s">
        <v>174</v>
      </c>
      <c r="M167" t="s">
        <v>175</v>
      </c>
      <c r="N167" t="s">
        <v>265</v>
      </c>
      <c r="O167" t="s">
        <v>109</v>
      </c>
      <c r="P167" s="1">
        <v>42003</v>
      </c>
      <c r="Q167">
        <v>9.4</v>
      </c>
      <c r="R167" t="s">
        <v>208</v>
      </c>
      <c r="S167" t="s">
        <v>196</v>
      </c>
      <c r="T167" t="s">
        <v>197</v>
      </c>
      <c r="U167">
        <v>0</v>
      </c>
      <c r="V167">
        <v>0</v>
      </c>
      <c r="W167">
        <v>4739</v>
      </c>
      <c r="X167">
        <v>0</v>
      </c>
      <c r="Y167">
        <v>422</v>
      </c>
      <c r="Z167">
        <v>5161</v>
      </c>
      <c r="AA167">
        <v>491</v>
      </c>
      <c r="AB167" t="s">
        <v>65</v>
      </c>
      <c r="AC167">
        <v>14.4</v>
      </c>
      <c r="AD167">
        <v>38</v>
      </c>
      <c r="AE167">
        <v>80</v>
      </c>
      <c r="AF167" t="s">
        <v>93</v>
      </c>
      <c r="AG167">
        <v>20</v>
      </c>
      <c r="AH167" t="s">
        <v>113</v>
      </c>
      <c r="AI167" t="s">
        <v>114</v>
      </c>
      <c r="AJ167" t="s">
        <v>69</v>
      </c>
      <c r="AK167" t="s">
        <v>70</v>
      </c>
      <c r="AL167" t="s">
        <v>71</v>
      </c>
      <c r="AM167" t="s">
        <v>70</v>
      </c>
      <c r="AN167" t="s">
        <v>202</v>
      </c>
      <c r="AO167" t="s">
        <v>221</v>
      </c>
      <c r="AP167" t="s">
        <v>72</v>
      </c>
      <c r="AQ167" t="s">
        <v>136</v>
      </c>
      <c r="AR167" s="1">
        <v>43638</v>
      </c>
      <c r="AS167" t="s">
        <v>118</v>
      </c>
      <c r="AT167" t="s">
        <v>71</v>
      </c>
      <c r="AU167">
        <v>1119</v>
      </c>
      <c r="AV167" t="s">
        <v>76</v>
      </c>
    </row>
    <row r="168" spans="1:48" x14ac:dyDescent="0.25">
      <c r="A168" t="s">
        <v>454</v>
      </c>
      <c r="B168" t="s">
        <v>120</v>
      </c>
      <c r="C168" t="s">
        <v>182</v>
      </c>
      <c r="D168" t="s">
        <v>51</v>
      </c>
      <c r="E168">
        <v>44</v>
      </c>
      <c r="F168" t="s">
        <v>322</v>
      </c>
      <c r="G168" t="s">
        <v>193</v>
      </c>
      <c r="H168" t="s">
        <v>194</v>
      </c>
      <c r="I168" t="s">
        <v>217</v>
      </c>
      <c r="J168" t="s">
        <v>218</v>
      </c>
      <c r="K168" t="s">
        <v>146</v>
      </c>
      <c r="L168" t="s">
        <v>126</v>
      </c>
      <c r="M168" t="s">
        <v>161</v>
      </c>
      <c r="N168" t="s">
        <v>265</v>
      </c>
      <c r="O168" t="s">
        <v>61</v>
      </c>
      <c r="P168" s="1">
        <v>39086</v>
      </c>
      <c r="Q168">
        <v>17.399999999999999</v>
      </c>
      <c r="R168" t="s">
        <v>208</v>
      </c>
      <c r="S168" t="s">
        <v>163</v>
      </c>
      <c r="T168" t="s">
        <v>164</v>
      </c>
      <c r="U168">
        <v>13</v>
      </c>
      <c r="V168">
        <v>2</v>
      </c>
      <c r="W168">
        <v>2259</v>
      </c>
      <c r="X168">
        <v>1667</v>
      </c>
      <c r="Y168">
        <v>422</v>
      </c>
      <c r="Z168">
        <v>4348</v>
      </c>
      <c r="AA168">
        <v>594</v>
      </c>
      <c r="AB168" t="s">
        <v>65</v>
      </c>
      <c r="AC168">
        <v>15.5</v>
      </c>
      <c r="AD168">
        <v>40</v>
      </c>
      <c r="AE168">
        <v>52</v>
      </c>
      <c r="AF168" t="s">
        <v>66</v>
      </c>
      <c r="AG168">
        <v>40</v>
      </c>
      <c r="AH168" t="s">
        <v>94</v>
      </c>
      <c r="AI168" t="s">
        <v>114</v>
      </c>
      <c r="AJ168" t="s">
        <v>69</v>
      </c>
      <c r="AK168" t="s">
        <v>70</v>
      </c>
      <c r="AL168" t="s">
        <v>70</v>
      </c>
      <c r="AM168" t="s">
        <v>71</v>
      </c>
      <c r="AN168" t="s">
        <v>72</v>
      </c>
      <c r="AO168" t="s">
        <v>134</v>
      </c>
      <c r="AP168" t="s">
        <v>72</v>
      </c>
      <c r="AQ168" t="s">
        <v>117</v>
      </c>
      <c r="AR168" s="1">
        <v>45050</v>
      </c>
      <c r="AS168" t="s">
        <v>75</v>
      </c>
      <c r="AT168" t="s">
        <v>71</v>
      </c>
      <c r="AU168">
        <v>-149</v>
      </c>
      <c r="AV168" t="s">
        <v>179</v>
      </c>
    </row>
    <row r="169" spans="1:48" x14ac:dyDescent="0.25">
      <c r="A169" t="s">
        <v>455</v>
      </c>
      <c r="B169" t="s">
        <v>120</v>
      </c>
      <c r="C169" t="s">
        <v>191</v>
      </c>
      <c r="D169" t="s">
        <v>51</v>
      </c>
      <c r="E169">
        <v>27</v>
      </c>
      <c r="F169" t="s">
        <v>211</v>
      </c>
      <c r="G169" t="s">
        <v>124</v>
      </c>
      <c r="H169" t="s">
        <v>125</v>
      </c>
      <c r="I169" t="s">
        <v>144</v>
      </c>
      <c r="J169" t="s">
        <v>145</v>
      </c>
      <c r="K169" t="s">
        <v>146</v>
      </c>
      <c r="L169" t="s">
        <v>86</v>
      </c>
      <c r="M169" t="s">
        <v>296</v>
      </c>
      <c r="N169" t="s">
        <v>88</v>
      </c>
      <c r="O169" t="s">
        <v>89</v>
      </c>
      <c r="P169" s="1">
        <v>40852</v>
      </c>
      <c r="Q169">
        <v>12.6</v>
      </c>
      <c r="R169" t="s">
        <v>75</v>
      </c>
      <c r="S169" t="s">
        <v>91</v>
      </c>
      <c r="T169" t="s">
        <v>92</v>
      </c>
      <c r="U169">
        <v>15</v>
      </c>
      <c r="V169">
        <v>2</v>
      </c>
      <c r="W169">
        <v>2730</v>
      </c>
      <c r="X169">
        <v>846</v>
      </c>
      <c r="Y169">
        <v>422</v>
      </c>
      <c r="Z169">
        <v>3998</v>
      </c>
      <c r="AA169">
        <v>394</v>
      </c>
      <c r="AB169" t="s">
        <v>65</v>
      </c>
      <c r="AC169">
        <v>14.3</v>
      </c>
      <c r="AD169">
        <v>54</v>
      </c>
      <c r="AE169">
        <v>43</v>
      </c>
      <c r="AF169" t="s">
        <v>112</v>
      </c>
      <c r="AG169">
        <v>33</v>
      </c>
      <c r="AH169" t="s">
        <v>67</v>
      </c>
      <c r="AI169" t="s">
        <v>152</v>
      </c>
      <c r="AJ169" t="s">
        <v>72</v>
      </c>
      <c r="AK169" t="s">
        <v>70</v>
      </c>
      <c r="AL169" t="s">
        <v>71</v>
      </c>
      <c r="AM169" t="s">
        <v>71</v>
      </c>
      <c r="AN169" t="s">
        <v>72</v>
      </c>
      <c r="AO169" t="s">
        <v>287</v>
      </c>
      <c r="AP169" t="s">
        <v>178</v>
      </c>
      <c r="AQ169" t="s">
        <v>136</v>
      </c>
      <c r="AR169" s="1">
        <v>40612</v>
      </c>
      <c r="AS169" t="s">
        <v>75</v>
      </c>
      <c r="AT169" t="s">
        <v>71</v>
      </c>
      <c r="AU169">
        <v>-228</v>
      </c>
      <c r="AV169" t="s">
        <v>179</v>
      </c>
    </row>
    <row r="170" spans="1:48" x14ac:dyDescent="0.25">
      <c r="A170" t="s">
        <v>456</v>
      </c>
      <c r="B170" t="s">
        <v>49</v>
      </c>
      <c r="C170" t="s">
        <v>240</v>
      </c>
      <c r="D170" t="s">
        <v>122</v>
      </c>
      <c r="E170">
        <v>30</v>
      </c>
      <c r="F170" t="s">
        <v>123</v>
      </c>
      <c r="G170" t="s">
        <v>301</v>
      </c>
      <c r="H170" t="s">
        <v>302</v>
      </c>
      <c r="I170" t="s">
        <v>144</v>
      </c>
      <c r="J170" t="s">
        <v>145</v>
      </c>
      <c r="K170" t="s">
        <v>146</v>
      </c>
      <c r="L170" t="s">
        <v>174</v>
      </c>
      <c r="M170" t="s">
        <v>296</v>
      </c>
      <c r="N170" t="s">
        <v>88</v>
      </c>
      <c r="O170" t="s">
        <v>109</v>
      </c>
      <c r="P170" s="1">
        <v>40246</v>
      </c>
      <c r="Q170">
        <v>14.2</v>
      </c>
      <c r="R170" t="s">
        <v>150</v>
      </c>
      <c r="S170" t="s">
        <v>91</v>
      </c>
      <c r="T170" t="s">
        <v>92</v>
      </c>
      <c r="U170">
        <v>3</v>
      </c>
      <c r="V170">
        <v>0</v>
      </c>
      <c r="W170">
        <v>4188</v>
      </c>
      <c r="X170">
        <v>1446</v>
      </c>
      <c r="Y170">
        <v>266</v>
      </c>
      <c r="Z170">
        <v>5900</v>
      </c>
      <c r="AA170">
        <v>385</v>
      </c>
      <c r="AB170" t="s">
        <v>65</v>
      </c>
      <c r="AC170">
        <v>19.899999999999999</v>
      </c>
      <c r="AD170">
        <v>54</v>
      </c>
      <c r="AE170">
        <v>35</v>
      </c>
      <c r="AF170" t="s">
        <v>93</v>
      </c>
      <c r="AG170">
        <v>32</v>
      </c>
      <c r="AH170" t="s">
        <v>67</v>
      </c>
      <c r="AI170" t="s">
        <v>177</v>
      </c>
      <c r="AJ170" t="s">
        <v>188</v>
      </c>
      <c r="AK170" t="s">
        <v>70</v>
      </c>
      <c r="AL170" t="s">
        <v>70</v>
      </c>
      <c r="AM170" t="s">
        <v>70</v>
      </c>
      <c r="AN170" t="s">
        <v>243</v>
      </c>
      <c r="AO170" t="s">
        <v>287</v>
      </c>
      <c r="AP170" t="s">
        <v>72</v>
      </c>
      <c r="AQ170" t="s">
        <v>136</v>
      </c>
      <c r="AR170" s="1">
        <v>45300</v>
      </c>
      <c r="AS170" t="s">
        <v>75</v>
      </c>
      <c r="AT170" t="s">
        <v>71</v>
      </c>
      <c r="AU170">
        <v>738</v>
      </c>
      <c r="AV170" t="s">
        <v>76</v>
      </c>
    </row>
    <row r="171" spans="1:48" x14ac:dyDescent="0.25">
      <c r="A171" t="s">
        <v>457</v>
      </c>
      <c r="B171" t="s">
        <v>205</v>
      </c>
      <c r="C171" t="s">
        <v>272</v>
      </c>
      <c r="D171" t="s">
        <v>51</v>
      </c>
      <c r="E171">
        <v>24</v>
      </c>
      <c r="F171" t="s">
        <v>192</v>
      </c>
      <c r="G171" t="s">
        <v>242</v>
      </c>
      <c r="H171" t="s">
        <v>54</v>
      </c>
      <c r="I171" t="s">
        <v>236</v>
      </c>
      <c r="J171" t="s">
        <v>237</v>
      </c>
      <c r="K171" t="s">
        <v>238</v>
      </c>
      <c r="L171" t="s">
        <v>126</v>
      </c>
      <c r="M171" t="s">
        <v>296</v>
      </c>
      <c r="N171" t="s">
        <v>148</v>
      </c>
      <c r="O171" t="s">
        <v>176</v>
      </c>
      <c r="P171" s="1">
        <v>40200</v>
      </c>
      <c r="Q171">
        <v>14.4</v>
      </c>
      <c r="R171" t="s">
        <v>208</v>
      </c>
      <c r="S171" t="s">
        <v>130</v>
      </c>
      <c r="T171" t="s">
        <v>131</v>
      </c>
      <c r="U171">
        <v>10</v>
      </c>
      <c r="V171">
        <v>1</v>
      </c>
      <c r="W171">
        <v>4739</v>
      </c>
      <c r="X171">
        <v>0</v>
      </c>
      <c r="Y171">
        <v>422</v>
      </c>
      <c r="Z171">
        <v>5161</v>
      </c>
      <c r="AA171">
        <v>406</v>
      </c>
      <c r="AB171" t="s">
        <v>65</v>
      </c>
      <c r="AC171">
        <v>13.2</v>
      </c>
      <c r="AD171">
        <v>44</v>
      </c>
      <c r="AE171">
        <v>63</v>
      </c>
      <c r="AF171" t="s">
        <v>132</v>
      </c>
      <c r="AG171">
        <v>23</v>
      </c>
      <c r="AH171" t="s">
        <v>113</v>
      </c>
      <c r="AI171" t="s">
        <v>152</v>
      </c>
      <c r="AJ171" t="s">
        <v>96</v>
      </c>
      <c r="AK171" t="s">
        <v>70</v>
      </c>
      <c r="AL171" t="s">
        <v>70</v>
      </c>
      <c r="AM171" t="s">
        <v>70</v>
      </c>
      <c r="AN171" t="s">
        <v>243</v>
      </c>
      <c r="AO171" t="s">
        <v>116</v>
      </c>
      <c r="AP171" t="s">
        <v>72</v>
      </c>
      <c r="AQ171" t="s">
        <v>117</v>
      </c>
      <c r="AR171" s="1">
        <v>44470</v>
      </c>
      <c r="AS171" t="s">
        <v>118</v>
      </c>
      <c r="AT171" t="s">
        <v>71</v>
      </c>
      <c r="AU171">
        <v>53</v>
      </c>
      <c r="AV171" t="s">
        <v>179</v>
      </c>
    </row>
    <row r="172" spans="1:48" x14ac:dyDescent="0.25">
      <c r="A172" t="s">
        <v>458</v>
      </c>
      <c r="B172" t="s">
        <v>377</v>
      </c>
      <c r="C172" t="s">
        <v>394</v>
      </c>
      <c r="D172" t="s">
        <v>122</v>
      </c>
      <c r="E172">
        <v>18</v>
      </c>
      <c r="F172" t="s">
        <v>305</v>
      </c>
      <c r="G172" t="s">
        <v>101</v>
      </c>
      <c r="H172" t="s">
        <v>102</v>
      </c>
      <c r="I172" t="s">
        <v>83</v>
      </c>
      <c r="J172" t="s">
        <v>84</v>
      </c>
      <c r="K172" t="s">
        <v>85</v>
      </c>
      <c r="L172" t="s">
        <v>174</v>
      </c>
      <c r="M172" t="s">
        <v>147</v>
      </c>
      <c r="N172" t="s">
        <v>148</v>
      </c>
      <c r="O172" t="s">
        <v>89</v>
      </c>
      <c r="P172" s="1">
        <v>39861</v>
      </c>
      <c r="Q172">
        <v>15.3</v>
      </c>
      <c r="R172" t="s">
        <v>90</v>
      </c>
      <c r="S172" t="s">
        <v>110</v>
      </c>
      <c r="T172" t="s">
        <v>111</v>
      </c>
      <c r="U172">
        <v>4</v>
      </c>
      <c r="V172">
        <v>0</v>
      </c>
      <c r="W172">
        <v>2980</v>
      </c>
      <c r="X172">
        <v>860</v>
      </c>
      <c r="Y172">
        <v>422</v>
      </c>
      <c r="Z172">
        <v>4262</v>
      </c>
      <c r="AA172">
        <v>445</v>
      </c>
      <c r="AB172" t="s">
        <v>65</v>
      </c>
      <c r="AC172">
        <v>20</v>
      </c>
      <c r="AD172">
        <v>46</v>
      </c>
      <c r="AE172">
        <v>56</v>
      </c>
      <c r="AF172" t="s">
        <v>132</v>
      </c>
      <c r="AG172">
        <v>39</v>
      </c>
      <c r="AH172" t="s">
        <v>94</v>
      </c>
      <c r="AI172" t="s">
        <v>152</v>
      </c>
      <c r="AJ172" t="s">
        <v>188</v>
      </c>
      <c r="AK172" t="s">
        <v>71</v>
      </c>
      <c r="AL172" t="s">
        <v>71</v>
      </c>
      <c r="AM172" t="s">
        <v>70</v>
      </c>
      <c r="AN172" t="s">
        <v>115</v>
      </c>
      <c r="AO172" t="s">
        <v>72</v>
      </c>
      <c r="AP172" t="s">
        <v>134</v>
      </c>
      <c r="AQ172" t="s">
        <v>98</v>
      </c>
      <c r="AR172" s="1">
        <v>41705</v>
      </c>
      <c r="AS172" t="s">
        <v>75</v>
      </c>
      <c r="AT172" t="s">
        <v>71</v>
      </c>
      <c r="AU172">
        <v>451</v>
      </c>
      <c r="AV172" t="s">
        <v>76</v>
      </c>
    </row>
    <row r="173" spans="1:48" x14ac:dyDescent="0.25">
      <c r="A173" t="s">
        <v>459</v>
      </c>
      <c r="B173" t="s">
        <v>282</v>
      </c>
      <c r="C173" t="s">
        <v>50</v>
      </c>
      <c r="D173" t="s">
        <v>51</v>
      </c>
      <c r="E173">
        <v>41</v>
      </c>
      <c r="F173" t="s">
        <v>211</v>
      </c>
      <c r="G173" t="s">
        <v>193</v>
      </c>
      <c r="H173" t="s">
        <v>194</v>
      </c>
      <c r="I173" t="s">
        <v>260</v>
      </c>
      <c r="J173" t="s">
        <v>261</v>
      </c>
      <c r="K173" t="s">
        <v>173</v>
      </c>
      <c r="L173" t="s">
        <v>126</v>
      </c>
      <c r="M173" t="s">
        <v>275</v>
      </c>
      <c r="N173" t="s">
        <v>148</v>
      </c>
      <c r="O173" t="s">
        <v>61</v>
      </c>
      <c r="P173" s="1">
        <v>42193</v>
      </c>
      <c r="Q173">
        <v>8.9</v>
      </c>
      <c r="R173" t="s">
        <v>90</v>
      </c>
      <c r="S173" t="s">
        <v>219</v>
      </c>
      <c r="T173" t="s">
        <v>220</v>
      </c>
      <c r="U173">
        <v>0</v>
      </c>
      <c r="V173">
        <v>0</v>
      </c>
      <c r="W173">
        <v>2259</v>
      </c>
      <c r="X173">
        <v>2130</v>
      </c>
      <c r="Y173">
        <v>422</v>
      </c>
      <c r="Z173">
        <v>4811</v>
      </c>
      <c r="AA173">
        <v>532</v>
      </c>
      <c r="AB173" t="s">
        <v>65</v>
      </c>
      <c r="AC173">
        <v>14.1</v>
      </c>
      <c r="AD173">
        <v>44</v>
      </c>
      <c r="AE173">
        <v>61</v>
      </c>
      <c r="AF173" t="s">
        <v>93</v>
      </c>
      <c r="AG173">
        <v>21</v>
      </c>
      <c r="AH173" t="s">
        <v>113</v>
      </c>
      <c r="AI173" t="s">
        <v>114</v>
      </c>
      <c r="AJ173" t="s">
        <v>72</v>
      </c>
      <c r="AK173" t="s">
        <v>70</v>
      </c>
      <c r="AL173" t="s">
        <v>70</v>
      </c>
      <c r="AM173" t="s">
        <v>70</v>
      </c>
      <c r="AN173" t="s">
        <v>72</v>
      </c>
      <c r="AO173" t="s">
        <v>73</v>
      </c>
      <c r="AP173" t="s">
        <v>72</v>
      </c>
      <c r="AQ173" t="s">
        <v>74</v>
      </c>
      <c r="AR173" s="1">
        <v>43804</v>
      </c>
      <c r="AS173" t="s">
        <v>137</v>
      </c>
      <c r="AT173" t="s">
        <v>71</v>
      </c>
      <c r="AU173">
        <v>1506</v>
      </c>
      <c r="AV173" t="s">
        <v>76</v>
      </c>
    </row>
    <row r="174" spans="1:48" x14ac:dyDescent="0.25">
      <c r="A174" t="s">
        <v>460</v>
      </c>
      <c r="B174" t="s">
        <v>120</v>
      </c>
      <c r="C174" t="s">
        <v>200</v>
      </c>
      <c r="D174" t="s">
        <v>51</v>
      </c>
      <c r="E174">
        <v>32</v>
      </c>
      <c r="F174" t="s">
        <v>291</v>
      </c>
      <c r="G174" t="s">
        <v>183</v>
      </c>
      <c r="H174" t="s">
        <v>184</v>
      </c>
      <c r="I174" t="s">
        <v>253</v>
      </c>
      <c r="J174" t="s">
        <v>254</v>
      </c>
      <c r="K174" t="s">
        <v>255</v>
      </c>
      <c r="L174" t="s">
        <v>174</v>
      </c>
      <c r="M174" t="s">
        <v>87</v>
      </c>
      <c r="N174" t="s">
        <v>265</v>
      </c>
      <c r="O174" t="s">
        <v>109</v>
      </c>
      <c r="P174" s="1">
        <v>44252</v>
      </c>
      <c r="Q174">
        <v>3.3</v>
      </c>
      <c r="R174" t="s">
        <v>208</v>
      </c>
      <c r="S174" t="s">
        <v>110</v>
      </c>
      <c r="T174" t="s">
        <v>111</v>
      </c>
      <c r="U174">
        <v>12</v>
      </c>
      <c r="V174">
        <v>2</v>
      </c>
      <c r="W174">
        <v>5696</v>
      </c>
      <c r="X174">
        <v>0</v>
      </c>
      <c r="Y174">
        <v>266</v>
      </c>
      <c r="Z174">
        <v>5962</v>
      </c>
      <c r="AA174">
        <v>311</v>
      </c>
      <c r="AB174" t="s">
        <v>151</v>
      </c>
      <c r="AC174">
        <v>16.899999999999999</v>
      </c>
      <c r="AD174">
        <v>48</v>
      </c>
      <c r="AE174">
        <v>59</v>
      </c>
      <c r="AF174" t="s">
        <v>93</v>
      </c>
      <c r="AG174">
        <v>32</v>
      </c>
      <c r="AH174" t="s">
        <v>67</v>
      </c>
      <c r="AI174" t="s">
        <v>68</v>
      </c>
      <c r="AJ174" t="s">
        <v>69</v>
      </c>
      <c r="AK174" t="s">
        <v>71</v>
      </c>
      <c r="AL174" t="s">
        <v>71</v>
      </c>
      <c r="AM174" t="s">
        <v>70</v>
      </c>
      <c r="AN174" t="s">
        <v>231</v>
      </c>
      <c r="AO174" t="s">
        <v>203</v>
      </c>
      <c r="AP174" t="s">
        <v>72</v>
      </c>
      <c r="AQ174" t="s">
        <v>136</v>
      </c>
      <c r="AR174" s="1">
        <v>44799</v>
      </c>
      <c r="AS174" t="s">
        <v>75</v>
      </c>
      <c r="AT174" t="s">
        <v>71</v>
      </c>
      <c r="AU174">
        <v>-277</v>
      </c>
      <c r="AV174" t="s">
        <v>179</v>
      </c>
    </row>
    <row r="175" spans="1:48" x14ac:dyDescent="0.25">
      <c r="A175" t="s">
        <v>461</v>
      </c>
      <c r="B175" t="s">
        <v>139</v>
      </c>
      <c r="C175" t="s">
        <v>200</v>
      </c>
      <c r="D175" t="s">
        <v>51</v>
      </c>
      <c r="E175">
        <v>40</v>
      </c>
      <c r="F175" t="s">
        <v>311</v>
      </c>
      <c r="G175" t="s">
        <v>279</v>
      </c>
      <c r="H175" t="s">
        <v>280</v>
      </c>
      <c r="I175" t="s">
        <v>171</v>
      </c>
      <c r="J175" t="s">
        <v>172</v>
      </c>
      <c r="K175" t="s">
        <v>173</v>
      </c>
      <c r="L175" t="s">
        <v>106</v>
      </c>
      <c r="M175" t="s">
        <v>147</v>
      </c>
      <c r="N175" t="s">
        <v>60</v>
      </c>
      <c r="O175" t="s">
        <v>149</v>
      </c>
      <c r="P175" s="1">
        <v>44732</v>
      </c>
      <c r="Q175">
        <v>1.9</v>
      </c>
      <c r="R175" t="s">
        <v>150</v>
      </c>
      <c r="S175" t="s">
        <v>63</v>
      </c>
      <c r="T175" t="s">
        <v>64</v>
      </c>
      <c r="U175">
        <v>0</v>
      </c>
      <c r="V175">
        <v>0</v>
      </c>
      <c r="W175">
        <v>6618</v>
      </c>
      <c r="X175">
        <v>0</v>
      </c>
      <c r="Y175">
        <v>266</v>
      </c>
      <c r="Z175">
        <v>6884</v>
      </c>
      <c r="AA175">
        <v>302</v>
      </c>
      <c r="AB175" t="s">
        <v>151</v>
      </c>
      <c r="AC175">
        <v>15.8</v>
      </c>
      <c r="AD175">
        <v>40</v>
      </c>
      <c r="AE175">
        <v>58</v>
      </c>
      <c r="AF175" t="s">
        <v>93</v>
      </c>
      <c r="AG175">
        <v>30</v>
      </c>
      <c r="AH175" t="s">
        <v>67</v>
      </c>
      <c r="AI175" t="s">
        <v>177</v>
      </c>
      <c r="AJ175" t="s">
        <v>96</v>
      </c>
      <c r="AK175" t="s">
        <v>70</v>
      </c>
      <c r="AL175" t="s">
        <v>70</v>
      </c>
      <c r="AM175" t="s">
        <v>70</v>
      </c>
      <c r="AN175" t="s">
        <v>133</v>
      </c>
      <c r="AO175" t="s">
        <v>116</v>
      </c>
      <c r="AP175" t="s">
        <v>73</v>
      </c>
      <c r="AQ175" t="s">
        <v>74</v>
      </c>
      <c r="AR175" s="1">
        <v>45305</v>
      </c>
      <c r="AS175" t="s">
        <v>137</v>
      </c>
      <c r="AT175" t="s">
        <v>70</v>
      </c>
      <c r="AU175">
        <v>-151</v>
      </c>
      <c r="AV175" t="s">
        <v>179</v>
      </c>
    </row>
    <row r="176" spans="1:48" x14ac:dyDescent="0.25">
      <c r="A176" t="s">
        <v>462</v>
      </c>
      <c r="B176" t="s">
        <v>190</v>
      </c>
      <c r="C176" t="s">
        <v>396</v>
      </c>
      <c r="D176" t="s">
        <v>122</v>
      </c>
      <c r="E176">
        <v>18</v>
      </c>
      <c r="F176" t="s">
        <v>305</v>
      </c>
      <c r="G176" t="s">
        <v>101</v>
      </c>
      <c r="H176" t="s">
        <v>102</v>
      </c>
      <c r="I176" t="s">
        <v>253</v>
      </c>
      <c r="J176" t="s">
        <v>254</v>
      </c>
      <c r="K176" t="s">
        <v>255</v>
      </c>
      <c r="L176" t="s">
        <v>201</v>
      </c>
      <c r="M176" t="s">
        <v>212</v>
      </c>
      <c r="N176" t="s">
        <v>60</v>
      </c>
      <c r="O176" t="s">
        <v>149</v>
      </c>
      <c r="P176" s="1">
        <v>41098</v>
      </c>
      <c r="Q176">
        <v>11.9</v>
      </c>
      <c r="R176" t="s">
        <v>129</v>
      </c>
      <c r="S176" t="s">
        <v>63</v>
      </c>
      <c r="T176" t="s">
        <v>64</v>
      </c>
      <c r="U176">
        <v>0</v>
      </c>
      <c r="V176">
        <v>0</v>
      </c>
      <c r="W176">
        <v>2980</v>
      </c>
      <c r="X176">
        <v>0</v>
      </c>
      <c r="Y176">
        <v>422</v>
      </c>
      <c r="Z176">
        <v>3402</v>
      </c>
      <c r="AA176">
        <v>316</v>
      </c>
      <c r="AB176" t="s">
        <v>151</v>
      </c>
      <c r="AC176">
        <v>13.9</v>
      </c>
      <c r="AD176">
        <v>29</v>
      </c>
      <c r="AE176">
        <v>41</v>
      </c>
      <c r="AF176" t="s">
        <v>132</v>
      </c>
      <c r="AG176">
        <v>25</v>
      </c>
      <c r="AH176" t="s">
        <v>113</v>
      </c>
      <c r="AI176" t="s">
        <v>68</v>
      </c>
      <c r="AJ176" t="s">
        <v>188</v>
      </c>
      <c r="AK176" t="s">
        <v>71</v>
      </c>
      <c r="AL176" t="s">
        <v>71</v>
      </c>
      <c r="AM176" t="s">
        <v>70</v>
      </c>
      <c r="AN176" t="s">
        <v>231</v>
      </c>
      <c r="AO176" t="s">
        <v>134</v>
      </c>
      <c r="AP176" t="s">
        <v>287</v>
      </c>
      <c r="AQ176" t="s">
        <v>117</v>
      </c>
      <c r="AR176" s="1">
        <v>45361</v>
      </c>
      <c r="AS176" t="s">
        <v>137</v>
      </c>
      <c r="AT176" t="s">
        <v>71</v>
      </c>
      <c r="AU176">
        <v>-477</v>
      </c>
      <c r="AV176" t="s">
        <v>179</v>
      </c>
    </row>
    <row r="177" spans="1:48" x14ac:dyDescent="0.25">
      <c r="A177" t="s">
        <v>463</v>
      </c>
      <c r="B177" t="s">
        <v>263</v>
      </c>
      <c r="C177" t="s">
        <v>353</v>
      </c>
      <c r="D177" t="s">
        <v>122</v>
      </c>
      <c r="E177">
        <v>19</v>
      </c>
      <c r="F177" t="s">
        <v>311</v>
      </c>
      <c r="G177" t="s">
        <v>285</v>
      </c>
      <c r="H177" t="s">
        <v>286</v>
      </c>
      <c r="I177" t="s">
        <v>185</v>
      </c>
      <c r="J177" t="s">
        <v>186</v>
      </c>
      <c r="K177" t="s">
        <v>187</v>
      </c>
      <c r="L177" t="s">
        <v>126</v>
      </c>
      <c r="M177" t="s">
        <v>249</v>
      </c>
      <c r="N177" t="s">
        <v>60</v>
      </c>
      <c r="O177" t="s">
        <v>61</v>
      </c>
      <c r="P177" s="1">
        <v>43269</v>
      </c>
      <c r="Q177">
        <v>6</v>
      </c>
      <c r="R177" t="s">
        <v>90</v>
      </c>
      <c r="S177" t="s">
        <v>163</v>
      </c>
      <c r="T177" t="s">
        <v>164</v>
      </c>
      <c r="U177">
        <v>7</v>
      </c>
      <c r="V177">
        <v>1</v>
      </c>
      <c r="W177">
        <v>7668</v>
      </c>
      <c r="X177">
        <v>1920</v>
      </c>
      <c r="Y177">
        <v>266</v>
      </c>
      <c r="Z177">
        <v>9854</v>
      </c>
      <c r="AA177">
        <v>315</v>
      </c>
      <c r="AB177" t="s">
        <v>151</v>
      </c>
      <c r="AC177">
        <v>17.8</v>
      </c>
      <c r="AD177">
        <v>55</v>
      </c>
      <c r="AE177">
        <v>43</v>
      </c>
      <c r="AF177" t="s">
        <v>93</v>
      </c>
      <c r="AG177">
        <v>20</v>
      </c>
      <c r="AH177" t="s">
        <v>113</v>
      </c>
      <c r="AI177" t="s">
        <v>95</v>
      </c>
      <c r="AJ177" t="s">
        <v>72</v>
      </c>
      <c r="AK177" t="s">
        <v>70</v>
      </c>
      <c r="AL177" t="s">
        <v>70</v>
      </c>
      <c r="AM177" t="s">
        <v>71</v>
      </c>
      <c r="AN177" t="s">
        <v>72</v>
      </c>
      <c r="AO177" t="s">
        <v>135</v>
      </c>
      <c r="AP177" t="s">
        <v>135</v>
      </c>
      <c r="AQ177" t="s">
        <v>98</v>
      </c>
      <c r="AR177" s="1">
        <v>44265</v>
      </c>
      <c r="AS177" t="s">
        <v>118</v>
      </c>
      <c r="AT177" t="s">
        <v>71</v>
      </c>
      <c r="AU177">
        <v>226</v>
      </c>
      <c r="AV177" t="s">
        <v>76</v>
      </c>
    </row>
    <row r="178" spans="1:48" x14ac:dyDescent="0.25">
      <c r="A178" t="s">
        <v>464</v>
      </c>
      <c r="B178" t="s">
        <v>251</v>
      </c>
      <c r="C178" t="s">
        <v>396</v>
      </c>
      <c r="D178" t="s">
        <v>122</v>
      </c>
      <c r="E178">
        <v>21</v>
      </c>
      <c r="F178" t="s">
        <v>241</v>
      </c>
      <c r="G178" t="s">
        <v>301</v>
      </c>
      <c r="H178" t="s">
        <v>302</v>
      </c>
      <c r="I178" t="s">
        <v>236</v>
      </c>
      <c r="J178" t="s">
        <v>237</v>
      </c>
      <c r="K178" t="s">
        <v>238</v>
      </c>
      <c r="L178" t="s">
        <v>174</v>
      </c>
      <c r="M178" t="s">
        <v>127</v>
      </c>
      <c r="N178" t="s">
        <v>128</v>
      </c>
      <c r="O178" t="s">
        <v>176</v>
      </c>
      <c r="P178" s="1">
        <v>40997</v>
      </c>
      <c r="Q178">
        <v>12.2</v>
      </c>
      <c r="R178" t="s">
        <v>208</v>
      </c>
      <c r="S178" t="s">
        <v>110</v>
      </c>
      <c r="T178" t="s">
        <v>111</v>
      </c>
      <c r="U178">
        <v>12</v>
      </c>
      <c r="V178">
        <v>2</v>
      </c>
      <c r="W178">
        <v>4188</v>
      </c>
      <c r="X178">
        <v>938</v>
      </c>
      <c r="Y178">
        <v>266</v>
      </c>
      <c r="Z178">
        <v>5392</v>
      </c>
      <c r="AA178">
        <v>531</v>
      </c>
      <c r="AB178" t="s">
        <v>65</v>
      </c>
      <c r="AC178">
        <v>19.7</v>
      </c>
      <c r="AD178">
        <v>24</v>
      </c>
      <c r="AE178">
        <v>48</v>
      </c>
      <c r="AF178" t="s">
        <v>93</v>
      </c>
      <c r="AG178">
        <v>19</v>
      </c>
      <c r="AH178" t="s">
        <v>113</v>
      </c>
      <c r="AI178" t="s">
        <v>152</v>
      </c>
      <c r="AJ178" t="s">
        <v>188</v>
      </c>
      <c r="AK178" t="s">
        <v>70</v>
      </c>
      <c r="AL178" t="s">
        <v>70</v>
      </c>
      <c r="AM178" t="s">
        <v>71</v>
      </c>
      <c r="AN178" t="s">
        <v>133</v>
      </c>
      <c r="AO178" t="s">
        <v>72</v>
      </c>
      <c r="AP178" t="s">
        <v>221</v>
      </c>
      <c r="AQ178" t="s">
        <v>74</v>
      </c>
      <c r="AR178" s="1">
        <v>43261</v>
      </c>
      <c r="AS178" t="s">
        <v>137</v>
      </c>
      <c r="AT178" t="s">
        <v>71</v>
      </c>
      <c r="AU178">
        <v>1249</v>
      </c>
      <c r="AV178" t="s">
        <v>76</v>
      </c>
    </row>
    <row r="179" spans="1:48" x14ac:dyDescent="0.25">
      <c r="A179" t="s">
        <v>465</v>
      </c>
      <c r="B179" t="s">
        <v>190</v>
      </c>
      <c r="C179" t="s">
        <v>272</v>
      </c>
      <c r="D179" t="s">
        <v>51</v>
      </c>
      <c r="E179">
        <v>31</v>
      </c>
      <c r="F179" t="s">
        <v>214</v>
      </c>
      <c r="G179" t="s">
        <v>301</v>
      </c>
      <c r="H179" t="s">
        <v>302</v>
      </c>
      <c r="I179" t="s">
        <v>236</v>
      </c>
      <c r="J179" t="s">
        <v>237</v>
      </c>
      <c r="K179" t="s">
        <v>238</v>
      </c>
      <c r="L179" t="s">
        <v>58</v>
      </c>
      <c r="M179" t="s">
        <v>87</v>
      </c>
      <c r="N179" t="s">
        <v>148</v>
      </c>
      <c r="O179" t="s">
        <v>109</v>
      </c>
      <c r="P179" s="1">
        <v>42610</v>
      </c>
      <c r="Q179">
        <v>7.8</v>
      </c>
      <c r="R179" t="s">
        <v>129</v>
      </c>
      <c r="S179" t="s">
        <v>219</v>
      </c>
      <c r="T179" t="s">
        <v>220</v>
      </c>
      <c r="U179">
        <v>0</v>
      </c>
      <c r="V179">
        <v>0</v>
      </c>
      <c r="W179">
        <v>4188</v>
      </c>
      <c r="X179">
        <v>2094</v>
      </c>
      <c r="Y179">
        <v>266</v>
      </c>
      <c r="Z179">
        <v>6548</v>
      </c>
      <c r="AA179">
        <v>409</v>
      </c>
      <c r="AB179" t="s">
        <v>65</v>
      </c>
      <c r="AC179">
        <v>16.7</v>
      </c>
      <c r="AD179">
        <v>31</v>
      </c>
      <c r="AE179">
        <v>69</v>
      </c>
      <c r="AF179" t="s">
        <v>112</v>
      </c>
      <c r="AG179">
        <v>22</v>
      </c>
      <c r="AH179" t="s">
        <v>113</v>
      </c>
      <c r="AI179" t="s">
        <v>68</v>
      </c>
      <c r="AJ179" t="s">
        <v>72</v>
      </c>
      <c r="AK179" t="s">
        <v>70</v>
      </c>
      <c r="AL179" t="s">
        <v>70</v>
      </c>
      <c r="AM179" t="s">
        <v>70</v>
      </c>
      <c r="AN179" t="s">
        <v>133</v>
      </c>
      <c r="AO179" t="s">
        <v>135</v>
      </c>
      <c r="AP179" t="s">
        <v>72</v>
      </c>
      <c r="AQ179" t="s">
        <v>74</v>
      </c>
      <c r="AR179" s="1">
        <v>43239</v>
      </c>
      <c r="AS179" t="s">
        <v>75</v>
      </c>
      <c r="AT179" t="s">
        <v>71</v>
      </c>
      <c r="AU179">
        <v>-454</v>
      </c>
      <c r="AV179" t="s">
        <v>179</v>
      </c>
    </row>
    <row r="180" spans="1:48" x14ac:dyDescent="0.25">
      <c r="A180" t="s">
        <v>466</v>
      </c>
      <c r="B180" t="s">
        <v>49</v>
      </c>
      <c r="C180" t="s">
        <v>252</v>
      </c>
      <c r="D180" t="s">
        <v>51</v>
      </c>
      <c r="E180">
        <v>38</v>
      </c>
      <c r="F180" t="s">
        <v>278</v>
      </c>
      <c r="G180" t="s">
        <v>193</v>
      </c>
      <c r="H180" t="s">
        <v>194</v>
      </c>
      <c r="I180" t="s">
        <v>217</v>
      </c>
      <c r="J180" t="s">
        <v>218</v>
      </c>
      <c r="K180" t="s">
        <v>146</v>
      </c>
      <c r="L180" t="s">
        <v>86</v>
      </c>
      <c r="M180" t="s">
        <v>147</v>
      </c>
      <c r="N180" t="s">
        <v>148</v>
      </c>
      <c r="O180" t="s">
        <v>176</v>
      </c>
      <c r="P180" s="1">
        <v>44636</v>
      </c>
      <c r="Q180">
        <v>2.2000000000000002</v>
      </c>
      <c r="R180" t="s">
        <v>75</v>
      </c>
      <c r="S180" t="s">
        <v>163</v>
      </c>
      <c r="T180" t="s">
        <v>164</v>
      </c>
      <c r="U180">
        <v>3</v>
      </c>
      <c r="V180">
        <v>0</v>
      </c>
      <c r="W180">
        <v>2259</v>
      </c>
      <c r="X180">
        <v>1482</v>
      </c>
      <c r="Y180">
        <v>422</v>
      </c>
      <c r="Z180">
        <v>4163</v>
      </c>
      <c r="AA180">
        <v>304</v>
      </c>
      <c r="AB180" t="s">
        <v>151</v>
      </c>
      <c r="AC180">
        <v>15.9</v>
      </c>
      <c r="AD180">
        <v>56</v>
      </c>
      <c r="AE180">
        <v>69</v>
      </c>
      <c r="AF180" t="s">
        <v>93</v>
      </c>
      <c r="AG180">
        <v>22</v>
      </c>
      <c r="AH180" t="s">
        <v>113</v>
      </c>
      <c r="AI180" t="s">
        <v>152</v>
      </c>
      <c r="AJ180" t="s">
        <v>72</v>
      </c>
      <c r="AK180" t="s">
        <v>70</v>
      </c>
      <c r="AL180" t="s">
        <v>70</v>
      </c>
      <c r="AM180" t="s">
        <v>70</v>
      </c>
      <c r="AN180" t="s">
        <v>231</v>
      </c>
      <c r="AO180" t="s">
        <v>221</v>
      </c>
      <c r="AP180" t="s">
        <v>72</v>
      </c>
      <c r="AQ180" t="s">
        <v>74</v>
      </c>
      <c r="AR180" s="1">
        <v>44676</v>
      </c>
      <c r="AS180" t="s">
        <v>75</v>
      </c>
      <c r="AT180" t="s">
        <v>71</v>
      </c>
      <c r="AU180">
        <v>1634</v>
      </c>
      <c r="AV180" t="s">
        <v>76</v>
      </c>
    </row>
    <row r="181" spans="1:48" x14ac:dyDescent="0.25">
      <c r="A181" t="s">
        <v>467</v>
      </c>
      <c r="B181" t="s">
        <v>245</v>
      </c>
      <c r="C181" t="s">
        <v>360</v>
      </c>
      <c r="D181" t="s">
        <v>51</v>
      </c>
      <c r="E181">
        <v>20</v>
      </c>
      <c r="F181" t="s">
        <v>141</v>
      </c>
      <c r="G181" t="s">
        <v>234</v>
      </c>
      <c r="H181" t="s">
        <v>235</v>
      </c>
      <c r="I181" t="s">
        <v>55</v>
      </c>
      <c r="J181" t="s">
        <v>56</v>
      </c>
      <c r="K181" t="s">
        <v>57</v>
      </c>
      <c r="L181" t="s">
        <v>201</v>
      </c>
      <c r="M181" t="s">
        <v>175</v>
      </c>
      <c r="N181" t="s">
        <v>88</v>
      </c>
      <c r="O181" t="s">
        <v>176</v>
      </c>
      <c r="P181" s="1">
        <v>38895</v>
      </c>
      <c r="Q181">
        <v>17.899999999999999</v>
      </c>
      <c r="R181" t="s">
        <v>129</v>
      </c>
      <c r="S181" t="s">
        <v>130</v>
      </c>
      <c r="T181" t="s">
        <v>131</v>
      </c>
      <c r="U181">
        <v>8</v>
      </c>
      <c r="V181">
        <v>1</v>
      </c>
      <c r="W181">
        <v>1917</v>
      </c>
      <c r="X181">
        <v>863</v>
      </c>
      <c r="Y181">
        <v>422</v>
      </c>
      <c r="Z181">
        <v>3202</v>
      </c>
      <c r="AA181">
        <v>374</v>
      </c>
      <c r="AB181" t="s">
        <v>65</v>
      </c>
      <c r="AC181">
        <v>20.9</v>
      </c>
      <c r="AD181">
        <v>60</v>
      </c>
      <c r="AE181">
        <v>64</v>
      </c>
      <c r="AF181" t="s">
        <v>132</v>
      </c>
      <c r="AG181">
        <v>21</v>
      </c>
      <c r="AH181" t="s">
        <v>113</v>
      </c>
      <c r="AI181" t="s">
        <v>114</v>
      </c>
      <c r="AJ181" t="s">
        <v>96</v>
      </c>
      <c r="AK181" t="s">
        <v>71</v>
      </c>
      <c r="AL181" t="s">
        <v>70</v>
      </c>
      <c r="AM181" t="s">
        <v>70</v>
      </c>
      <c r="AN181" t="s">
        <v>243</v>
      </c>
      <c r="AO181" t="s">
        <v>116</v>
      </c>
      <c r="AP181" t="s">
        <v>72</v>
      </c>
      <c r="AQ181" t="s">
        <v>117</v>
      </c>
      <c r="AR181" s="1">
        <v>40488</v>
      </c>
      <c r="AS181" t="s">
        <v>75</v>
      </c>
      <c r="AT181" t="s">
        <v>71</v>
      </c>
      <c r="AU181">
        <v>1650</v>
      </c>
      <c r="AV181" t="s">
        <v>76</v>
      </c>
    </row>
    <row r="182" spans="1:48" x14ac:dyDescent="0.25">
      <c r="A182" t="s">
        <v>468</v>
      </c>
      <c r="B182" t="s">
        <v>277</v>
      </c>
      <c r="C182" t="s">
        <v>264</v>
      </c>
      <c r="D182" t="s">
        <v>51</v>
      </c>
      <c r="E182">
        <v>32</v>
      </c>
      <c r="F182" t="s">
        <v>291</v>
      </c>
      <c r="G182" t="s">
        <v>301</v>
      </c>
      <c r="H182" t="s">
        <v>302</v>
      </c>
      <c r="I182" t="s">
        <v>292</v>
      </c>
      <c r="J182" t="s">
        <v>293</v>
      </c>
      <c r="K182" t="s">
        <v>294</v>
      </c>
      <c r="L182" t="s">
        <v>174</v>
      </c>
      <c r="M182" t="s">
        <v>107</v>
      </c>
      <c r="N182" t="s">
        <v>60</v>
      </c>
      <c r="O182" t="s">
        <v>109</v>
      </c>
      <c r="P182" s="1">
        <v>42498</v>
      </c>
      <c r="Q182">
        <v>8.1</v>
      </c>
      <c r="R182" t="s">
        <v>90</v>
      </c>
      <c r="S182" t="s">
        <v>163</v>
      </c>
      <c r="T182" t="s">
        <v>164</v>
      </c>
      <c r="U182">
        <v>15</v>
      </c>
      <c r="V182">
        <v>2</v>
      </c>
      <c r="W182">
        <v>4188</v>
      </c>
      <c r="X182">
        <v>0</v>
      </c>
      <c r="Y182">
        <v>266</v>
      </c>
      <c r="Z182">
        <v>4454</v>
      </c>
      <c r="AA182">
        <v>558</v>
      </c>
      <c r="AB182" t="s">
        <v>65</v>
      </c>
      <c r="AC182">
        <v>14.1</v>
      </c>
      <c r="AD182">
        <v>79</v>
      </c>
      <c r="AE182">
        <v>60</v>
      </c>
      <c r="AF182" t="s">
        <v>112</v>
      </c>
      <c r="AG182">
        <v>40</v>
      </c>
      <c r="AH182" t="s">
        <v>94</v>
      </c>
      <c r="AI182" t="s">
        <v>152</v>
      </c>
      <c r="AJ182" t="s">
        <v>188</v>
      </c>
      <c r="AK182" t="s">
        <v>70</v>
      </c>
      <c r="AL182" t="s">
        <v>70</v>
      </c>
      <c r="AM182" t="s">
        <v>71</v>
      </c>
      <c r="AN182" t="s">
        <v>72</v>
      </c>
      <c r="AO182" t="s">
        <v>221</v>
      </c>
      <c r="AP182" t="s">
        <v>72</v>
      </c>
      <c r="AQ182" t="s">
        <v>136</v>
      </c>
      <c r="AR182" s="1">
        <v>42550</v>
      </c>
      <c r="AS182" t="s">
        <v>137</v>
      </c>
      <c r="AT182" t="s">
        <v>71</v>
      </c>
      <c r="AU182">
        <v>-144</v>
      </c>
      <c r="AV182" t="s">
        <v>179</v>
      </c>
    </row>
    <row r="183" spans="1:48" x14ac:dyDescent="0.25">
      <c r="A183" t="s">
        <v>469</v>
      </c>
      <c r="B183" t="s">
        <v>205</v>
      </c>
      <c r="C183" t="s">
        <v>200</v>
      </c>
      <c r="D183" t="s">
        <v>51</v>
      </c>
      <c r="E183">
        <v>35</v>
      </c>
      <c r="F183" t="s">
        <v>283</v>
      </c>
      <c r="G183" t="s">
        <v>81</v>
      </c>
      <c r="H183" t="s">
        <v>82</v>
      </c>
      <c r="I183" t="s">
        <v>103</v>
      </c>
      <c r="J183" t="s">
        <v>104</v>
      </c>
      <c r="K183" t="s">
        <v>105</v>
      </c>
      <c r="L183" t="s">
        <v>106</v>
      </c>
      <c r="M183" t="s">
        <v>59</v>
      </c>
      <c r="N183" t="s">
        <v>88</v>
      </c>
      <c r="O183" t="s">
        <v>89</v>
      </c>
      <c r="P183" s="1">
        <v>43084</v>
      </c>
      <c r="Q183">
        <v>6.5</v>
      </c>
      <c r="R183" t="s">
        <v>62</v>
      </c>
      <c r="S183" t="s">
        <v>196</v>
      </c>
      <c r="T183" t="s">
        <v>197</v>
      </c>
      <c r="U183">
        <v>0</v>
      </c>
      <c r="V183">
        <v>0</v>
      </c>
      <c r="W183">
        <v>2504</v>
      </c>
      <c r="X183">
        <v>0</v>
      </c>
      <c r="Y183">
        <v>422</v>
      </c>
      <c r="Z183">
        <v>2926</v>
      </c>
      <c r="AA183">
        <v>431</v>
      </c>
      <c r="AB183" t="s">
        <v>65</v>
      </c>
      <c r="AC183">
        <v>15.2</v>
      </c>
      <c r="AD183">
        <v>32</v>
      </c>
      <c r="AE183">
        <v>48</v>
      </c>
      <c r="AF183" t="s">
        <v>112</v>
      </c>
      <c r="AG183">
        <v>40</v>
      </c>
      <c r="AH183" t="s">
        <v>94</v>
      </c>
      <c r="AI183" t="s">
        <v>177</v>
      </c>
      <c r="AJ183" t="s">
        <v>96</v>
      </c>
      <c r="AK183" t="s">
        <v>71</v>
      </c>
      <c r="AL183" t="s">
        <v>71</v>
      </c>
      <c r="AM183" t="s">
        <v>70</v>
      </c>
      <c r="AN183" t="s">
        <v>115</v>
      </c>
      <c r="AO183" t="s">
        <v>287</v>
      </c>
      <c r="AP183" t="s">
        <v>134</v>
      </c>
      <c r="AQ183" t="s">
        <v>98</v>
      </c>
      <c r="AR183" s="1">
        <v>44040</v>
      </c>
      <c r="AS183" t="s">
        <v>118</v>
      </c>
      <c r="AT183" t="s">
        <v>71</v>
      </c>
      <c r="AU183">
        <v>610</v>
      </c>
      <c r="AV183" t="s">
        <v>76</v>
      </c>
    </row>
    <row r="184" spans="1:48" x14ac:dyDescent="0.25">
      <c r="A184" t="s">
        <v>470</v>
      </c>
      <c r="B184" t="s">
        <v>251</v>
      </c>
      <c r="C184" t="s">
        <v>252</v>
      </c>
      <c r="D184" t="s">
        <v>51</v>
      </c>
      <c r="E184">
        <v>44</v>
      </c>
      <c r="F184" t="s">
        <v>211</v>
      </c>
      <c r="G184" t="s">
        <v>53</v>
      </c>
      <c r="H184" t="s">
        <v>54</v>
      </c>
      <c r="I184" t="s">
        <v>273</v>
      </c>
      <c r="J184" t="s">
        <v>274</v>
      </c>
      <c r="K184" t="s">
        <v>57</v>
      </c>
      <c r="L184" t="s">
        <v>174</v>
      </c>
      <c r="M184" t="s">
        <v>207</v>
      </c>
      <c r="N184" t="s">
        <v>148</v>
      </c>
      <c r="O184" t="s">
        <v>176</v>
      </c>
      <c r="P184" s="1">
        <v>42781</v>
      </c>
      <c r="Q184">
        <v>7.3</v>
      </c>
      <c r="R184" t="s">
        <v>129</v>
      </c>
      <c r="S184" t="s">
        <v>91</v>
      </c>
      <c r="T184" t="s">
        <v>92</v>
      </c>
      <c r="U184">
        <v>1</v>
      </c>
      <c r="V184">
        <v>0</v>
      </c>
      <c r="W184">
        <v>4739</v>
      </c>
      <c r="X184">
        <v>0</v>
      </c>
      <c r="Y184">
        <v>422</v>
      </c>
      <c r="Z184">
        <v>5161</v>
      </c>
      <c r="AA184">
        <v>344</v>
      </c>
      <c r="AB184" t="s">
        <v>151</v>
      </c>
      <c r="AC184">
        <v>16.5</v>
      </c>
      <c r="AD184">
        <v>63</v>
      </c>
      <c r="AE184">
        <v>33</v>
      </c>
      <c r="AF184" t="s">
        <v>132</v>
      </c>
      <c r="AG184">
        <v>17</v>
      </c>
      <c r="AH184" t="s">
        <v>113</v>
      </c>
      <c r="AI184" t="s">
        <v>152</v>
      </c>
      <c r="AJ184" t="s">
        <v>69</v>
      </c>
      <c r="AK184" t="s">
        <v>70</v>
      </c>
      <c r="AL184" t="s">
        <v>70</v>
      </c>
      <c r="AM184" t="s">
        <v>70</v>
      </c>
      <c r="AN184" t="s">
        <v>231</v>
      </c>
      <c r="AO184" t="s">
        <v>97</v>
      </c>
      <c r="AP184" t="s">
        <v>72</v>
      </c>
      <c r="AQ184" t="s">
        <v>98</v>
      </c>
      <c r="AR184" s="1">
        <v>45061</v>
      </c>
      <c r="AS184" t="s">
        <v>137</v>
      </c>
      <c r="AT184" t="s">
        <v>71</v>
      </c>
      <c r="AU184">
        <v>39</v>
      </c>
      <c r="AV184" t="s">
        <v>179</v>
      </c>
    </row>
    <row r="185" spans="1:48" x14ac:dyDescent="0.25">
      <c r="A185" t="s">
        <v>471</v>
      </c>
      <c r="B185" t="s">
        <v>277</v>
      </c>
      <c r="C185" t="s">
        <v>200</v>
      </c>
      <c r="D185" t="s">
        <v>51</v>
      </c>
      <c r="E185">
        <v>27</v>
      </c>
      <c r="F185" t="s">
        <v>248</v>
      </c>
      <c r="G185" t="s">
        <v>279</v>
      </c>
      <c r="H185" t="s">
        <v>280</v>
      </c>
      <c r="I185" t="s">
        <v>217</v>
      </c>
      <c r="J185" t="s">
        <v>218</v>
      </c>
      <c r="K185" t="s">
        <v>146</v>
      </c>
      <c r="L185" t="s">
        <v>106</v>
      </c>
      <c r="M185" t="s">
        <v>175</v>
      </c>
      <c r="N185" t="s">
        <v>265</v>
      </c>
      <c r="O185" t="s">
        <v>109</v>
      </c>
      <c r="P185" s="1">
        <v>42207</v>
      </c>
      <c r="Q185">
        <v>8.9</v>
      </c>
      <c r="R185" t="s">
        <v>150</v>
      </c>
      <c r="S185" t="s">
        <v>130</v>
      </c>
      <c r="T185" t="s">
        <v>131</v>
      </c>
      <c r="U185">
        <v>7</v>
      </c>
      <c r="V185">
        <v>1</v>
      </c>
      <c r="W185">
        <v>6618</v>
      </c>
      <c r="X185">
        <v>1094</v>
      </c>
      <c r="Y185">
        <v>266</v>
      </c>
      <c r="Z185">
        <v>7978</v>
      </c>
      <c r="AA185">
        <v>459</v>
      </c>
      <c r="AB185" t="s">
        <v>65</v>
      </c>
      <c r="AC185">
        <v>20.3</v>
      </c>
      <c r="AD185">
        <v>45</v>
      </c>
      <c r="AE185">
        <v>41</v>
      </c>
      <c r="AF185" t="s">
        <v>112</v>
      </c>
      <c r="AG185">
        <v>30</v>
      </c>
      <c r="AH185" t="s">
        <v>67</v>
      </c>
      <c r="AI185" t="s">
        <v>152</v>
      </c>
      <c r="AJ185" t="s">
        <v>96</v>
      </c>
      <c r="AK185" t="s">
        <v>70</v>
      </c>
      <c r="AL185" t="s">
        <v>70</v>
      </c>
      <c r="AM185" t="s">
        <v>70</v>
      </c>
      <c r="AN185" t="s">
        <v>231</v>
      </c>
      <c r="AO185" t="s">
        <v>287</v>
      </c>
      <c r="AP185" t="s">
        <v>72</v>
      </c>
      <c r="AQ185" t="s">
        <v>74</v>
      </c>
      <c r="AR185" s="1">
        <v>45353</v>
      </c>
      <c r="AS185" t="s">
        <v>118</v>
      </c>
      <c r="AT185" t="s">
        <v>71</v>
      </c>
      <c r="AU185">
        <v>-62</v>
      </c>
      <c r="AV185" t="s">
        <v>179</v>
      </c>
    </row>
    <row r="186" spans="1:48" x14ac:dyDescent="0.25">
      <c r="A186" t="s">
        <v>472</v>
      </c>
      <c r="B186" t="s">
        <v>154</v>
      </c>
      <c r="C186" t="s">
        <v>79</v>
      </c>
      <c r="D186" t="s">
        <v>51</v>
      </c>
      <c r="E186">
        <v>37</v>
      </c>
      <c r="F186" t="s">
        <v>278</v>
      </c>
      <c r="G186" t="s">
        <v>279</v>
      </c>
      <c r="H186" t="s">
        <v>280</v>
      </c>
      <c r="I186" t="s">
        <v>253</v>
      </c>
      <c r="J186" t="s">
        <v>254</v>
      </c>
      <c r="K186" t="s">
        <v>255</v>
      </c>
      <c r="L186" t="s">
        <v>201</v>
      </c>
      <c r="M186" t="s">
        <v>212</v>
      </c>
      <c r="N186" t="s">
        <v>108</v>
      </c>
      <c r="O186" t="s">
        <v>61</v>
      </c>
      <c r="P186" s="1">
        <v>40349</v>
      </c>
      <c r="Q186">
        <v>13.9</v>
      </c>
      <c r="R186" t="s">
        <v>62</v>
      </c>
      <c r="S186" t="s">
        <v>63</v>
      </c>
      <c r="T186" t="s">
        <v>64</v>
      </c>
      <c r="U186">
        <v>0</v>
      </c>
      <c r="V186">
        <v>0</v>
      </c>
      <c r="W186">
        <v>6618</v>
      </c>
      <c r="X186">
        <v>1125</v>
      </c>
      <c r="Y186">
        <v>266</v>
      </c>
      <c r="Z186">
        <v>8009</v>
      </c>
      <c r="AA186">
        <v>592</v>
      </c>
      <c r="AB186" t="s">
        <v>65</v>
      </c>
      <c r="AC186">
        <v>15.8</v>
      </c>
      <c r="AD186">
        <v>41</v>
      </c>
      <c r="AE186">
        <v>43</v>
      </c>
      <c r="AF186" t="s">
        <v>132</v>
      </c>
      <c r="AG186">
        <v>29</v>
      </c>
      <c r="AH186" t="s">
        <v>113</v>
      </c>
      <c r="AI186" t="s">
        <v>68</v>
      </c>
      <c r="AJ186" t="s">
        <v>72</v>
      </c>
      <c r="AK186" t="s">
        <v>70</v>
      </c>
      <c r="AL186" t="s">
        <v>71</v>
      </c>
      <c r="AM186" t="s">
        <v>70</v>
      </c>
      <c r="AN186" t="s">
        <v>202</v>
      </c>
      <c r="AO186" t="s">
        <v>116</v>
      </c>
      <c r="AP186" t="s">
        <v>203</v>
      </c>
      <c r="AQ186" t="s">
        <v>98</v>
      </c>
      <c r="AR186" s="1">
        <v>42702</v>
      </c>
      <c r="AS186" t="s">
        <v>137</v>
      </c>
      <c r="AT186" t="s">
        <v>71</v>
      </c>
      <c r="AU186">
        <v>1162</v>
      </c>
      <c r="AV186" t="s">
        <v>76</v>
      </c>
    </row>
    <row r="187" spans="1:48" x14ac:dyDescent="0.25">
      <c r="A187" t="s">
        <v>473</v>
      </c>
      <c r="B187" t="s">
        <v>210</v>
      </c>
      <c r="C187" t="s">
        <v>140</v>
      </c>
      <c r="D187" t="s">
        <v>51</v>
      </c>
      <c r="E187">
        <v>31</v>
      </c>
      <c r="F187" t="s">
        <v>248</v>
      </c>
      <c r="G187" t="s">
        <v>156</v>
      </c>
      <c r="H187" t="s">
        <v>157</v>
      </c>
      <c r="I187" t="s">
        <v>83</v>
      </c>
      <c r="J187" t="s">
        <v>84</v>
      </c>
      <c r="K187" t="s">
        <v>85</v>
      </c>
      <c r="L187" t="s">
        <v>126</v>
      </c>
      <c r="M187" t="s">
        <v>175</v>
      </c>
      <c r="N187" t="s">
        <v>265</v>
      </c>
      <c r="O187" t="s">
        <v>89</v>
      </c>
      <c r="P187" s="1">
        <v>39094</v>
      </c>
      <c r="Q187">
        <v>17.399999999999999</v>
      </c>
      <c r="R187" t="s">
        <v>129</v>
      </c>
      <c r="S187" t="s">
        <v>130</v>
      </c>
      <c r="T187" t="s">
        <v>131</v>
      </c>
      <c r="U187">
        <v>4</v>
      </c>
      <c r="V187">
        <v>0</v>
      </c>
      <c r="W187">
        <v>4836</v>
      </c>
      <c r="X187">
        <v>0</v>
      </c>
      <c r="Y187">
        <v>266</v>
      </c>
      <c r="Z187">
        <v>5102</v>
      </c>
      <c r="AA187">
        <v>521</v>
      </c>
      <c r="AB187" t="s">
        <v>65</v>
      </c>
      <c r="AC187">
        <v>18.899999999999999</v>
      </c>
      <c r="AD187">
        <v>62</v>
      </c>
      <c r="AE187">
        <v>39</v>
      </c>
      <c r="AF187" t="s">
        <v>112</v>
      </c>
      <c r="AG187">
        <v>28</v>
      </c>
      <c r="AH187" t="s">
        <v>113</v>
      </c>
      <c r="AI187" t="s">
        <v>177</v>
      </c>
      <c r="AJ187" t="s">
        <v>96</v>
      </c>
      <c r="AK187" t="s">
        <v>70</v>
      </c>
      <c r="AL187" t="s">
        <v>70</v>
      </c>
      <c r="AM187" t="s">
        <v>70</v>
      </c>
      <c r="AN187" t="s">
        <v>115</v>
      </c>
      <c r="AO187" t="s">
        <v>116</v>
      </c>
      <c r="AP187" t="s">
        <v>73</v>
      </c>
      <c r="AQ187" t="s">
        <v>98</v>
      </c>
      <c r="AR187" s="1">
        <v>42394</v>
      </c>
      <c r="AS187" t="s">
        <v>137</v>
      </c>
      <c r="AT187" t="s">
        <v>71</v>
      </c>
      <c r="AU187">
        <v>22</v>
      </c>
      <c r="AV187" t="s">
        <v>179</v>
      </c>
    </row>
    <row r="188" spans="1:48" x14ac:dyDescent="0.25">
      <c r="A188" t="s">
        <v>474</v>
      </c>
      <c r="B188" t="s">
        <v>282</v>
      </c>
      <c r="C188" t="s">
        <v>191</v>
      </c>
      <c r="D188" t="s">
        <v>51</v>
      </c>
      <c r="E188">
        <v>24</v>
      </c>
      <c r="F188" t="s">
        <v>168</v>
      </c>
      <c r="G188" t="s">
        <v>298</v>
      </c>
      <c r="H188" t="s">
        <v>299</v>
      </c>
      <c r="I188" t="s">
        <v>268</v>
      </c>
      <c r="J188" t="s">
        <v>269</v>
      </c>
      <c r="K188" t="s">
        <v>173</v>
      </c>
      <c r="L188" t="s">
        <v>106</v>
      </c>
      <c r="M188" t="s">
        <v>147</v>
      </c>
      <c r="N188" t="s">
        <v>128</v>
      </c>
      <c r="O188" t="s">
        <v>176</v>
      </c>
      <c r="P188" s="1">
        <v>39251</v>
      </c>
      <c r="Q188">
        <v>17</v>
      </c>
      <c r="R188" t="s">
        <v>208</v>
      </c>
      <c r="S188" t="s">
        <v>196</v>
      </c>
      <c r="T188" t="s">
        <v>197</v>
      </c>
      <c r="U188">
        <v>0</v>
      </c>
      <c r="V188">
        <v>0</v>
      </c>
      <c r="W188">
        <v>2149</v>
      </c>
      <c r="X188">
        <v>0</v>
      </c>
      <c r="Y188">
        <v>422</v>
      </c>
      <c r="Z188">
        <v>2571</v>
      </c>
      <c r="AA188">
        <v>491</v>
      </c>
      <c r="AB188" t="s">
        <v>65</v>
      </c>
      <c r="AC188">
        <v>14.5</v>
      </c>
      <c r="AD188">
        <v>64</v>
      </c>
      <c r="AE188">
        <v>67</v>
      </c>
      <c r="AF188" t="s">
        <v>112</v>
      </c>
      <c r="AG188">
        <v>38</v>
      </c>
      <c r="AH188" t="s">
        <v>94</v>
      </c>
      <c r="AI188" t="s">
        <v>95</v>
      </c>
      <c r="AJ188" t="s">
        <v>188</v>
      </c>
      <c r="AK188" t="s">
        <v>70</v>
      </c>
      <c r="AL188" t="s">
        <v>70</v>
      </c>
      <c r="AM188" t="s">
        <v>70</v>
      </c>
      <c r="AN188" t="s">
        <v>202</v>
      </c>
      <c r="AO188" t="s">
        <v>227</v>
      </c>
      <c r="AP188" t="s">
        <v>72</v>
      </c>
      <c r="AQ188" t="s">
        <v>74</v>
      </c>
      <c r="AR188" s="1">
        <v>41446</v>
      </c>
      <c r="AS188" t="s">
        <v>75</v>
      </c>
      <c r="AT188" t="s">
        <v>71</v>
      </c>
      <c r="AU188">
        <v>14</v>
      </c>
      <c r="AV188" t="s">
        <v>179</v>
      </c>
    </row>
    <row r="189" spans="1:48" x14ac:dyDescent="0.25">
      <c r="A189" t="s">
        <v>475</v>
      </c>
      <c r="B189" t="s">
        <v>259</v>
      </c>
      <c r="C189" t="s">
        <v>50</v>
      </c>
      <c r="D189" t="s">
        <v>51</v>
      </c>
      <c r="E189">
        <v>23</v>
      </c>
      <c r="F189" t="s">
        <v>52</v>
      </c>
      <c r="G189" t="s">
        <v>234</v>
      </c>
      <c r="H189" t="s">
        <v>235</v>
      </c>
      <c r="I189" t="s">
        <v>273</v>
      </c>
      <c r="J189" t="s">
        <v>274</v>
      </c>
      <c r="K189" t="s">
        <v>57</v>
      </c>
      <c r="L189" t="s">
        <v>106</v>
      </c>
      <c r="M189" t="s">
        <v>249</v>
      </c>
      <c r="N189" t="s">
        <v>265</v>
      </c>
      <c r="O189" t="s">
        <v>109</v>
      </c>
      <c r="P189" s="1">
        <v>39465</v>
      </c>
      <c r="Q189">
        <v>16.399999999999999</v>
      </c>
      <c r="R189" t="s">
        <v>208</v>
      </c>
      <c r="S189" t="s">
        <v>163</v>
      </c>
      <c r="T189" t="s">
        <v>164</v>
      </c>
      <c r="U189">
        <v>4</v>
      </c>
      <c r="V189">
        <v>0</v>
      </c>
      <c r="W189">
        <v>1917</v>
      </c>
      <c r="X189">
        <v>2115</v>
      </c>
      <c r="Y189">
        <v>422</v>
      </c>
      <c r="Z189">
        <v>4454</v>
      </c>
      <c r="AA189">
        <v>599</v>
      </c>
      <c r="AB189" t="s">
        <v>65</v>
      </c>
      <c r="AC189">
        <v>19.8</v>
      </c>
      <c r="AD189">
        <v>77</v>
      </c>
      <c r="AE189">
        <v>80</v>
      </c>
      <c r="AF189" t="s">
        <v>132</v>
      </c>
      <c r="AG189">
        <v>35</v>
      </c>
      <c r="AH189" t="s">
        <v>67</v>
      </c>
      <c r="AI189" t="s">
        <v>152</v>
      </c>
      <c r="AJ189" t="s">
        <v>69</v>
      </c>
      <c r="AK189" t="s">
        <v>70</v>
      </c>
      <c r="AL189" t="s">
        <v>70</v>
      </c>
      <c r="AM189" t="s">
        <v>70</v>
      </c>
      <c r="AN189" t="s">
        <v>133</v>
      </c>
      <c r="AO189" t="s">
        <v>178</v>
      </c>
      <c r="AP189" t="s">
        <v>72</v>
      </c>
      <c r="AQ189" t="s">
        <v>74</v>
      </c>
      <c r="AR189" s="1">
        <v>41387</v>
      </c>
      <c r="AS189" t="s">
        <v>137</v>
      </c>
      <c r="AT189" t="s">
        <v>71</v>
      </c>
      <c r="AU189">
        <v>1555</v>
      </c>
      <c r="AV189" t="s">
        <v>76</v>
      </c>
    </row>
    <row r="190" spans="1:48" x14ac:dyDescent="0.25">
      <c r="A190" t="s">
        <v>476</v>
      </c>
      <c r="B190" t="s">
        <v>245</v>
      </c>
      <c r="C190" t="s">
        <v>257</v>
      </c>
      <c r="D190" t="s">
        <v>51</v>
      </c>
      <c r="E190">
        <v>43</v>
      </c>
      <c r="F190" t="s">
        <v>241</v>
      </c>
      <c r="G190" t="s">
        <v>301</v>
      </c>
      <c r="H190" t="s">
        <v>302</v>
      </c>
      <c r="I190" t="s">
        <v>268</v>
      </c>
      <c r="J190" t="s">
        <v>269</v>
      </c>
      <c r="K190" t="s">
        <v>173</v>
      </c>
      <c r="L190" t="s">
        <v>174</v>
      </c>
      <c r="M190" t="s">
        <v>87</v>
      </c>
      <c r="N190" t="s">
        <v>162</v>
      </c>
      <c r="O190" t="s">
        <v>176</v>
      </c>
      <c r="P190" s="1">
        <v>39280</v>
      </c>
      <c r="Q190">
        <v>16.899999999999999</v>
      </c>
      <c r="R190" t="s">
        <v>62</v>
      </c>
      <c r="S190" t="s">
        <v>63</v>
      </c>
      <c r="T190" t="s">
        <v>64</v>
      </c>
      <c r="U190">
        <v>0</v>
      </c>
      <c r="V190">
        <v>0</v>
      </c>
      <c r="W190">
        <v>4188</v>
      </c>
      <c r="X190">
        <v>0</v>
      </c>
      <c r="Y190">
        <v>266</v>
      </c>
      <c r="Z190">
        <v>4454</v>
      </c>
      <c r="AA190">
        <v>433</v>
      </c>
      <c r="AB190" t="s">
        <v>65</v>
      </c>
      <c r="AC190">
        <v>13.7</v>
      </c>
      <c r="AD190">
        <v>66</v>
      </c>
      <c r="AE190">
        <v>63</v>
      </c>
      <c r="AF190" t="s">
        <v>132</v>
      </c>
      <c r="AG190">
        <v>32</v>
      </c>
      <c r="AH190" t="s">
        <v>67</v>
      </c>
      <c r="AI190" t="s">
        <v>68</v>
      </c>
      <c r="AJ190" t="s">
        <v>69</v>
      </c>
      <c r="AK190" t="s">
        <v>71</v>
      </c>
      <c r="AL190" t="s">
        <v>70</v>
      </c>
      <c r="AM190" t="s">
        <v>70</v>
      </c>
      <c r="AN190" t="s">
        <v>115</v>
      </c>
      <c r="AO190" t="s">
        <v>97</v>
      </c>
      <c r="AP190" t="s">
        <v>116</v>
      </c>
      <c r="AQ190" t="s">
        <v>136</v>
      </c>
      <c r="AR190" s="1">
        <v>45460</v>
      </c>
      <c r="AS190" t="s">
        <v>137</v>
      </c>
      <c r="AT190" t="s">
        <v>71</v>
      </c>
      <c r="AU190">
        <v>-456</v>
      </c>
      <c r="AV190" t="s">
        <v>179</v>
      </c>
    </row>
    <row r="191" spans="1:48" x14ac:dyDescent="0.25">
      <c r="A191" t="s">
        <v>477</v>
      </c>
      <c r="B191" t="s">
        <v>190</v>
      </c>
      <c r="C191" t="s">
        <v>230</v>
      </c>
      <c r="D191" t="s">
        <v>122</v>
      </c>
      <c r="E191">
        <v>18</v>
      </c>
      <c r="F191" t="s">
        <v>224</v>
      </c>
      <c r="G191" t="s">
        <v>285</v>
      </c>
      <c r="H191" t="s">
        <v>286</v>
      </c>
      <c r="I191" t="s">
        <v>225</v>
      </c>
      <c r="J191" t="s">
        <v>226</v>
      </c>
      <c r="K191" t="s">
        <v>105</v>
      </c>
      <c r="L191" t="s">
        <v>106</v>
      </c>
      <c r="M191" t="s">
        <v>161</v>
      </c>
      <c r="N191" t="s">
        <v>162</v>
      </c>
      <c r="O191" t="s">
        <v>176</v>
      </c>
      <c r="P191" s="1">
        <v>44892</v>
      </c>
      <c r="Q191">
        <v>1.5</v>
      </c>
      <c r="R191" t="s">
        <v>208</v>
      </c>
      <c r="S191" t="s">
        <v>110</v>
      </c>
      <c r="T191" t="s">
        <v>111</v>
      </c>
      <c r="U191">
        <v>9</v>
      </c>
      <c r="V191">
        <v>1</v>
      </c>
      <c r="W191">
        <v>7668</v>
      </c>
      <c r="X191">
        <v>0</v>
      </c>
      <c r="Y191">
        <v>266</v>
      </c>
      <c r="Z191">
        <v>7934</v>
      </c>
      <c r="AA191">
        <v>445</v>
      </c>
      <c r="AB191" t="s">
        <v>65</v>
      </c>
      <c r="AC191">
        <v>18.399999999999999</v>
      </c>
      <c r="AD191">
        <v>58</v>
      </c>
      <c r="AE191">
        <v>77</v>
      </c>
      <c r="AF191" t="s">
        <v>112</v>
      </c>
      <c r="AG191">
        <v>17</v>
      </c>
      <c r="AH191" t="s">
        <v>113</v>
      </c>
      <c r="AI191" t="s">
        <v>95</v>
      </c>
      <c r="AJ191" t="s">
        <v>72</v>
      </c>
      <c r="AK191" t="s">
        <v>70</v>
      </c>
      <c r="AL191" t="s">
        <v>70</v>
      </c>
      <c r="AM191" t="s">
        <v>70</v>
      </c>
      <c r="AN191" t="s">
        <v>72</v>
      </c>
      <c r="AO191" t="s">
        <v>72</v>
      </c>
      <c r="AP191" t="s">
        <v>72</v>
      </c>
      <c r="AQ191" t="s">
        <v>98</v>
      </c>
      <c r="AR191" s="1">
        <v>44719</v>
      </c>
      <c r="AS191" t="s">
        <v>137</v>
      </c>
      <c r="AT191" t="s">
        <v>70</v>
      </c>
      <c r="AU191">
        <v>638</v>
      </c>
      <c r="AV191" t="s">
        <v>76</v>
      </c>
    </row>
    <row r="192" spans="1:48" x14ac:dyDescent="0.25">
      <c r="A192" t="s">
        <v>478</v>
      </c>
      <c r="B192" t="s">
        <v>100</v>
      </c>
      <c r="C192" t="s">
        <v>233</v>
      </c>
      <c r="D192" t="s">
        <v>51</v>
      </c>
      <c r="E192">
        <v>42</v>
      </c>
      <c r="F192" t="s">
        <v>291</v>
      </c>
      <c r="G192" t="s">
        <v>242</v>
      </c>
      <c r="H192" t="s">
        <v>54</v>
      </c>
      <c r="I192" t="s">
        <v>217</v>
      </c>
      <c r="J192" t="s">
        <v>218</v>
      </c>
      <c r="K192" t="s">
        <v>146</v>
      </c>
      <c r="L192" t="s">
        <v>86</v>
      </c>
      <c r="M192" t="s">
        <v>296</v>
      </c>
      <c r="N192" t="s">
        <v>265</v>
      </c>
      <c r="O192" t="s">
        <v>89</v>
      </c>
      <c r="P192" s="1">
        <v>43299</v>
      </c>
      <c r="Q192">
        <v>5.9</v>
      </c>
      <c r="R192" t="s">
        <v>150</v>
      </c>
      <c r="S192" t="s">
        <v>130</v>
      </c>
      <c r="T192" t="s">
        <v>131</v>
      </c>
      <c r="U192">
        <v>4</v>
      </c>
      <c r="V192">
        <v>0</v>
      </c>
      <c r="W192">
        <v>4739</v>
      </c>
      <c r="X192">
        <v>2149</v>
      </c>
      <c r="Y192">
        <v>422</v>
      </c>
      <c r="Z192">
        <v>7310</v>
      </c>
      <c r="AA192">
        <v>410</v>
      </c>
      <c r="AB192" t="s">
        <v>65</v>
      </c>
      <c r="AC192">
        <v>15.6</v>
      </c>
      <c r="AD192">
        <v>31</v>
      </c>
      <c r="AE192">
        <v>46</v>
      </c>
      <c r="AF192" t="s">
        <v>132</v>
      </c>
      <c r="AG192">
        <v>21</v>
      </c>
      <c r="AH192" t="s">
        <v>113</v>
      </c>
      <c r="AI192" t="s">
        <v>114</v>
      </c>
      <c r="AJ192" t="s">
        <v>188</v>
      </c>
      <c r="AK192" t="s">
        <v>70</v>
      </c>
      <c r="AL192" t="s">
        <v>70</v>
      </c>
      <c r="AM192" t="s">
        <v>70</v>
      </c>
      <c r="AN192" t="s">
        <v>202</v>
      </c>
      <c r="AO192" t="s">
        <v>72</v>
      </c>
      <c r="AP192" t="s">
        <v>135</v>
      </c>
      <c r="AQ192" t="s">
        <v>117</v>
      </c>
      <c r="AR192" s="1">
        <v>43964</v>
      </c>
      <c r="AS192" t="s">
        <v>198</v>
      </c>
      <c r="AT192" t="s">
        <v>71</v>
      </c>
      <c r="AU192">
        <v>913</v>
      </c>
      <c r="AV192" t="s">
        <v>76</v>
      </c>
    </row>
    <row r="193" spans="1:48" x14ac:dyDescent="0.25">
      <c r="A193" t="s">
        <v>479</v>
      </c>
      <c r="B193" t="s">
        <v>277</v>
      </c>
      <c r="C193" t="s">
        <v>272</v>
      </c>
      <c r="D193" t="s">
        <v>51</v>
      </c>
      <c r="E193">
        <v>34</v>
      </c>
      <c r="F193" t="s">
        <v>214</v>
      </c>
      <c r="G193" t="s">
        <v>298</v>
      </c>
      <c r="H193" t="s">
        <v>299</v>
      </c>
      <c r="I193" t="s">
        <v>273</v>
      </c>
      <c r="J193" t="s">
        <v>274</v>
      </c>
      <c r="K193" t="s">
        <v>57</v>
      </c>
      <c r="L193" t="s">
        <v>126</v>
      </c>
      <c r="M193" t="s">
        <v>212</v>
      </c>
      <c r="N193" t="s">
        <v>162</v>
      </c>
      <c r="O193" t="s">
        <v>176</v>
      </c>
      <c r="P193" s="1">
        <v>42254</v>
      </c>
      <c r="Q193">
        <v>8.6999999999999993</v>
      </c>
      <c r="R193" t="s">
        <v>90</v>
      </c>
      <c r="S193" t="s">
        <v>219</v>
      </c>
      <c r="T193" t="s">
        <v>220</v>
      </c>
      <c r="U193">
        <v>0</v>
      </c>
      <c r="V193">
        <v>0</v>
      </c>
      <c r="W193">
        <v>2149</v>
      </c>
      <c r="X193">
        <v>0</v>
      </c>
      <c r="Y193">
        <v>422</v>
      </c>
      <c r="Z193">
        <v>2571</v>
      </c>
      <c r="AA193">
        <v>532</v>
      </c>
      <c r="AB193" t="s">
        <v>65</v>
      </c>
      <c r="AC193">
        <v>15.7</v>
      </c>
      <c r="AD193">
        <v>65</v>
      </c>
      <c r="AE193">
        <v>54</v>
      </c>
      <c r="AF193" t="s">
        <v>112</v>
      </c>
      <c r="AG193">
        <v>20</v>
      </c>
      <c r="AH193" t="s">
        <v>113</v>
      </c>
      <c r="AI193" t="s">
        <v>177</v>
      </c>
      <c r="AJ193" t="s">
        <v>69</v>
      </c>
      <c r="AK193" t="s">
        <v>70</v>
      </c>
      <c r="AL193" t="s">
        <v>70</v>
      </c>
      <c r="AM193" t="s">
        <v>70</v>
      </c>
      <c r="AN193" t="s">
        <v>231</v>
      </c>
      <c r="AO193" t="s">
        <v>203</v>
      </c>
      <c r="AP193" t="s">
        <v>135</v>
      </c>
      <c r="AQ193" t="s">
        <v>117</v>
      </c>
      <c r="AR193" s="1">
        <v>44505</v>
      </c>
      <c r="AS193" t="s">
        <v>75</v>
      </c>
      <c r="AT193" t="s">
        <v>71</v>
      </c>
      <c r="AU193">
        <v>616</v>
      </c>
      <c r="AV193" t="s">
        <v>76</v>
      </c>
    </row>
    <row r="194" spans="1:48" x14ac:dyDescent="0.25">
      <c r="A194" t="s">
        <v>480</v>
      </c>
      <c r="B194" t="s">
        <v>49</v>
      </c>
      <c r="C194" t="s">
        <v>272</v>
      </c>
      <c r="D194" t="s">
        <v>51</v>
      </c>
      <c r="E194">
        <v>29</v>
      </c>
      <c r="F194" t="s">
        <v>322</v>
      </c>
      <c r="G194" t="s">
        <v>81</v>
      </c>
      <c r="H194" t="s">
        <v>82</v>
      </c>
      <c r="I194" t="s">
        <v>217</v>
      </c>
      <c r="J194" t="s">
        <v>218</v>
      </c>
      <c r="K194" t="s">
        <v>146</v>
      </c>
      <c r="L194" t="s">
        <v>106</v>
      </c>
      <c r="M194" t="s">
        <v>87</v>
      </c>
      <c r="N194" t="s">
        <v>162</v>
      </c>
      <c r="O194" t="s">
        <v>109</v>
      </c>
      <c r="P194" s="1">
        <v>44686</v>
      </c>
      <c r="Q194">
        <v>2.1</v>
      </c>
      <c r="R194" t="s">
        <v>75</v>
      </c>
      <c r="S194" t="s">
        <v>219</v>
      </c>
      <c r="T194" t="s">
        <v>220</v>
      </c>
      <c r="U194">
        <v>0</v>
      </c>
      <c r="V194">
        <v>0</v>
      </c>
      <c r="W194">
        <v>2504</v>
      </c>
      <c r="X194">
        <v>0</v>
      </c>
      <c r="Y194">
        <v>422</v>
      </c>
      <c r="Z194">
        <v>2926</v>
      </c>
      <c r="AA194">
        <v>382</v>
      </c>
      <c r="AB194" t="s">
        <v>65</v>
      </c>
      <c r="AC194">
        <v>16.899999999999999</v>
      </c>
      <c r="AD194">
        <v>63</v>
      </c>
      <c r="AE194">
        <v>74</v>
      </c>
      <c r="AF194" t="s">
        <v>112</v>
      </c>
      <c r="AG194">
        <v>33</v>
      </c>
      <c r="AH194" t="s">
        <v>67</v>
      </c>
      <c r="AI194" t="s">
        <v>68</v>
      </c>
      <c r="AJ194" t="s">
        <v>72</v>
      </c>
      <c r="AK194" t="s">
        <v>71</v>
      </c>
      <c r="AL194" t="s">
        <v>70</v>
      </c>
      <c r="AM194" t="s">
        <v>70</v>
      </c>
      <c r="AN194" t="s">
        <v>72</v>
      </c>
      <c r="AO194" t="s">
        <v>135</v>
      </c>
      <c r="AP194" t="s">
        <v>97</v>
      </c>
      <c r="AQ194" t="s">
        <v>136</v>
      </c>
      <c r="AR194" s="1">
        <v>44610</v>
      </c>
      <c r="AS194" t="s">
        <v>75</v>
      </c>
      <c r="AT194" t="s">
        <v>71</v>
      </c>
      <c r="AU194">
        <v>-124</v>
      </c>
      <c r="AV194" t="s">
        <v>179</v>
      </c>
    </row>
    <row r="195" spans="1:48" x14ac:dyDescent="0.25">
      <c r="A195" t="s">
        <v>481</v>
      </c>
      <c r="B195" t="s">
        <v>100</v>
      </c>
      <c r="C195" t="s">
        <v>155</v>
      </c>
      <c r="D195" t="s">
        <v>51</v>
      </c>
      <c r="E195">
        <v>30</v>
      </c>
      <c r="F195" t="s">
        <v>291</v>
      </c>
      <c r="G195" t="s">
        <v>81</v>
      </c>
      <c r="H195" t="s">
        <v>82</v>
      </c>
      <c r="I195" t="s">
        <v>260</v>
      </c>
      <c r="J195" t="s">
        <v>261</v>
      </c>
      <c r="K195" t="s">
        <v>173</v>
      </c>
      <c r="L195" t="s">
        <v>174</v>
      </c>
      <c r="M195" t="s">
        <v>127</v>
      </c>
      <c r="N195" t="s">
        <v>128</v>
      </c>
      <c r="O195" t="s">
        <v>61</v>
      </c>
      <c r="P195" s="1">
        <v>39417</v>
      </c>
      <c r="Q195">
        <v>16.5</v>
      </c>
      <c r="R195" t="s">
        <v>195</v>
      </c>
      <c r="S195" t="s">
        <v>91</v>
      </c>
      <c r="T195" t="s">
        <v>92</v>
      </c>
      <c r="U195">
        <v>5</v>
      </c>
      <c r="V195">
        <v>0</v>
      </c>
      <c r="W195">
        <v>2504</v>
      </c>
      <c r="X195">
        <v>0</v>
      </c>
      <c r="Y195">
        <v>422</v>
      </c>
      <c r="Z195">
        <v>2926</v>
      </c>
      <c r="AA195">
        <v>328</v>
      </c>
      <c r="AB195" t="s">
        <v>151</v>
      </c>
      <c r="AC195">
        <v>14.7</v>
      </c>
      <c r="AD195">
        <v>49</v>
      </c>
      <c r="AE195">
        <v>72</v>
      </c>
      <c r="AF195" t="s">
        <v>132</v>
      </c>
      <c r="AG195">
        <v>24</v>
      </c>
      <c r="AH195" t="s">
        <v>113</v>
      </c>
      <c r="AI195" t="s">
        <v>68</v>
      </c>
      <c r="AJ195" t="s">
        <v>188</v>
      </c>
      <c r="AK195" t="s">
        <v>71</v>
      </c>
      <c r="AL195" t="s">
        <v>70</v>
      </c>
      <c r="AM195" t="s">
        <v>71</v>
      </c>
      <c r="AN195" t="s">
        <v>72</v>
      </c>
      <c r="AO195" t="s">
        <v>72</v>
      </c>
      <c r="AP195" t="s">
        <v>72</v>
      </c>
      <c r="AQ195" t="s">
        <v>117</v>
      </c>
      <c r="AR195" s="1">
        <v>41251</v>
      </c>
      <c r="AS195" t="s">
        <v>137</v>
      </c>
      <c r="AT195" t="s">
        <v>71</v>
      </c>
      <c r="AU195">
        <v>228</v>
      </c>
      <c r="AV195" t="s">
        <v>76</v>
      </c>
    </row>
    <row r="196" spans="1:48" x14ac:dyDescent="0.25">
      <c r="A196" t="s">
        <v>482</v>
      </c>
      <c r="B196" t="s">
        <v>308</v>
      </c>
      <c r="C196" t="s">
        <v>223</v>
      </c>
      <c r="D196" t="s">
        <v>122</v>
      </c>
      <c r="E196">
        <v>19</v>
      </c>
      <c r="F196" t="s">
        <v>291</v>
      </c>
      <c r="G196" t="s">
        <v>169</v>
      </c>
      <c r="H196" t="s">
        <v>170</v>
      </c>
      <c r="I196" t="s">
        <v>225</v>
      </c>
      <c r="J196" t="s">
        <v>226</v>
      </c>
      <c r="K196" t="s">
        <v>105</v>
      </c>
      <c r="L196" t="s">
        <v>126</v>
      </c>
      <c r="M196" t="s">
        <v>275</v>
      </c>
      <c r="N196" t="s">
        <v>265</v>
      </c>
      <c r="O196" t="s">
        <v>109</v>
      </c>
      <c r="P196" s="1">
        <v>39241</v>
      </c>
      <c r="Q196">
        <v>17</v>
      </c>
      <c r="R196" t="s">
        <v>150</v>
      </c>
      <c r="S196" t="s">
        <v>130</v>
      </c>
      <c r="T196" t="s">
        <v>131</v>
      </c>
      <c r="U196">
        <v>13</v>
      </c>
      <c r="V196">
        <v>2</v>
      </c>
      <c r="W196">
        <v>3294</v>
      </c>
      <c r="X196">
        <v>0</v>
      </c>
      <c r="Y196">
        <v>422</v>
      </c>
      <c r="Z196">
        <v>3716</v>
      </c>
      <c r="AA196">
        <v>342</v>
      </c>
      <c r="AB196" t="s">
        <v>151</v>
      </c>
      <c r="AC196">
        <v>20.3</v>
      </c>
      <c r="AD196">
        <v>65</v>
      </c>
      <c r="AE196">
        <v>46</v>
      </c>
      <c r="AF196" t="s">
        <v>66</v>
      </c>
      <c r="AG196">
        <v>18</v>
      </c>
      <c r="AH196" t="s">
        <v>113</v>
      </c>
      <c r="AI196" t="s">
        <v>68</v>
      </c>
      <c r="AJ196" t="s">
        <v>69</v>
      </c>
      <c r="AK196" t="s">
        <v>70</v>
      </c>
      <c r="AL196" t="s">
        <v>70</v>
      </c>
      <c r="AM196" t="s">
        <v>71</v>
      </c>
      <c r="AN196" t="s">
        <v>231</v>
      </c>
      <c r="AO196" t="s">
        <v>97</v>
      </c>
      <c r="AP196" t="s">
        <v>134</v>
      </c>
      <c r="AQ196" t="s">
        <v>74</v>
      </c>
      <c r="AR196" s="1">
        <v>43790</v>
      </c>
      <c r="AS196" t="s">
        <v>118</v>
      </c>
      <c r="AT196" t="s">
        <v>71</v>
      </c>
      <c r="AU196">
        <v>-485</v>
      </c>
      <c r="AV196" t="s">
        <v>179</v>
      </c>
    </row>
    <row r="197" spans="1:48" x14ac:dyDescent="0.25">
      <c r="A197" t="s">
        <v>483</v>
      </c>
      <c r="B197" t="s">
        <v>166</v>
      </c>
      <c r="C197" t="s">
        <v>230</v>
      </c>
      <c r="D197" t="s">
        <v>122</v>
      </c>
      <c r="E197">
        <v>23</v>
      </c>
      <c r="F197" t="s">
        <v>168</v>
      </c>
      <c r="G197" t="s">
        <v>156</v>
      </c>
      <c r="H197" t="s">
        <v>157</v>
      </c>
      <c r="I197" t="s">
        <v>144</v>
      </c>
      <c r="J197" t="s">
        <v>145</v>
      </c>
      <c r="K197" t="s">
        <v>146</v>
      </c>
      <c r="L197" t="s">
        <v>106</v>
      </c>
      <c r="M197" t="s">
        <v>127</v>
      </c>
      <c r="N197" t="s">
        <v>148</v>
      </c>
      <c r="O197" t="s">
        <v>149</v>
      </c>
      <c r="P197" s="1">
        <v>38380</v>
      </c>
      <c r="Q197">
        <v>19.3</v>
      </c>
      <c r="R197" t="s">
        <v>90</v>
      </c>
      <c r="S197" t="s">
        <v>91</v>
      </c>
      <c r="T197" t="s">
        <v>92</v>
      </c>
      <c r="U197">
        <v>15</v>
      </c>
      <c r="V197">
        <v>2</v>
      </c>
      <c r="W197">
        <v>4836</v>
      </c>
      <c r="X197">
        <v>1048</v>
      </c>
      <c r="Y197">
        <v>266</v>
      </c>
      <c r="Z197">
        <v>6150</v>
      </c>
      <c r="AA197">
        <v>318</v>
      </c>
      <c r="AB197" t="s">
        <v>151</v>
      </c>
      <c r="AC197">
        <v>15.3</v>
      </c>
      <c r="AD197">
        <v>39</v>
      </c>
      <c r="AE197">
        <v>55</v>
      </c>
      <c r="AF197" t="s">
        <v>66</v>
      </c>
      <c r="AG197">
        <v>27</v>
      </c>
      <c r="AH197" t="s">
        <v>113</v>
      </c>
      <c r="AI197" t="s">
        <v>177</v>
      </c>
      <c r="AJ197" t="s">
        <v>69</v>
      </c>
      <c r="AK197" t="s">
        <v>70</v>
      </c>
      <c r="AL197" t="s">
        <v>70</v>
      </c>
      <c r="AM197" t="s">
        <v>70</v>
      </c>
      <c r="AN197" t="s">
        <v>243</v>
      </c>
      <c r="AO197" t="s">
        <v>203</v>
      </c>
      <c r="AP197" t="s">
        <v>221</v>
      </c>
      <c r="AQ197" t="s">
        <v>136</v>
      </c>
      <c r="AR197" s="1">
        <v>44053</v>
      </c>
      <c r="AS197" t="s">
        <v>198</v>
      </c>
      <c r="AT197" t="s">
        <v>71</v>
      </c>
      <c r="AU197">
        <v>1097</v>
      </c>
      <c r="AV197" t="s">
        <v>76</v>
      </c>
    </row>
    <row r="198" spans="1:48" x14ac:dyDescent="0.25">
      <c r="A198" t="s">
        <v>484</v>
      </c>
      <c r="B198" t="s">
        <v>308</v>
      </c>
      <c r="C198" t="s">
        <v>332</v>
      </c>
      <c r="D198" t="s">
        <v>51</v>
      </c>
      <c r="E198">
        <v>43</v>
      </c>
      <c r="F198" t="s">
        <v>214</v>
      </c>
      <c r="G198" t="s">
        <v>193</v>
      </c>
      <c r="H198" t="s">
        <v>194</v>
      </c>
      <c r="I198" t="s">
        <v>236</v>
      </c>
      <c r="J198" t="s">
        <v>237</v>
      </c>
      <c r="K198" t="s">
        <v>238</v>
      </c>
      <c r="L198" t="s">
        <v>106</v>
      </c>
      <c r="M198" t="s">
        <v>249</v>
      </c>
      <c r="N198" t="s">
        <v>265</v>
      </c>
      <c r="O198" t="s">
        <v>149</v>
      </c>
      <c r="P198" s="1">
        <v>39499</v>
      </c>
      <c r="Q198">
        <v>16.3</v>
      </c>
      <c r="R198" t="s">
        <v>150</v>
      </c>
      <c r="S198" t="s">
        <v>163</v>
      </c>
      <c r="T198" t="s">
        <v>164</v>
      </c>
      <c r="U198">
        <v>6</v>
      </c>
      <c r="V198">
        <v>1</v>
      </c>
      <c r="W198">
        <v>2259</v>
      </c>
      <c r="X198">
        <v>0</v>
      </c>
      <c r="Y198">
        <v>422</v>
      </c>
      <c r="Z198">
        <v>2681</v>
      </c>
      <c r="AA198">
        <v>566</v>
      </c>
      <c r="AB198" t="s">
        <v>65</v>
      </c>
      <c r="AC198">
        <v>16.7</v>
      </c>
      <c r="AD198">
        <v>24</v>
      </c>
      <c r="AE198">
        <v>80</v>
      </c>
      <c r="AF198" t="s">
        <v>112</v>
      </c>
      <c r="AG198">
        <v>31</v>
      </c>
      <c r="AH198" t="s">
        <v>67</v>
      </c>
      <c r="AI198" t="s">
        <v>95</v>
      </c>
      <c r="AJ198" t="s">
        <v>72</v>
      </c>
      <c r="AK198" t="s">
        <v>70</v>
      </c>
      <c r="AL198" t="s">
        <v>71</v>
      </c>
      <c r="AM198" t="s">
        <v>70</v>
      </c>
      <c r="AN198" t="s">
        <v>72</v>
      </c>
      <c r="AO198" t="s">
        <v>203</v>
      </c>
      <c r="AP198" t="s">
        <v>72</v>
      </c>
      <c r="AQ198" t="s">
        <v>74</v>
      </c>
      <c r="AR198" s="1">
        <v>44804</v>
      </c>
      <c r="AS198" t="s">
        <v>137</v>
      </c>
      <c r="AT198" t="s">
        <v>71</v>
      </c>
      <c r="AU198">
        <v>1642</v>
      </c>
      <c r="AV198" t="s">
        <v>76</v>
      </c>
    </row>
    <row r="199" spans="1:48" x14ac:dyDescent="0.25">
      <c r="A199" t="s">
        <v>485</v>
      </c>
      <c r="B199" t="s">
        <v>245</v>
      </c>
      <c r="C199" t="s">
        <v>240</v>
      </c>
      <c r="D199" t="s">
        <v>122</v>
      </c>
      <c r="E199">
        <v>37</v>
      </c>
      <c r="F199" t="s">
        <v>123</v>
      </c>
      <c r="G199" t="s">
        <v>124</v>
      </c>
      <c r="H199" t="s">
        <v>125</v>
      </c>
      <c r="I199" t="s">
        <v>260</v>
      </c>
      <c r="J199" t="s">
        <v>261</v>
      </c>
      <c r="K199" t="s">
        <v>173</v>
      </c>
      <c r="L199" t="s">
        <v>201</v>
      </c>
      <c r="M199" t="s">
        <v>107</v>
      </c>
      <c r="N199" t="s">
        <v>60</v>
      </c>
      <c r="O199" t="s">
        <v>89</v>
      </c>
      <c r="P199" s="1">
        <v>44377</v>
      </c>
      <c r="Q199">
        <v>2.9</v>
      </c>
      <c r="R199" t="s">
        <v>129</v>
      </c>
      <c r="S199" t="s">
        <v>130</v>
      </c>
      <c r="T199" t="s">
        <v>131</v>
      </c>
      <c r="U199">
        <v>15</v>
      </c>
      <c r="V199">
        <v>2</v>
      </c>
      <c r="W199">
        <v>2730</v>
      </c>
      <c r="X199">
        <v>0</v>
      </c>
      <c r="Y199">
        <v>422</v>
      </c>
      <c r="Z199">
        <v>3152</v>
      </c>
      <c r="AA199">
        <v>313</v>
      </c>
      <c r="AB199" t="s">
        <v>151</v>
      </c>
      <c r="AC199">
        <v>16.5</v>
      </c>
      <c r="AD199">
        <v>78</v>
      </c>
      <c r="AE199">
        <v>69</v>
      </c>
      <c r="AF199" t="s">
        <v>93</v>
      </c>
      <c r="AG199">
        <v>38</v>
      </c>
      <c r="AH199" t="s">
        <v>94</v>
      </c>
      <c r="AI199" t="s">
        <v>152</v>
      </c>
      <c r="AJ199" t="s">
        <v>72</v>
      </c>
      <c r="AK199" t="s">
        <v>70</v>
      </c>
      <c r="AL199" t="s">
        <v>71</v>
      </c>
      <c r="AM199" t="s">
        <v>70</v>
      </c>
      <c r="AN199" t="s">
        <v>270</v>
      </c>
      <c r="AO199" t="s">
        <v>72</v>
      </c>
      <c r="AP199" t="s">
        <v>72</v>
      </c>
      <c r="AQ199" t="s">
        <v>98</v>
      </c>
      <c r="AR199" s="1">
        <v>44430</v>
      </c>
      <c r="AS199" t="s">
        <v>137</v>
      </c>
      <c r="AT199" t="s">
        <v>71</v>
      </c>
      <c r="AU199">
        <v>1536</v>
      </c>
      <c r="AV199" t="s">
        <v>76</v>
      </c>
    </row>
    <row r="200" spans="1:48" x14ac:dyDescent="0.25">
      <c r="A200" t="s">
        <v>486</v>
      </c>
      <c r="B200" t="s">
        <v>263</v>
      </c>
      <c r="C200" t="s">
        <v>79</v>
      </c>
      <c r="D200" t="s">
        <v>51</v>
      </c>
      <c r="E200">
        <v>35</v>
      </c>
      <c r="F200" t="s">
        <v>123</v>
      </c>
      <c r="G200" t="s">
        <v>183</v>
      </c>
      <c r="H200" t="s">
        <v>184</v>
      </c>
      <c r="I200" t="s">
        <v>83</v>
      </c>
      <c r="J200" t="s">
        <v>84</v>
      </c>
      <c r="K200" t="s">
        <v>85</v>
      </c>
      <c r="L200" t="s">
        <v>106</v>
      </c>
      <c r="M200" t="s">
        <v>175</v>
      </c>
      <c r="N200" t="s">
        <v>162</v>
      </c>
      <c r="O200" t="s">
        <v>176</v>
      </c>
      <c r="P200" s="1">
        <v>39342</v>
      </c>
      <c r="Q200">
        <v>16.7</v>
      </c>
      <c r="R200" t="s">
        <v>195</v>
      </c>
      <c r="S200" t="s">
        <v>219</v>
      </c>
      <c r="T200" t="s">
        <v>220</v>
      </c>
      <c r="U200">
        <v>0</v>
      </c>
      <c r="V200">
        <v>0</v>
      </c>
      <c r="W200">
        <v>5696</v>
      </c>
      <c r="X200">
        <v>0</v>
      </c>
      <c r="Y200">
        <v>266</v>
      </c>
      <c r="Z200">
        <v>5962</v>
      </c>
      <c r="AA200">
        <v>399</v>
      </c>
      <c r="AB200" t="s">
        <v>65</v>
      </c>
      <c r="AC200">
        <v>15.2</v>
      </c>
      <c r="AD200">
        <v>81</v>
      </c>
      <c r="AE200">
        <v>80</v>
      </c>
      <c r="AF200" t="s">
        <v>66</v>
      </c>
      <c r="AG200">
        <v>34</v>
      </c>
      <c r="AH200" t="s">
        <v>67</v>
      </c>
      <c r="AI200" t="s">
        <v>95</v>
      </c>
      <c r="AJ200" t="s">
        <v>188</v>
      </c>
      <c r="AK200" t="s">
        <v>70</v>
      </c>
      <c r="AL200" t="s">
        <v>71</v>
      </c>
      <c r="AM200" t="s">
        <v>70</v>
      </c>
      <c r="AN200" t="s">
        <v>270</v>
      </c>
      <c r="AO200" t="s">
        <v>178</v>
      </c>
      <c r="AP200" t="s">
        <v>72</v>
      </c>
      <c r="AQ200" t="s">
        <v>136</v>
      </c>
      <c r="AR200" s="1">
        <v>40175</v>
      </c>
      <c r="AS200" t="s">
        <v>118</v>
      </c>
      <c r="AT200" t="s">
        <v>71</v>
      </c>
      <c r="AU200">
        <v>-91</v>
      </c>
      <c r="AV200" t="s">
        <v>179</v>
      </c>
    </row>
    <row r="201" spans="1:48" x14ac:dyDescent="0.25">
      <c r="A201" t="s">
        <v>487</v>
      </c>
      <c r="B201" t="s">
        <v>181</v>
      </c>
      <c r="C201" t="s">
        <v>394</v>
      </c>
      <c r="D201" t="s">
        <v>122</v>
      </c>
      <c r="E201">
        <v>38</v>
      </c>
      <c r="F201" t="s">
        <v>224</v>
      </c>
      <c r="G201" t="s">
        <v>234</v>
      </c>
      <c r="H201" t="s">
        <v>235</v>
      </c>
      <c r="I201" t="s">
        <v>236</v>
      </c>
      <c r="J201" t="s">
        <v>237</v>
      </c>
      <c r="K201" t="s">
        <v>238</v>
      </c>
      <c r="L201" t="s">
        <v>126</v>
      </c>
      <c r="M201" t="s">
        <v>127</v>
      </c>
      <c r="N201" t="s">
        <v>60</v>
      </c>
      <c r="O201" t="s">
        <v>89</v>
      </c>
      <c r="P201" s="1">
        <v>39822</v>
      </c>
      <c r="Q201">
        <v>15.4</v>
      </c>
      <c r="R201" t="s">
        <v>208</v>
      </c>
      <c r="S201" t="s">
        <v>163</v>
      </c>
      <c r="T201" t="s">
        <v>164</v>
      </c>
      <c r="U201">
        <v>9</v>
      </c>
      <c r="V201">
        <v>1</v>
      </c>
      <c r="W201">
        <v>1917</v>
      </c>
      <c r="X201">
        <v>1652</v>
      </c>
      <c r="Y201">
        <v>422</v>
      </c>
      <c r="Z201">
        <v>3991</v>
      </c>
      <c r="AA201">
        <v>428</v>
      </c>
      <c r="AB201" t="s">
        <v>65</v>
      </c>
      <c r="AC201">
        <v>18.399999999999999</v>
      </c>
      <c r="AD201">
        <v>33</v>
      </c>
      <c r="AE201">
        <v>39</v>
      </c>
      <c r="AF201" t="s">
        <v>132</v>
      </c>
      <c r="AG201">
        <v>29</v>
      </c>
      <c r="AH201" t="s">
        <v>113</v>
      </c>
      <c r="AI201" t="s">
        <v>68</v>
      </c>
      <c r="AJ201" t="s">
        <v>188</v>
      </c>
      <c r="AK201" t="s">
        <v>70</v>
      </c>
      <c r="AL201" t="s">
        <v>70</v>
      </c>
      <c r="AM201" t="s">
        <v>71</v>
      </c>
      <c r="AN201" t="s">
        <v>72</v>
      </c>
      <c r="AO201" t="s">
        <v>73</v>
      </c>
      <c r="AP201" t="s">
        <v>116</v>
      </c>
      <c r="AQ201" t="s">
        <v>136</v>
      </c>
      <c r="AR201" s="1">
        <v>41744</v>
      </c>
      <c r="AS201" t="s">
        <v>198</v>
      </c>
      <c r="AT201" t="s">
        <v>71</v>
      </c>
      <c r="AU201">
        <v>286</v>
      </c>
      <c r="AV201" t="s">
        <v>76</v>
      </c>
    </row>
    <row r="202" spans="1:48" x14ac:dyDescent="0.25">
      <c r="A202" t="s">
        <v>488</v>
      </c>
      <c r="B202" t="s">
        <v>100</v>
      </c>
      <c r="C202" t="s">
        <v>140</v>
      </c>
      <c r="D202" t="s">
        <v>51</v>
      </c>
      <c r="E202">
        <v>26</v>
      </c>
      <c r="F202" t="s">
        <v>382</v>
      </c>
      <c r="G202" t="s">
        <v>301</v>
      </c>
      <c r="H202" t="s">
        <v>302</v>
      </c>
      <c r="I202" t="s">
        <v>144</v>
      </c>
      <c r="J202" t="s">
        <v>145</v>
      </c>
      <c r="K202" t="s">
        <v>146</v>
      </c>
      <c r="L202" t="s">
        <v>201</v>
      </c>
      <c r="M202" t="s">
        <v>147</v>
      </c>
      <c r="N202" t="s">
        <v>108</v>
      </c>
      <c r="O202" t="s">
        <v>109</v>
      </c>
      <c r="P202" s="1">
        <v>44663</v>
      </c>
      <c r="Q202">
        <v>2.1</v>
      </c>
      <c r="R202" t="s">
        <v>150</v>
      </c>
      <c r="S202" t="s">
        <v>219</v>
      </c>
      <c r="T202" t="s">
        <v>220</v>
      </c>
      <c r="U202">
        <v>0</v>
      </c>
      <c r="V202">
        <v>0</v>
      </c>
      <c r="W202">
        <v>4188</v>
      </c>
      <c r="X202">
        <v>0</v>
      </c>
      <c r="Y202">
        <v>266</v>
      </c>
      <c r="Z202">
        <v>4454</v>
      </c>
      <c r="AA202">
        <v>366</v>
      </c>
      <c r="AB202" t="s">
        <v>65</v>
      </c>
      <c r="AC202">
        <v>14.8</v>
      </c>
      <c r="AD202">
        <v>32</v>
      </c>
      <c r="AE202">
        <v>37</v>
      </c>
      <c r="AF202" t="s">
        <v>132</v>
      </c>
      <c r="AG202">
        <v>31</v>
      </c>
      <c r="AH202" t="s">
        <v>67</v>
      </c>
      <c r="AI202" t="s">
        <v>152</v>
      </c>
      <c r="AJ202" t="s">
        <v>96</v>
      </c>
      <c r="AK202" t="s">
        <v>70</v>
      </c>
      <c r="AL202" t="s">
        <v>71</v>
      </c>
      <c r="AM202" t="s">
        <v>70</v>
      </c>
      <c r="AN202" t="s">
        <v>72</v>
      </c>
      <c r="AO202" t="s">
        <v>178</v>
      </c>
      <c r="AP202" t="s">
        <v>72</v>
      </c>
      <c r="AQ202" t="s">
        <v>136</v>
      </c>
      <c r="AR202" s="1">
        <v>44669</v>
      </c>
      <c r="AS202" t="s">
        <v>198</v>
      </c>
      <c r="AT202" t="s">
        <v>71</v>
      </c>
      <c r="AU202">
        <v>1701</v>
      </c>
      <c r="AV202" t="s">
        <v>76</v>
      </c>
    </row>
    <row r="203" spans="1:48" x14ac:dyDescent="0.25">
      <c r="A203" t="s">
        <v>489</v>
      </c>
      <c r="B203" t="s">
        <v>346</v>
      </c>
      <c r="C203" t="s">
        <v>264</v>
      </c>
      <c r="D203" t="s">
        <v>51</v>
      </c>
      <c r="E203">
        <v>33</v>
      </c>
      <c r="F203" t="s">
        <v>241</v>
      </c>
      <c r="G203" t="s">
        <v>285</v>
      </c>
      <c r="H203" t="s">
        <v>286</v>
      </c>
      <c r="I203" t="s">
        <v>103</v>
      </c>
      <c r="J203" t="s">
        <v>104</v>
      </c>
      <c r="K203" t="s">
        <v>105</v>
      </c>
      <c r="L203" t="s">
        <v>174</v>
      </c>
      <c r="M203" t="s">
        <v>127</v>
      </c>
      <c r="N203" t="s">
        <v>108</v>
      </c>
      <c r="O203" t="s">
        <v>109</v>
      </c>
      <c r="P203" s="1">
        <v>43208</v>
      </c>
      <c r="Q203">
        <v>6.1</v>
      </c>
      <c r="R203" t="s">
        <v>90</v>
      </c>
      <c r="S203" t="s">
        <v>63</v>
      </c>
      <c r="T203" t="s">
        <v>64</v>
      </c>
      <c r="U203">
        <v>0</v>
      </c>
      <c r="V203">
        <v>0</v>
      </c>
      <c r="W203">
        <v>7668</v>
      </c>
      <c r="X203">
        <v>1467</v>
      </c>
      <c r="Y203">
        <v>266</v>
      </c>
      <c r="Z203">
        <v>9401</v>
      </c>
      <c r="AA203">
        <v>407</v>
      </c>
      <c r="AB203" t="s">
        <v>65</v>
      </c>
      <c r="AC203">
        <v>14.2</v>
      </c>
      <c r="AD203">
        <v>63</v>
      </c>
      <c r="AE203">
        <v>50</v>
      </c>
      <c r="AF203" t="s">
        <v>66</v>
      </c>
      <c r="AG203">
        <v>26</v>
      </c>
      <c r="AH203" t="s">
        <v>113</v>
      </c>
      <c r="AI203" t="s">
        <v>95</v>
      </c>
      <c r="AJ203" t="s">
        <v>188</v>
      </c>
      <c r="AK203" t="s">
        <v>70</v>
      </c>
      <c r="AL203" t="s">
        <v>71</v>
      </c>
      <c r="AM203" t="s">
        <v>71</v>
      </c>
      <c r="AN203" t="s">
        <v>202</v>
      </c>
      <c r="AO203" t="s">
        <v>73</v>
      </c>
      <c r="AP203" t="s">
        <v>72</v>
      </c>
      <c r="AQ203" t="s">
        <v>74</v>
      </c>
      <c r="AR203" s="1">
        <v>43986</v>
      </c>
      <c r="AS203" t="s">
        <v>137</v>
      </c>
      <c r="AT203" t="s">
        <v>71</v>
      </c>
      <c r="AU203">
        <v>1363</v>
      </c>
      <c r="AV203" t="s">
        <v>76</v>
      </c>
    </row>
    <row r="204" spans="1:48" x14ac:dyDescent="0.25">
      <c r="A204" t="s">
        <v>490</v>
      </c>
      <c r="B204" t="s">
        <v>282</v>
      </c>
      <c r="C204" t="s">
        <v>375</v>
      </c>
      <c r="D204" t="s">
        <v>51</v>
      </c>
      <c r="E204">
        <v>23</v>
      </c>
      <c r="F204" t="s">
        <v>241</v>
      </c>
      <c r="G204" t="s">
        <v>124</v>
      </c>
      <c r="H204" t="s">
        <v>125</v>
      </c>
      <c r="I204" t="s">
        <v>185</v>
      </c>
      <c r="J204" t="s">
        <v>186</v>
      </c>
      <c r="K204" t="s">
        <v>187</v>
      </c>
      <c r="L204" t="s">
        <v>106</v>
      </c>
      <c r="M204" t="s">
        <v>107</v>
      </c>
      <c r="N204" t="s">
        <v>265</v>
      </c>
      <c r="O204" t="s">
        <v>176</v>
      </c>
      <c r="P204" s="1">
        <v>40562</v>
      </c>
      <c r="Q204">
        <v>13.4</v>
      </c>
      <c r="R204" t="s">
        <v>62</v>
      </c>
      <c r="S204" t="s">
        <v>130</v>
      </c>
      <c r="T204" t="s">
        <v>131</v>
      </c>
      <c r="U204">
        <v>10</v>
      </c>
      <c r="V204">
        <v>1</v>
      </c>
      <c r="W204">
        <v>2730</v>
      </c>
      <c r="X204">
        <v>0</v>
      </c>
      <c r="Y204">
        <v>422</v>
      </c>
      <c r="Z204">
        <v>3152</v>
      </c>
      <c r="AA204">
        <v>359</v>
      </c>
      <c r="AB204" t="s">
        <v>151</v>
      </c>
      <c r="AC204">
        <v>18.399999999999999</v>
      </c>
      <c r="AD204">
        <v>23</v>
      </c>
      <c r="AE204">
        <v>47</v>
      </c>
      <c r="AF204" t="s">
        <v>66</v>
      </c>
      <c r="AG204">
        <v>30</v>
      </c>
      <c r="AH204" t="s">
        <v>67</v>
      </c>
      <c r="AI204" t="s">
        <v>152</v>
      </c>
      <c r="AJ204" t="s">
        <v>96</v>
      </c>
      <c r="AK204" t="s">
        <v>70</v>
      </c>
      <c r="AL204" t="s">
        <v>70</v>
      </c>
      <c r="AM204" t="s">
        <v>70</v>
      </c>
      <c r="AN204" t="s">
        <v>72</v>
      </c>
      <c r="AO204" t="s">
        <v>287</v>
      </c>
      <c r="AP204" t="s">
        <v>72</v>
      </c>
      <c r="AQ204" t="s">
        <v>117</v>
      </c>
      <c r="AR204" s="1">
        <v>44818</v>
      </c>
      <c r="AS204" t="s">
        <v>118</v>
      </c>
      <c r="AT204" t="s">
        <v>71</v>
      </c>
      <c r="AU204">
        <v>1503</v>
      </c>
      <c r="AV204" t="s">
        <v>76</v>
      </c>
    </row>
    <row r="205" spans="1:48" x14ac:dyDescent="0.25">
      <c r="A205" t="s">
        <v>491</v>
      </c>
      <c r="B205" t="s">
        <v>229</v>
      </c>
      <c r="C205" t="s">
        <v>167</v>
      </c>
      <c r="D205" t="s">
        <v>51</v>
      </c>
      <c r="E205">
        <v>33</v>
      </c>
      <c r="F205" t="s">
        <v>311</v>
      </c>
      <c r="G205" t="s">
        <v>242</v>
      </c>
      <c r="H205" t="s">
        <v>54</v>
      </c>
      <c r="I205" t="s">
        <v>268</v>
      </c>
      <c r="J205" t="s">
        <v>269</v>
      </c>
      <c r="K205" t="s">
        <v>173</v>
      </c>
      <c r="L205" t="s">
        <v>106</v>
      </c>
      <c r="M205" t="s">
        <v>212</v>
      </c>
      <c r="N205" t="s">
        <v>265</v>
      </c>
      <c r="O205" t="s">
        <v>149</v>
      </c>
      <c r="P205" s="1">
        <v>40383</v>
      </c>
      <c r="Q205">
        <v>13.9</v>
      </c>
      <c r="R205" t="s">
        <v>129</v>
      </c>
      <c r="S205" t="s">
        <v>110</v>
      </c>
      <c r="T205" t="s">
        <v>111</v>
      </c>
      <c r="U205">
        <v>13</v>
      </c>
      <c r="V205">
        <v>2</v>
      </c>
      <c r="W205">
        <v>4739</v>
      </c>
      <c r="X205">
        <v>0</v>
      </c>
      <c r="Y205">
        <v>422</v>
      </c>
      <c r="Z205">
        <v>5161</v>
      </c>
      <c r="AA205">
        <v>583</v>
      </c>
      <c r="AB205" t="s">
        <v>65</v>
      </c>
      <c r="AC205">
        <v>20.100000000000001</v>
      </c>
      <c r="AD205">
        <v>57</v>
      </c>
      <c r="AE205">
        <v>39</v>
      </c>
      <c r="AF205" t="s">
        <v>66</v>
      </c>
      <c r="AG205">
        <v>29</v>
      </c>
      <c r="AH205" t="s">
        <v>113</v>
      </c>
      <c r="AI205" t="s">
        <v>95</v>
      </c>
      <c r="AJ205" t="s">
        <v>72</v>
      </c>
      <c r="AK205" t="s">
        <v>70</v>
      </c>
      <c r="AL205" t="s">
        <v>70</v>
      </c>
      <c r="AM205" t="s">
        <v>70</v>
      </c>
      <c r="AN205" t="s">
        <v>72</v>
      </c>
      <c r="AO205" t="s">
        <v>135</v>
      </c>
      <c r="AP205" t="s">
        <v>72</v>
      </c>
      <c r="AQ205" t="s">
        <v>74</v>
      </c>
      <c r="AR205" s="1">
        <v>44754</v>
      </c>
      <c r="AS205" t="s">
        <v>198</v>
      </c>
      <c r="AT205" t="s">
        <v>71</v>
      </c>
      <c r="AU205">
        <v>-450</v>
      </c>
      <c r="AV205" t="s">
        <v>179</v>
      </c>
    </row>
    <row r="206" spans="1:48" x14ac:dyDescent="0.25">
      <c r="A206" t="s">
        <v>492</v>
      </c>
      <c r="B206" t="s">
        <v>377</v>
      </c>
      <c r="C206" t="s">
        <v>353</v>
      </c>
      <c r="D206" t="s">
        <v>122</v>
      </c>
      <c r="E206">
        <v>45</v>
      </c>
      <c r="F206" t="s">
        <v>325</v>
      </c>
      <c r="G206" t="s">
        <v>301</v>
      </c>
      <c r="H206" t="s">
        <v>302</v>
      </c>
      <c r="I206" t="s">
        <v>217</v>
      </c>
      <c r="J206" t="s">
        <v>218</v>
      </c>
      <c r="K206" t="s">
        <v>146</v>
      </c>
      <c r="L206" t="s">
        <v>58</v>
      </c>
      <c r="M206" t="s">
        <v>175</v>
      </c>
      <c r="N206" t="s">
        <v>60</v>
      </c>
      <c r="O206" t="s">
        <v>89</v>
      </c>
      <c r="P206" s="1">
        <v>42283</v>
      </c>
      <c r="Q206">
        <v>8.6999999999999993</v>
      </c>
      <c r="R206" t="s">
        <v>62</v>
      </c>
      <c r="S206" t="s">
        <v>219</v>
      </c>
      <c r="T206" t="s">
        <v>220</v>
      </c>
      <c r="U206">
        <v>0</v>
      </c>
      <c r="V206">
        <v>0</v>
      </c>
      <c r="W206">
        <v>4188</v>
      </c>
      <c r="X206">
        <v>0</v>
      </c>
      <c r="Y206">
        <v>266</v>
      </c>
      <c r="Z206">
        <v>4454</v>
      </c>
      <c r="AA206">
        <v>588</v>
      </c>
      <c r="AB206" t="s">
        <v>65</v>
      </c>
      <c r="AC206">
        <v>18.5</v>
      </c>
      <c r="AD206">
        <v>74</v>
      </c>
      <c r="AE206">
        <v>66</v>
      </c>
      <c r="AF206" t="s">
        <v>66</v>
      </c>
      <c r="AG206">
        <v>30</v>
      </c>
      <c r="AH206" t="s">
        <v>67</v>
      </c>
      <c r="AI206" t="s">
        <v>95</v>
      </c>
      <c r="AJ206" t="s">
        <v>96</v>
      </c>
      <c r="AK206" t="s">
        <v>70</v>
      </c>
      <c r="AL206" t="s">
        <v>70</v>
      </c>
      <c r="AM206" t="s">
        <v>71</v>
      </c>
      <c r="AN206" t="s">
        <v>243</v>
      </c>
      <c r="AO206" t="s">
        <v>287</v>
      </c>
      <c r="AP206" t="s">
        <v>72</v>
      </c>
      <c r="AQ206" t="s">
        <v>74</v>
      </c>
      <c r="AR206" s="1">
        <v>43749</v>
      </c>
      <c r="AS206" t="s">
        <v>75</v>
      </c>
      <c r="AT206" t="s">
        <v>71</v>
      </c>
      <c r="AU206">
        <v>605</v>
      </c>
      <c r="AV206" t="s">
        <v>76</v>
      </c>
    </row>
    <row r="207" spans="1:48" x14ac:dyDescent="0.25">
      <c r="A207" t="s">
        <v>493</v>
      </c>
      <c r="B207" t="s">
        <v>100</v>
      </c>
      <c r="C207" t="s">
        <v>79</v>
      </c>
      <c r="D207" t="s">
        <v>51</v>
      </c>
      <c r="E207">
        <v>45</v>
      </c>
      <c r="F207" t="s">
        <v>211</v>
      </c>
      <c r="G207" t="s">
        <v>215</v>
      </c>
      <c r="H207" t="s">
        <v>216</v>
      </c>
      <c r="I207" t="s">
        <v>260</v>
      </c>
      <c r="J207" t="s">
        <v>261</v>
      </c>
      <c r="K207" t="s">
        <v>173</v>
      </c>
      <c r="L207" t="s">
        <v>174</v>
      </c>
      <c r="M207" t="s">
        <v>147</v>
      </c>
      <c r="N207" t="s">
        <v>265</v>
      </c>
      <c r="O207" t="s">
        <v>176</v>
      </c>
      <c r="P207" s="1">
        <v>38775</v>
      </c>
      <c r="Q207">
        <v>18.3</v>
      </c>
      <c r="R207" t="s">
        <v>62</v>
      </c>
      <c r="S207" t="s">
        <v>163</v>
      </c>
      <c r="T207" t="s">
        <v>164</v>
      </c>
      <c r="U207">
        <v>12</v>
      </c>
      <c r="V207">
        <v>2</v>
      </c>
      <c r="W207">
        <v>3637</v>
      </c>
      <c r="X207">
        <v>1548</v>
      </c>
      <c r="Y207">
        <v>266</v>
      </c>
      <c r="Z207">
        <v>5451</v>
      </c>
      <c r="AA207">
        <v>379</v>
      </c>
      <c r="AB207" t="s">
        <v>65</v>
      </c>
      <c r="AC207">
        <v>17.8</v>
      </c>
      <c r="AD207">
        <v>43</v>
      </c>
      <c r="AE207">
        <v>53</v>
      </c>
      <c r="AF207" t="s">
        <v>66</v>
      </c>
      <c r="AG207">
        <v>33</v>
      </c>
      <c r="AH207" t="s">
        <v>67</v>
      </c>
      <c r="AI207" t="s">
        <v>114</v>
      </c>
      <c r="AJ207" t="s">
        <v>72</v>
      </c>
      <c r="AK207" t="s">
        <v>70</v>
      </c>
      <c r="AL207" t="s">
        <v>70</v>
      </c>
      <c r="AM207" t="s">
        <v>70</v>
      </c>
      <c r="AN207" t="s">
        <v>72</v>
      </c>
      <c r="AO207" t="s">
        <v>72</v>
      </c>
      <c r="AP207" t="s">
        <v>178</v>
      </c>
      <c r="AQ207" t="s">
        <v>117</v>
      </c>
      <c r="AR207" s="1">
        <v>40908</v>
      </c>
      <c r="AS207" t="s">
        <v>75</v>
      </c>
      <c r="AT207" t="s">
        <v>71</v>
      </c>
      <c r="AU207">
        <v>1562</v>
      </c>
      <c r="AV207" t="s">
        <v>76</v>
      </c>
    </row>
    <row r="208" spans="1:48" x14ac:dyDescent="0.25">
      <c r="A208" t="s">
        <v>494</v>
      </c>
      <c r="B208" t="s">
        <v>205</v>
      </c>
      <c r="C208" t="s">
        <v>206</v>
      </c>
      <c r="D208" t="s">
        <v>122</v>
      </c>
      <c r="E208">
        <v>23</v>
      </c>
      <c r="F208" t="s">
        <v>224</v>
      </c>
      <c r="G208" t="s">
        <v>193</v>
      </c>
      <c r="H208" t="s">
        <v>194</v>
      </c>
      <c r="I208" t="s">
        <v>83</v>
      </c>
      <c r="J208" t="s">
        <v>84</v>
      </c>
      <c r="K208" t="s">
        <v>85</v>
      </c>
      <c r="L208" t="s">
        <v>86</v>
      </c>
      <c r="M208" t="s">
        <v>249</v>
      </c>
      <c r="N208" t="s">
        <v>162</v>
      </c>
      <c r="O208" t="s">
        <v>61</v>
      </c>
      <c r="P208" s="1">
        <v>42667</v>
      </c>
      <c r="Q208">
        <v>7.6</v>
      </c>
      <c r="R208" t="s">
        <v>62</v>
      </c>
      <c r="S208" t="s">
        <v>196</v>
      </c>
      <c r="T208" t="s">
        <v>197</v>
      </c>
      <c r="U208">
        <v>0</v>
      </c>
      <c r="V208">
        <v>0</v>
      </c>
      <c r="W208">
        <v>2259</v>
      </c>
      <c r="X208">
        <v>1051</v>
      </c>
      <c r="Y208">
        <v>422</v>
      </c>
      <c r="Z208">
        <v>3732</v>
      </c>
      <c r="AA208">
        <v>439</v>
      </c>
      <c r="AB208" t="s">
        <v>65</v>
      </c>
      <c r="AC208">
        <v>18.5</v>
      </c>
      <c r="AD208">
        <v>63</v>
      </c>
      <c r="AE208">
        <v>64</v>
      </c>
      <c r="AF208" t="s">
        <v>132</v>
      </c>
      <c r="AG208">
        <v>35</v>
      </c>
      <c r="AH208" t="s">
        <v>67</v>
      </c>
      <c r="AI208" t="s">
        <v>177</v>
      </c>
      <c r="AJ208" t="s">
        <v>69</v>
      </c>
      <c r="AK208" t="s">
        <v>71</v>
      </c>
      <c r="AL208" t="s">
        <v>71</v>
      </c>
      <c r="AM208" t="s">
        <v>70</v>
      </c>
      <c r="AN208" t="s">
        <v>72</v>
      </c>
      <c r="AO208" t="s">
        <v>221</v>
      </c>
      <c r="AP208" t="s">
        <v>72</v>
      </c>
      <c r="AQ208" t="s">
        <v>136</v>
      </c>
      <c r="AR208" s="1">
        <v>42828</v>
      </c>
      <c r="AS208" t="s">
        <v>137</v>
      </c>
      <c r="AT208" t="s">
        <v>71</v>
      </c>
      <c r="AU208">
        <v>106</v>
      </c>
      <c r="AV208" t="s">
        <v>179</v>
      </c>
    </row>
    <row r="209" spans="1:48" x14ac:dyDescent="0.25">
      <c r="A209" t="s">
        <v>495</v>
      </c>
      <c r="B209" t="s">
        <v>263</v>
      </c>
      <c r="C209" t="s">
        <v>334</v>
      </c>
      <c r="D209" t="s">
        <v>122</v>
      </c>
      <c r="E209">
        <v>22</v>
      </c>
      <c r="F209" t="s">
        <v>224</v>
      </c>
      <c r="G209" t="s">
        <v>234</v>
      </c>
      <c r="H209" t="s">
        <v>235</v>
      </c>
      <c r="I209" t="s">
        <v>217</v>
      </c>
      <c r="J209" t="s">
        <v>218</v>
      </c>
      <c r="K209" t="s">
        <v>146</v>
      </c>
      <c r="L209" t="s">
        <v>126</v>
      </c>
      <c r="M209" t="s">
        <v>175</v>
      </c>
      <c r="N209" t="s">
        <v>148</v>
      </c>
      <c r="O209" t="s">
        <v>149</v>
      </c>
      <c r="P209" s="1">
        <v>42235</v>
      </c>
      <c r="Q209">
        <v>8.8000000000000007</v>
      </c>
      <c r="R209" t="s">
        <v>75</v>
      </c>
      <c r="S209" t="s">
        <v>110</v>
      </c>
      <c r="T209" t="s">
        <v>111</v>
      </c>
      <c r="U209">
        <v>13</v>
      </c>
      <c r="V209">
        <v>2</v>
      </c>
      <c r="W209">
        <v>1917</v>
      </c>
      <c r="X209">
        <v>0</v>
      </c>
      <c r="Y209">
        <v>422</v>
      </c>
      <c r="Z209">
        <v>2339</v>
      </c>
      <c r="AA209">
        <v>408</v>
      </c>
      <c r="AB209" t="s">
        <v>65</v>
      </c>
      <c r="AC209">
        <v>15</v>
      </c>
      <c r="AD209">
        <v>24</v>
      </c>
      <c r="AE209">
        <v>31</v>
      </c>
      <c r="AF209" t="s">
        <v>112</v>
      </c>
      <c r="AG209">
        <v>29</v>
      </c>
      <c r="AH209" t="s">
        <v>113</v>
      </c>
      <c r="AI209" t="s">
        <v>114</v>
      </c>
      <c r="AJ209" t="s">
        <v>69</v>
      </c>
      <c r="AK209" t="s">
        <v>70</v>
      </c>
      <c r="AL209" t="s">
        <v>70</v>
      </c>
      <c r="AM209" t="s">
        <v>70</v>
      </c>
      <c r="AN209" t="s">
        <v>72</v>
      </c>
      <c r="AO209" t="s">
        <v>116</v>
      </c>
      <c r="AP209" t="s">
        <v>72</v>
      </c>
      <c r="AQ209" t="s">
        <v>117</v>
      </c>
      <c r="AR209" s="1">
        <v>43528</v>
      </c>
      <c r="AS209" t="s">
        <v>75</v>
      </c>
      <c r="AT209" t="s">
        <v>71</v>
      </c>
      <c r="AU209">
        <v>680</v>
      </c>
      <c r="AV209" t="s">
        <v>76</v>
      </c>
    </row>
    <row r="210" spans="1:48" x14ac:dyDescent="0.25">
      <c r="A210" t="s">
        <v>496</v>
      </c>
      <c r="B210" t="s">
        <v>282</v>
      </c>
      <c r="C210" t="s">
        <v>233</v>
      </c>
      <c r="D210" t="s">
        <v>51</v>
      </c>
      <c r="E210">
        <v>29</v>
      </c>
      <c r="F210" t="s">
        <v>278</v>
      </c>
      <c r="G210" t="s">
        <v>142</v>
      </c>
      <c r="H210" t="s">
        <v>143</v>
      </c>
      <c r="I210" t="s">
        <v>185</v>
      </c>
      <c r="J210" t="s">
        <v>186</v>
      </c>
      <c r="K210" t="s">
        <v>187</v>
      </c>
      <c r="L210" t="s">
        <v>58</v>
      </c>
      <c r="M210" t="s">
        <v>87</v>
      </c>
      <c r="N210" t="s">
        <v>108</v>
      </c>
      <c r="O210" t="s">
        <v>61</v>
      </c>
      <c r="P210" s="1">
        <v>40689</v>
      </c>
      <c r="Q210">
        <v>13</v>
      </c>
      <c r="R210" t="s">
        <v>208</v>
      </c>
      <c r="S210" t="s">
        <v>130</v>
      </c>
      <c r="T210" t="s">
        <v>131</v>
      </c>
      <c r="U210">
        <v>5</v>
      </c>
      <c r="V210">
        <v>0</v>
      </c>
      <c r="W210">
        <v>5473</v>
      </c>
      <c r="X210">
        <v>0</v>
      </c>
      <c r="Y210">
        <v>422</v>
      </c>
      <c r="Z210">
        <v>5895</v>
      </c>
      <c r="AA210">
        <v>452</v>
      </c>
      <c r="AB210" t="s">
        <v>65</v>
      </c>
      <c r="AC210">
        <v>13.9</v>
      </c>
      <c r="AD210">
        <v>27</v>
      </c>
      <c r="AE210">
        <v>32</v>
      </c>
      <c r="AF210" t="s">
        <v>93</v>
      </c>
      <c r="AG210">
        <v>30</v>
      </c>
      <c r="AH210" t="s">
        <v>67</v>
      </c>
      <c r="AI210" t="s">
        <v>152</v>
      </c>
      <c r="AJ210" t="s">
        <v>72</v>
      </c>
      <c r="AK210" t="s">
        <v>70</v>
      </c>
      <c r="AL210" t="s">
        <v>70</v>
      </c>
      <c r="AM210" t="s">
        <v>70</v>
      </c>
      <c r="AN210" t="s">
        <v>270</v>
      </c>
      <c r="AO210" t="s">
        <v>134</v>
      </c>
      <c r="AP210" t="s">
        <v>72</v>
      </c>
      <c r="AQ210" t="s">
        <v>98</v>
      </c>
      <c r="AR210" s="1">
        <v>40748</v>
      </c>
      <c r="AS210" t="s">
        <v>118</v>
      </c>
      <c r="AT210" t="s">
        <v>71</v>
      </c>
      <c r="AU210">
        <v>1157</v>
      </c>
      <c r="AV210" t="s">
        <v>76</v>
      </c>
    </row>
    <row r="211" spans="1:48" x14ac:dyDescent="0.25">
      <c r="A211" t="s">
        <v>497</v>
      </c>
      <c r="B211" t="s">
        <v>377</v>
      </c>
      <c r="C211" t="s">
        <v>394</v>
      </c>
      <c r="D211" t="s">
        <v>122</v>
      </c>
      <c r="E211">
        <v>30</v>
      </c>
      <c r="F211" t="s">
        <v>305</v>
      </c>
      <c r="G211" t="s">
        <v>279</v>
      </c>
      <c r="H211" t="s">
        <v>280</v>
      </c>
      <c r="I211" t="s">
        <v>236</v>
      </c>
      <c r="J211" t="s">
        <v>237</v>
      </c>
      <c r="K211" t="s">
        <v>238</v>
      </c>
      <c r="L211" t="s">
        <v>86</v>
      </c>
      <c r="M211" t="s">
        <v>275</v>
      </c>
      <c r="N211" t="s">
        <v>60</v>
      </c>
      <c r="O211" t="s">
        <v>61</v>
      </c>
      <c r="P211" s="1">
        <v>42509</v>
      </c>
      <c r="Q211">
        <v>8</v>
      </c>
      <c r="R211" t="s">
        <v>150</v>
      </c>
      <c r="S211" t="s">
        <v>110</v>
      </c>
      <c r="T211" t="s">
        <v>111</v>
      </c>
      <c r="U211">
        <v>9</v>
      </c>
      <c r="V211">
        <v>1</v>
      </c>
      <c r="W211">
        <v>6618</v>
      </c>
      <c r="X211">
        <v>1770</v>
      </c>
      <c r="Y211">
        <v>266</v>
      </c>
      <c r="Z211">
        <v>8654</v>
      </c>
      <c r="AA211">
        <v>365</v>
      </c>
      <c r="AB211" t="s">
        <v>65</v>
      </c>
      <c r="AC211">
        <v>20.7</v>
      </c>
      <c r="AD211">
        <v>68</v>
      </c>
      <c r="AE211">
        <v>66</v>
      </c>
      <c r="AF211" t="s">
        <v>132</v>
      </c>
      <c r="AG211">
        <v>26</v>
      </c>
      <c r="AH211" t="s">
        <v>113</v>
      </c>
      <c r="AI211" t="s">
        <v>114</v>
      </c>
      <c r="AJ211" t="s">
        <v>188</v>
      </c>
      <c r="AK211" t="s">
        <v>71</v>
      </c>
      <c r="AL211" t="s">
        <v>70</v>
      </c>
      <c r="AM211" t="s">
        <v>71</v>
      </c>
      <c r="AN211" t="s">
        <v>72</v>
      </c>
      <c r="AO211" t="s">
        <v>72</v>
      </c>
      <c r="AP211" t="s">
        <v>72</v>
      </c>
      <c r="AQ211" t="s">
        <v>74</v>
      </c>
      <c r="AR211" s="1">
        <v>43706</v>
      </c>
      <c r="AS211" t="s">
        <v>198</v>
      </c>
      <c r="AT211" t="s">
        <v>71</v>
      </c>
      <c r="AU211">
        <v>-275</v>
      </c>
      <c r="AV211" t="s">
        <v>179</v>
      </c>
    </row>
    <row r="212" spans="1:48" x14ac:dyDescent="0.25">
      <c r="A212" t="s">
        <v>498</v>
      </c>
      <c r="B212" t="s">
        <v>49</v>
      </c>
      <c r="C212" t="s">
        <v>182</v>
      </c>
      <c r="D212" t="s">
        <v>51</v>
      </c>
      <c r="E212">
        <v>29</v>
      </c>
      <c r="F212" t="s">
        <v>248</v>
      </c>
      <c r="G212" t="s">
        <v>169</v>
      </c>
      <c r="H212" t="s">
        <v>170</v>
      </c>
      <c r="I212" t="s">
        <v>268</v>
      </c>
      <c r="J212" t="s">
        <v>269</v>
      </c>
      <c r="K212" t="s">
        <v>173</v>
      </c>
      <c r="L212" t="s">
        <v>174</v>
      </c>
      <c r="M212" t="s">
        <v>147</v>
      </c>
      <c r="N212" t="s">
        <v>128</v>
      </c>
      <c r="O212" t="s">
        <v>109</v>
      </c>
      <c r="P212" s="1">
        <v>43899</v>
      </c>
      <c r="Q212">
        <v>4.2</v>
      </c>
      <c r="R212" t="s">
        <v>195</v>
      </c>
      <c r="S212" t="s">
        <v>219</v>
      </c>
      <c r="T212" t="s">
        <v>220</v>
      </c>
      <c r="U212">
        <v>0</v>
      </c>
      <c r="V212">
        <v>0</v>
      </c>
      <c r="W212">
        <v>3294</v>
      </c>
      <c r="X212">
        <v>978</v>
      </c>
      <c r="Y212">
        <v>422</v>
      </c>
      <c r="Z212">
        <v>4694</v>
      </c>
      <c r="AA212">
        <v>599</v>
      </c>
      <c r="AB212" t="s">
        <v>65</v>
      </c>
      <c r="AC212">
        <v>14.2</v>
      </c>
      <c r="AD212">
        <v>40</v>
      </c>
      <c r="AE212">
        <v>68</v>
      </c>
      <c r="AF212" t="s">
        <v>66</v>
      </c>
      <c r="AG212">
        <v>37</v>
      </c>
      <c r="AH212" t="s">
        <v>94</v>
      </c>
      <c r="AI212" t="s">
        <v>68</v>
      </c>
      <c r="AJ212" t="s">
        <v>69</v>
      </c>
      <c r="AK212" t="s">
        <v>70</v>
      </c>
      <c r="AL212" t="s">
        <v>71</v>
      </c>
      <c r="AM212" t="s">
        <v>70</v>
      </c>
      <c r="AN212" t="s">
        <v>270</v>
      </c>
      <c r="AO212" t="s">
        <v>221</v>
      </c>
      <c r="AP212" t="s">
        <v>72</v>
      </c>
      <c r="AQ212" t="s">
        <v>74</v>
      </c>
      <c r="AR212" s="1">
        <v>44272</v>
      </c>
      <c r="AS212" t="s">
        <v>198</v>
      </c>
      <c r="AT212" t="s">
        <v>71</v>
      </c>
      <c r="AU212">
        <v>1319</v>
      </c>
      <c r="AV212" t="s">
        <v>76</v>
      </c>
    </row>
    <row r="213" spans="1:48" x14ac:dyDescent="0.25">
      <c r="A213" t="s">
        <v>499</v>
      </c>
      <c r="B213" t="s">
        <v>229</v>
      </c>
      <c r="C213" t="s">
        <v>394</v>
      </c>
      <c r="D213" t="s">
        <v>122</v>
      </c>
      <c r="E213">
        <v>32</v>
      </c>
      <c r="F213" t="s">
        <v>241</v>
      </c>
      <c r="G213" t="s">
        <v>142</v>
      </c>
      <c r="H213" t="s">
        <v>143</v>
      </c>
      <c r="I213" t="s">
        <v>273</v>
      </c>
      <c r="J213" t="s">
        <v>274</v>
      </c>
      <c r="K213" t="s">
        <v>57</v>
      </c>
      <c r="L213" t="s">
        <v>106</v>
      </c>
      <c r="M213" t="s">
        <v>212</v>
      </c>
      <c r="N213" t="s">
        <v>265</v>
      </c>
      <c r="O213" t="s">
        <v>109</v>
      </c>
      <c r="P213" s="1">
        <v>39496</v>
      </c>
      <c r="Q213">
        <v>16.3</v>
      </c>
      <c r="R213" t="s">
        <v>75</v>
      </c>
      <c r="S213" t="s">
        <v>196</v>
      </c>
      <c r="T213" t="s">
        <v>197</v>
      </c>
      <c r="U213">
        <v>0</v>
      </c>
      <c r="V213">
        <v>0</v>
      </c>
      <c r="W213">
        <v>5473</v>
      </c>
      <c r="X213">
        <v>0</v>
      </c>
      <c r="Y213">
        <v>422</v>
      </c>
      <c r="Z213">
        <v>5895</v>
      </c>
      <c r="AA213">
        <v>558</v>
      </c>
      <c r="AB213" t="s">
        <v>65</v>
      </c>
      <c r="AC213">
        <v>13.7</v>
      </c>
      <c r="AD213">
        <v>39</v>
      </c>
      <c r="AE213">
        <v>60</v>
      </c>
      <c r="AF213" t="s">
        <v>112</v>
      </c>
      <c r="AG213">
        <v>18</v>
      </c>
      <c r="AH213" t="s">
        <v>113</v>
      </c>
      <c r="AI213" t="s">
        <v>114</v>
      </c>
      <c r="AJ213" t="s">
        <v>96</v>
      </c>
      <c r="AK213" t="s">
        <v>70</v>
      </c>
      <c r="AL213" t="s">
        <v>71</v>
      </c>
      <c r="AM213" t="s">
        <v>70</v>
      </c>
      <c r="AN213" t="s">
        <v>72</v>
      </c>
      <c r="AO213" t="s">
        <v>116</v>
      </c>
      <c r="AP213" t="s">
        <v>97</v>
      </c>
      <c r="AQ213" t="s">
        <v>136</v>
      </c>
      <c r="AR213" s="1">
        <v>42575</v>
      </c>
      <c r="AS213" t="s">
        <v>118</v>
      </c>
      <c r="AT213" t="s">
        <v>71</v>
      </c>
      <c r="AU213">
        <v>685</v>
      </c>
      <c r="AV213" t="s">
        <v>76</v>
      </c>
    </row>
    <row r="214" spans="1:48" x14ac:dyDescent="0.25">
      <c r="A214" t="s">
        <v>500</v>
      </c>
      <c r="B214" t="s">
        <v>154</v>
      </c>
      <c r="C214" t="s">
        <v>501</v>
      </c>
      <c r="D214" t="s">
        <v>122</v>
      </c>
      <c r="E214">
        <v>33</v>
      </c>
      <c r="F214" t="s">
        <v>325</v>
      </c>
      <c r="G214" t="s">
        <v>142</v>
      </c>
      <c r="H214" t="s">
        <v>143</v>
      </c>
      <c r="I214" t="s">
        <v>185</v>
      </c>
      <c r="J214" t="s">
        <v>186</v>
      </c>
      <c r="K214" t="s">
        <v>187</v>
      </c>
      <c r="L214" t="s">
        <v>201</v>
      </c>
      <c r="M214" t="s">
        <v>59</v>
      </c>
      <c r="N214" t="s">
        <v>162</v>
      </c>
      <c r="O214" t="s">
        <v>149</v>
      </c>
      <c r="P214" s="1">
        <v>38572</v>
      </c>
      <c r="Q214">
        <v>18.8</v>
      </c>
      <c r="R214" t="s">
        <v>75</v>
      </c>
      <c r="S214" t="s">
        <v>196</v>
      </c>
      <c r="T214" t="s">
        <v>197</v>
      </c>
      <c r="U214">
        <v>0</v>
      </c>
      <c r="V214">
        <v>0</v>
      </c>
      <c r="W214">
        <v>5473</v>
      </c>
      <c r="X214">
        <v>0</v>
      </c>
      <c r="Y214">
        <v>422</v>
      </c>
      <c r="Z214">
        <v>5895</v>
      </c>
      <c r="AA214">
        <v>531</v>
      </c>
      <c r="AB214" t="s">
        <v>65</v>
      </c>
      <c r="AC214">
        <v>14.7</v>
      </c>
      <c r="AD214">
        <v>81</v>
      </c>
      <c r="AE214">
        <v>70</v>
      </c>
      <c r="AF214" t="s">
        <v>66</v>
      </c>
      <c r="AG214">
        <v>36</v>
      </c>
      <c r="AH214" t="s">
        <v>94</v>
      </c>
      <c r="AI214" t="s">
        <v>152</v>
      </c>
      <c r="AJ214" t="s">
        <v>188</v>
      </c>
      <c r="AK214" t="s">
        <v>71</v>
      </c>
      <c r="AL214" t="s">
        <v>71</v>
      </c>
      <c r="AM214" t="s">
        <v>70</v>
      </c>
      <c r="AN214" t="s">
        <v>115</v>
      </c>
      <c r="AO214" t="s">
        <v>72</v>
      </c>
      <c r="AP214" t="s">
        <v>227</v>
      </c>
      <c r="AQ214" t="s">
        <v>98</v>
      </c>
      <c r="AR214" s="1">
        <v>41925</v>
      </c>
      <c r="AS214" t="s">
        <v>75</v>
      </c>
      <c r="AT214" t="s">
        <v>71</v>
      </c>
      <c r="AU214">
        <v>556</v>
      </c>
      <c r="AV214" t="s">
        <v>76</v>
      </c>
    </row>
    <row r="215" spans="1:48" x14ac:dyDescent="0.25">
      <c r="A215" t="s">
        <v>502</v>
      </c>
      <c r="B215" t="s">
        <v>277</v>
      </c>
      <c r="C215" t="s">
        <v>396</v>
      </c>
      <c r="D215" t="s">
        <v>122</v>
      </c>
      <c r="E215">
        <v>34</v>
      </c>
      <c r="F215" t="s">
        <v>325</v>
      </c>
      <c r="G215" t="s">
        <v>301</v>
      </c>
      <c r="H215" t="s">
        <v>302</v>
      </c>
      <c r="I215" t="s">
        <v>103</v>
      </c>
      <c r="J215" t="s">
        <v>104</v>
      </c>
      <c r="K215" t="s">
        <v>105</v>
      </c>
      <c r="L215" t="s">
        <v>106</v>
      </c>
      <c r="M215" t="s">
        <v>87</v>
      </c>
      <c r="N215" t="s">
        <v>60</v>
      </c>
      <c r="O215" t="s">
        <v>176</v>
      </c>
      <c r="P215" s="1">
        <v>39687</v>
      </c>
      <c r="Q215">
        <v>15.8</v>
      </c>
      <c r="R215" t="s">
        <v>129</v>
      </c>
      <c r="S215" t="s">
        <v>63</v>
      </c>
      <c r="T215" t="s">
        <v>64</v>
      </c>
      <c r="U215">
        <v>0</v>
      </c>
      <c r="V215">
        <v>0</v>
      </c>
      <c r="W215">
        <v>4188</v>
      </c>
      <c r="X215">
        <v>0</v>
      </c>
      <c r="Y215">
        <v>266</v>
      </c>
      <c r="Z215">
        <v>4454</v>
      </c>
      <c r="AA215">
        <v>359</v>
      </c>
      <c r="AB215" t="s">
        <v>151</v>
      </c>
      <c r="AC215">
        <v>15.2</v>
      </c>
      <c r="AD215">
        <v>76</v>
      </c>
      <c r="AE215">
        <v>74</v>
      </c>
      <c r="AF215" t="s">
        <v>112</v>
      </c>
      <c r="AG215">
        <v>21</v>
      </c>
      <c r="AH215" t="s">
        <v>113</v>
      </c>
      <c r="AI215" t="s">
        <v>152</v>
      </c>
      <c r="AJ215" t="s">
        <v>96</v>
      </c>
      <c r="AK215" t="s">
        <v>71</v>
      </c>
      <c r="AL215" t="s">
        <v>70</v>
      </c>
      <c r="AM215" t="s">
        <v>70</v>
      </c>
      <c r="AN215" t="s">
        <v>202</v>
      </c>
      <c r="AO215" t="s">
        <v>135</v>
      </c>
      <c r="AP215" t="s">
        <v>72</v>
      </c>
      <c r="AQ215" t="s">
        <v>74</v>
      </c>
      <c r="AR215" s="1">
        <v>40222</v>
      </c>
      <c r="AS215" t="s">
        <v>118</v>
      </c>
      <c r="AT215" t="s">
        <v>71</v>
      </c>
      <c r="AU215">
        <v>184</v>
      </c>
      <c r="AV215" t="s">
        <v>76</v>
      </c>
    </row>
    <row r="216" spans="1:48" x14ac:dyDescent="0.25">
      <c r="A216" t="s">
        <v>503</v>
      </c>
      <c r="B216" t="s">
        <v>210</v>
      </c>
      <c r="C216" t="s">
        <v>360</v>
      </c>
      <c r="D216" t="s">
        <v>51</v>
      </c>
      <c r="E216">
        <v>25</v>
      </c>
      <c r="F216" t="s">
        <v>211</v>
      </c>
      <c r="G216" t="s">
        <v>142</v>
      </c>
      <c r="H216" t="s">
        <v>143</v>
      </c>
      <c r="I216" t="s">
        <v>217</v>
      </c>
      <c r="J216" t="s">
        <v>218</v>
      </c>
      <c r="K216" t="s">
        <v>146</v>
      </c>
      <c r="L216" t="s">
        <v>106</v>
      </c>
      <c r="M216" t="s">
        <v>59</v>
      </c>
      <c r="N216" t="s">
        <v>265</v>
      </c>
      <c r="O216" t="s">
        <v>176</v>
      </c>
      <c r="P216" s="1">
        <v>39138</v>
      </c>
      <c r="Q216">
        <v>17.3</v>
      </c>
      <c r="R216" t="s">
        <v>62</v>
      </c>
      <c r="S216" t="s">
        <v>63</v>
      </c>
      <c r="T216" t="s">
        <v>64</v>
      </c>
      <c r="U216">
        <v>0</v>
      </c>
      <c r="V216">
        <v>0</v>
      </c>
      <c r="W216">
        <v>5473</v>
      </c>
      <c r="X216">
        <v>1987</v>
      </c>
      <c r="Y216">
        <v>422</v>
      </c>
      <c r="Z216">
        <v>7882</v>
      </c>
      <c r="AA216">
        <v>555</v>
      </c>
      <c r="AB216" t="s">
        <v>65</v>
      </c>
      <c r="AC216">
        <v>19.5</v>
      </c>
      <c r="AD216">
        <v>20</v>
      </c>
      <c r="AE216">
        <v>38</v>
      </c>
      <c r="AF216" t="s">
        <v>112</v>
      </c>
      <c r="AG216">
        <v>27</v>
      </c>
      <c r="AH216" t="s">
        <v>113</v>
      </c>
      <c r="AI216" t="s">
        <v>152</v>
      </c>
      <c r="AJ216" t="s">
        <v>72</v>
      </c>
      <c r="AK216" t="s">
        <v>70</v>
      </c>
      <c r="AL216" t="s">
        <v>71</v>
      </c>
      <c r="AM216" t="s">
        <v>70</v>
      </c>
      <c r="AN216" t="s">
        <v>270</v>
      </c>
      <c r="AO216" t="s">
        <v>72</v>
      </c>
      <c r="AP216" t="s">
        <v>72</v>
      </c>
      <c r="AQ216" t="s">
        <v>117</v>
      </c>
      <c r="AR216" s="1">
        <v>40037</v>
      </c>
      <c r="AS216" t="s">
        <v>137</v>
      </c>
      <c r="AT216" t="s">
        <v>71</v>
      </c>
      <c r="AU216">
        <v>37</v>
      </c>
      <c r="AV216" t="s">
        <v>179</v>
      </c>
    </row>
    <row r="217" spans="1:48" x14ac:dyDescent="0.25">
      <c r="A217" t="s">
        <v>504</v>
      </c>
      <c r="B217" t="s">
        <v>282</v>
      </c>
      <c r="C217" t="s">
        <v>167</v>
      </c>
      <c r="D217" t="s">
        <v>51</v>
      </c>
      <c r="E217">
        <v>31</v>
      </c>
      <c r="F217" t="s">
        <v>311</v>
      </c>
      <c r="G217" t="s">
        <v>142</v>
      </c>
      <c r="H217" t="s">
        <v>143</v>
      </c>
      <c r="I217" t="s">
        <v>260</v>
      </c>
      <c r="J217" t="s">
        <v>261</v>
      </c>
      <c r="K217" t="s">
        <v>173</v>
      </c>
      <c r="L217" t="s">
        <v>86</v>
      </c>
      <c r="M217" t="s">
        <v>275</v>
      </c>
      <c r="N217" t="s">
        <v>128</v>
      </c>
      <c r="O217" t="s">
        <v>109</v>
      </c>
      <c r="P217" s="1">
        <v>43248</v>
      </c>
      <c r="Q217">
        <v>6</v>
      </c>
      <c r="R217" t="s">
        <v>195</v>
      </c>
      <c r="S217" t="s">
        <v>63</v>
      </c>
      <c r="T217" t="s">
        <v>64</v>
      </c>
      <c r="U217">
        <v>0</v>
      </c>
      <c r="V217">
        <v>0</v>
      </c>
      <c r="W217">
        <v>5473</v>
      </c>
      <c r="X217">
        <v>0</v>
      </c>
      <c r="Y217">
        <v>422</v>
      </c>
      <c r="Z217">
        <v>5895</v>
      </c>
      <c r="AA217">
        <v>350</v>
      </c>
      <c r="AB217" t="s">
        <v>151</v>
      </c>
      <c r="AC217">
        <v>18.5</v>
      </c>
      <c r="AD217">
        <v>21</v>
      </c>
      <c r="AE217">
        <v>77</v>
      </c>
      <c r="AF217" t="s">
        <v>93</v>
      </c>
      <c r="AG217">
        <v>20</v>
      </c>
      <c r="AH217" t="s">
        <v>113</v>
      </c>
      <c r="AI217" t="s">
        <v>177</v>
      </c>
      <c r="AJ217" t="s">
        <v>188</v>
      </c>
      <c r="AK217" t="s">
        <v>70</v>
      </c>
      <c r="AL217" t="s">
        <v>71</v>
      </c>
      <c r="AM217" t="s">
        <v>71</v>
      </c>
      <c r="AN217" t="s">
        <v>231</v>
      </c>
      <c r="AO217" t="s">
        <v>72</v>
      </c>
      <c r="AP217" t="s">
        <v>72</v>
      </c>
      <c r="AQ217" t="s">
        <v>98</v>
      </c>
      <c r="AR217" s="1">
        <v>43275</v>
      </c>
      <c r="AS217" t="s">
        <v>137</v>
      </c>
      <c r="AT217" t="s">
        <v>71</v>
      </c>
      <c r="AU217">
        <v>304</v>
      </c>
      <c r="AV217" t="s">
        <v>76</v>
      </c>
    </row>
    <row r="218" spans="1:48" x14ac:dyDescent="0.25">
      <c r="A218" t="s">
        <v>505</v>
      </c>
      <c r="B218" t="s">
        <v>210</v>
      </c>
      <c r="C218" t="s">
        <v>191</v>
      </c>
      <c r="D218" t="s">
        <v>51</v>
      </c>
      <c r="E218">
        <v>45</v>
      </c>
      <c r="F218" t="s">
        <v>283</v>
      </c>
      <c r="G218" t="s">
        <v>298</v>
      </c>
      <c r="H218" t="s">
        <v>299</v>
      </c>
      <c r="I218" t="s">
        <v>185</v>
      </c>
      <c r="J218" t="s">
        <v>186</v>
      </c>
      <c r="K218" t="s">
        <v>187</v>
      </c>
      <c r="L218" t="s">
        <v>174</v>
      </c>
      <c r="M218" t="s">
        <v>207</v>
      </c>
      <c r="N218" t="s">
        <v>60</v>
      </c>
      <c r="O218" t="s">
        <v>89</v>
      </c>
      <c r="P218" s="1">
        <v>40824</v>
      </c>
      <c r="Q218">
        <v>12.6</v>
      </c>
      <c r="R218" t="s">
        <v>62</v>
      </c>
      <c r="S218" t="s">
        <v>219</v>
      </c>
      <c r="T218" t="s">
        <v>220</v>
      </c>
      <c r="U218">
        <v>0</v>
      </c>
      <c r="V218">
        <v>0</v>
      </c>
      <c r="W218">
        <v>2149</v>
      </c>
      <c r="X218">
        <v>0</v>
      </c>
      <c r="Y218">
        <v>422</v>
      </c>
      <c r="Z218">
        <v>2571</v>
      </c>
      <c r="AA218">
        <v>395</v>
      </c>
      <c r="AB218" t="s">
        <v>65</v>
      </c>
      <c r="AC218">
        <v>19.2</v>
      </c>
      <c r="AD218">
        <v>78</v>
      </c>
      <c r="AE218">
        <v>68</v>
      </c>
      <c r="AF218" t="s">
        <v>93</v>
      </c>
      <c r="AG218">
        <v>21</v>
      </c>
      <c r="AH218" t="s">
        <v>113</v>
      </c>
      <c r="AI218" t="s">
        <v>152</v>
      </c>
      <c r="AJ218" t="s">
        <v>96</v>
      </c>
      <c r="AK218" t="s">
        <v>70</v>
      </c>
      <c r="AL218" t="s">
        <v>70</v>
      </c>
      <c r="AM218" t="s">
        <v>70</v>
      </c>
      <c r="AN218" t="s">
        <v>270</v>
      </c>
      <c r="AO218" t="s">
        <v>72</v>
      </c>
      <c r="AP218" t="s">
        <v>72</v>
      </c>
      <c r="AQ218" t="s">
        <v>136</v>
      </c>
      <c r="AR218" s="1">
        <v>41355</v>
      </c>
      <c r="AS218" t="s">
        <v>118</v>
      </c>
      <c r="AT218" t="s">
        <v>71</v>
      </c>
      <c r="AU218">
        <v>-443</v>
      </c>
      <c r="AV218" t="s">
        <v>179</v>
      </c>
    </row>
    <row r="219" spans="1:48" x14ac:dyDescent="0.25">
      <c r="A219" t="s">
        <v>506</v>
      </c>
      <c r="B219" t="s">
        <v>154</v>
      </c>
      <c r="C219" t="s">
        <v>155</v>
      </c>
      <c r="D219" t="s">
        <v>51</v>
      </c>
      <c r="E219">
        <v>21</v>
      </c>
      <c r="F219" t="s">
        <v>283</v>
      </c>
      <c r="G219" t="s">
        <v>101</v>
      </c>
      <c r="H219" t="s">
        <v>102</v>
      </c>
      <c r="I219" t="s">
        <v>236</v>
      </c>
      <c r="J219" t="s">
        <v>237</v>
      </c>
      <c r="K219" t="s">
        <v>238</v>
      </c>
      <c r="L219" t="s">
        <v>201</v>
      </c>
      <c r="M219" t="s">
        <v>296</v>
      </c>
      <c r="N219" t="s">
        <v>265</v>
      </c>
      <c r="O219" t="s">
        <v>89</v>
      </c>
      <c r="P219" s="1">
        <v>40106</v>
      </c>
      <c r="Q219">
        <v>14.6</v>
      </c>
      <c r="R219" t="s">
        <v>75</v>
      </c>
      <c r="S219" t="s">
        <v>63</v>
      </c>
      <c r="T219" t="s">
        <v>64</v>
      </c>
      <c r="U219">
        <v>0</v>
      </c>
      <c r="V219">
        <v>0</v>
      </c>
      <c r="W219">
        <v>2980</v>
      </c>
      <c r="X219">
        <v>1772</v>
      </c>
      <c r="Y219">
        <v>422</v>
      </c>
      <c r="Z219">
        <v>5174</v>
      </c>
      <c r="AA219">
        <v>344</v>
      </c>
      <c r="AB219" t="s">
        <v>151</v>
      </c>
      <c r="AC219">
        <v>18.399999999999999</v>
      </c>
      <c r="AD219">
        <v>31</v>
      </c>
      <c r="AE219">
        <v>58</v>
      </c>
      <c r="AF219" t="s">
        <v>93</v>
      </c>
      <c r="AG219">
        <v>27</v>
      </c>
      <c r="AH219" t="s">
        <v>113</v>
      </c>
      <c r="AI219" t="s">
        <v>114</v>
      </c>
      <c r="AJ219" t="s">
        <v>72</v>
      </c>
      <c r="AK219" t="s">
        <v>70</v>
      </c>
      <c r="AL219" t="s">
        <v>71</v>
      </c>
      <c r="AM219" t="s">
        <v>70</v>
      </c>
      <c r="AN219" t="s">
        <v>133</v>
      </c>
      <c r="AO219" t="s">
        <v>227</v>
      </c>
      <c r="AP219" t="s">
        <v>72</v>
      </c>
      <c r="AQ219" t="s">
        <v>98</v>
      </c>
      <c r="AR219" s="1">
        <v>42175</v>
      </c>
      <c r="AS219" t="s">
        <v>198</v>
      </c>
      <c r="AT219" t="s">
        <v>71</v>
      </c>
      <c r="AU219">
        <v>1782</v>
      </c>
      <c r="AV219" t="s">
        <v>76</v>
      </c>
    </row>
    <row r="220" spans="1:48" x14ac:dyDescent="0.25">
      <c r="A220" t="s">
        <v>507</v>
      </c>
      <c r="B220" t="s">
        <v>267</v>
      </c>
      <c r="C220" t="s">
        <v>79</v>
      </c>
      <c r="D220" t="s">
        <v>51</v>
      </c>
      <c r="E220">
        <v>34</v>
      </c>
      <c r="F220" t="s">
        <v>325</v>
      </c>
      <c r="G220" t="s">
        <v>285</v>
      </c>
      <c r="H220" t="s">
        <v>286</v>
      </c>
      <c r="I220" t="s">
        <v>171</v>
      </c>
      <c r="J220" t="s">
        <v>172</v>
      </c>
      <c r="K220" t="s">
        <v>173</v>
      </c>
      <c r="L220" t="s">
        <v>126</v>
      </c>
      <c r="M220" t="s">
        <v>207</v>
      </c>
      <c r="N220" t="s">
        <v>162</v>
      </c>
      <c r="O220" t="s">
        <v>61</v>
      </c>
      <c r="P220" s="1">
        <v>44383</v>
      </c>
      <c r="Q220">
        <v>2.9</v>
      </c>
      <c r="R220" t="s">
        <v>129</v>
      </c>
      <c r="S220" t="s">
        <v>110</v>
      </c>
      <c r="T220" t="s">
        <v>111</v>
      </c>
      <c r="U220">
        <v>14</v>
      </c>
      <c r="V220">
        <v>2</v>
      </c>
      <c r="W220">
        <v>7668</v>
      </c>
      <c r="X220">
        <v>1262</v>
      </c>
      <c r="Y220">
        <v>266</v>
      </c>
      <c r="Z220">
        <v>9196</v>
      </c>
      <c r="AA220">
        <v>386</v>
      </c>
      <c r="AB220" t="s">
        <v>65</v>
      </c>
      <c r="AC220">
        <v>15</v>
      </c>
      <c r="AD220">
        <v>74</v>
      </c>
      <c r="AE220">
        <v>57</v>
      </c>
      <c r="AF220" t="s">
        <v>66</v>
      </c>
      <c r="AG220">
        <v>31</v>
      </c>
      <c r="AH220" t="s">
        <v>67</v>
      </c>
      <c r="AI220" t="s">
        <v>177</v>
      </c>
      <c r="AJ220" t="s">
        <v>69</v>
      </c>
      <c r="AK220" t="s">
        <v>71</v>
      </c>
      <c r="AL220" t="s">
        <v>70</v>
      </c>
      <c r="AM220" t="s">
        <v>70</v>
      </c>
      <c r="AN220" t="s">
        <v>72</v>
      </c>
      <c r="AO220" t="s">
        <v>72</v>
      </c>
      <c r="AP220" t="s">
        <v>72</v>
      </c>
      <c r="AQ220" t="s">
        <v>136</v>
      </c>
      <c r="AR220" s="1">
        <v>45620</v>
      </c>
      <c r="AS220" t="s">
        <v>118</v>
      </c>
      <c r="AT220" t="s">
        <v>71</v>
      </c>
      <c r="AU220">
        <v>-84</v>
      </c>
      <c r="AV220" t="s">
        <v>179</v>
      </c>
    </row>
    <row r="221" spans="1:48" x14ac:dyDescent="0.25">
      <c r="A221" t="s">
        <v>508</v>
      </c>
      <c r="B221" t="s">
        <v>282</v>
      </c>
      <c r="C221" t="s">
        <v>79</v>
      </c>
      <c r="D221" t="s">
        <v>51</v>
      </c>
      <c r="E221">
        <v>22</v>
      </c>
      <c r="F221" t="s">
        <v>278</v>
      </c>
      <c r="G221" t="s">
        <v>169</v>
      </c>
      <c r="H221" t="s">
        <v>170</v>
      </c>
      <c r="I221" t="s">
        <v>83</v>
      </c>
      <c r="J221" t="s">
        <v>84</v>
      </c>
      <c r="K221" t="s">
        <v>85</v>
      </c>
      <c r="L221" t="s">
        <v>58</v>
      </c>
      <c r="M221" t="s">
        <v>87</v>
      </c>
      <c r="N221" t="s">
        <v>128</v>
      </c>
      <c r="O221" t="s">
        <v>109</v>
      </c>
      <c r="P221" s="1">
        <v>39358</v>
      </c>
      <c r="Q221">
        <v>16.7</v>
      </c>
      <c r="R221" t="s">
        <v>75</v>
      </c>
      <c r="S221" t="s">
        <v>130</v>
      </c>
      <c r="T221" t="s">
        <v>131</v>
      </c>
      <c r="U221">
        <v>13</v>
      </c>
      <c r="V221">
        <v>2</v>
      </c>
      <c r="W221">
        <v>3294</v>
      </c>
      <c r="X221">
        <v>1822</v>
      </c>
      <c r="Y221">
        <v>422</v>
      </c>
      <c r="Z221">
        <v>5538</v>
      </c>
      <c r="AA221">
        <v>593</v>
      </c>
      <c r="AB221" t="s">
        <v>65</v>
      </c>
      <c r="AC221">
        <v>19</v>
      </c>
      <c r="AD221">
        <v>69</v>
      </c>
      <c r="AE221">
        <v>67</v>
      </c>
      <c r="AF221" t="s">
        <v>112</v>
      </c>
      <c r="AG221">
        <v>40</v>
      </c>
      <c r="AH221" t="s">
        <v>94</v>
      </c>
      <c r="AI221" t="s">
        <v>177</v>
      </c>
      <c r="AJ221" t="s">
        <v>69</v>
      </c>
      <c r="AK221" t="s">
        <v>70</v>
      </c>
      <c r="AL221" t="s">
        <v>70</v>
      </c>
      <c r="AM221" t="s">
        <v>70</v>
      </c>
      <c r="AN221" t="s">
        <v>72</v>
      </c>
      <c r="AO221" t="s">
        <v>72</v>
      </c>
      <c r="AP221" t="s">
        <v>227</v>
      </c>
      <c r="AQ221" t="s">
        <v>117</v>
      </c>
      <c r="AR221" s="1">
        <v>43156</v>
      </c>
      <c r="AS221" t="s">
        <v>137</v>
      </c>
      <c r="AT221" t="s">
        <v>71</v>
      </c>
      <c r="AU221">
        <v>445</v>
      </c>
      <c r="AV221" t="s">
        <v>76</v>
      </c>
    </row>
    <row r="222" spans="1:48" x14ac:dyDescent="0.25">
      <c r="A222" t="s">
        <v>509</v>
      </c>
      <c r="B222" t="s">
        <v>277</v>
      </c>
      <c r="C222" t="s">
        <v>50</v>
      </c>
      <c r="D222" t="s">
        <v>51</v>
      </c>
      <c r="E222">
        <v>18</v>
      </c>
      <c r="F222" t="s">
        <v>214</v>
      </c>
      <c r="G222" t="s">
        <v>298</v>
      </c>
      <c r="H222" t="s">
        <v>299</v>
      </c>
      <c r="I222" t="s">
        <v>144</v>
      </c>
      <c r="J222" t="s">
        <v>145</v>
      </c>
      <c r="K222" t="s">
        <v>146</v>
      </c>
      <c r="L222" t="s">
        <v>174</v>
      </c>
      <c r="M222" t="s">
        <v>249</v>
      </c>
      <c r="N222" t="s">
        <v>265</v>
      </c>
      <c r="O222" t="s">
        <v>89</v>
      </c>
      <c r="P222" s="1">
        <v>39820</v>
      </c>
      <c r="Q222">
        <v>15.4</v>
      </c>
      <c r="R222" t="s">
        <v>75</v>
      </c>
      <c r="S222" t="s">
        <v>91</v>
      </c>
      <c r="T222" t="s">
        <v>92</v>
      </c>
      <c r="U222">
        <v>10</v>
      </c>
      <c r="V222">
        <v>1</v>
      </c>
      <c r="W222">
        <v>2149</v>
      </c>
      <c r="X222">
        <v>1112</v>
      </c>
      <c r="Y222">
        <v>422</v>
      </c>
      <c r="Z222">
        <v>3683</v>
      </c>
      <c r="AA222">
        <v>329</v>
      </c>
      <c r="AB222" t="s">
        <v>151</v>
      </c>
      <c r="AC222">
        <v>17.8</v>
      </c>
      <c r="AD222">
        <v>26</v>
      </c>
      <c r="AE222">
        <v>78</v>
      </c>
      <c r="AF222" t="s">
        <v>132</v>
      </c>
      <c r="AG222">
        <v>30</v>
      </c>
      <c r="AH222" t="s">
        <v>67</v>
      </c>
      <c r="AI222" t="s">
        <v>95</v>
      </c>
      <c r="AJ222" t="s">
        <v>96</v>
      </c>
      <c r="AK222" t="s">
        <v>70</v>
      </c>
      <c r="AL222" t="s">
        <v>70</v>
      </c>
      <c r="AM222" t="s">
        <v>70</v>
      </c>
      <c r="AN222" t="s">
        <v>72</v>
      </c>
      <c r="AO222" t="s">
        <v>73</v>
      </c>
      <c r="AP222" t="s">
        <v>72</v>
      </c>
      <c r="AQ222" t="s">
        <v>74</v>
      </c>
      <c r="AR222" s="1">
        <v>42390</v>
      </c>
      <c r="AS222" t="s">
        <v>137</v>
      </c>
      <c r="AT222" t="s">
        <v>71</v>
      </c>
      <c r="AU222">
        <v>1041</v>
      </c>
      <c r="AV222" t="s">
        <v>76</v>
      </c>
    </row>
    <row r="223" spans="1:48" x14ac:dyDescent="0.25">
      <c r="A223" t="s">
        <v>510</v>
      </c>
      <c r="B223" t="s">
        <v>205</v>
      </c>
      <c r="C223" t="s">
        <v>230</v>
      </c>
      <c r="D223" t="s">
        <v>122</v>
      </c>
      <c r="E223">
        <v>33</v>
      </c>
      <c r="F223" t="s">
        <v>241</v>
      </c>
      <c r="G223" t="s">
        <v>298</v>
      </c>
      <c r="H223" t="s">
        <v>299</v>
      </c>
      <c r="I223" t="s">
        <v>273</v>
      </c>
      <c r="J223" t="s">
        <v>274</v>
      </c>
      <c r="K223" t="s">
        <v>57</v>
      </c>
      <c r="L223" t="s">
        <v>201</v>
      </c>
      <c r="M223" t="s">
        <v>175</v>
      </c>
      <c r="N223" t="s">
        <v>128</v>
      </c>
      <c r="O223" t="s">
        <v>176</v>
      </c>
      <c r="P223" s="1">
        <v>44137</v>
      </c>
      <c r="Q223">
        <v>3.6</v>
      </c>
      <c r="R223" t="s">
        <v>75</v>
      </c>
      <c r="S223" t="s">
        <v>130</v>
      </c>
      <c r="T223" t="s">
        <v>131</v>
      </c>
      <c r="U223">
        <v>15</v>
      </c>
      <c r="V223">
        <v>2</v>
      </c>
      <c r="W223">
        <v>2149</v>
      </c>
      <c r="X223">
        <v>0</v>
      </c>
      <c r="Y223">
        <v>422</v>
      </c>
      <c r="Z223">
        <v>2571</v>
      </c>
      <c r="AA223">
        <v>346</v>
      </c>
      <c r="AB223" t="s">
        <v>151</v>
      </c>
      <c r="AC223">
        <v>15.2</v>
      </c>
      <c r="AD223">
        <v>44</v>
      </c>
      <c r="AE223">
        <v>61</v>
      </c>
      <c r="AF223" t="s">
        <v>132</v>
      </c>
      <c r="AG223">
        <v>37</v>
      </c>
      <c r="AH223" t="s">
        <v>94</v>
      </c>
      <c r="AI223" t="s">
        <v>95</v>
      </c>
      <c r="AJ223" t="s">
        <v>188</v>
      </c>
      <c r="AK223" t="s">
        <v>71</v>
      </c>
      <c r="AL223" t="s">
        <v>70</v>
      </c>
      <c r="AM223" t="s">
        <v>70</v>
      </c>
      <c r="AN223" t="s">
        <v>243</v>
      </c>
      <c r="AO223" t="s">
        <v>203</v>
      </c>
      <c r="AP223" t="s">
        <v>116</v>
      </c>
      <c r="AQ223" t="s">
        <v>74</v>
      </c>
      <c r="AR223" s="1">
        <v>44487</v>
      </c>
      <c r="AS223" t="s">
        <v>75</v>
      </c>
      <c r="AT223" t="s">
        <v>71</v>
      </c>
      <c r="AU223">
        <v>-249</v>
      </c>
      <c r="AV223" t="s">
        <v>179</v>
      </c>
    </row>
    <row r="224" spans="1:48" x14ac:dyDescent="0.25">
      <c r="A224" t="s">
        <v>511</v>
      </c>
      <c r="B224" t="s">
        <v>377</v>
      </c>
      <c r="C224" t="s">
        <v>191</v>
      </c>
      <c r="D224" t="s">
        <v>51</v>
      </c>
      <c r="E224">
        <v>23</v>
      </c>
      <c r="F224" t="s">
        <v>316</v>
      </c>
      <c r="G224" t="s">
        <v>301</v>
      </c>
      <c r="H224" t="s">
        <v>302</v>
      </c>
      <c r="I224" t="s">
        <v>83</v>
      </c>
      <c r="J224" t="s">
        <v>84</v>
      </c>
      <c r="K224" t="s">
        <v>85</v>
      </c>
      <c r="L224" t="s">
        <v>106</v>
      </c>
      <c r="M224" t="s">
        <v>87</v>
      </c>
      <c r="N224" t="s">
        <v>60</v>
      </c>
      <c r="O224" t="s">
        <v>176</v>
      </c>
      <c r="P224" s="1">
        <v>41470</v>
      </c>
      <c r="Q224">
        <v>10.9</v>
      </c>
      <c r="R224" t="s">
        <v>129</v>
      </c>
      <c r="S224" t="s">
        <v>163</v>
      </c>
      <c r="T224" t="s">
        <v>164</v>
      </c>
      <c r="U224">
        <v>13</v>
      </c>
      <c r="V224">
        <v>2</v>
      </c>
      <c r="W224">
        <v>4188</v>
      </c>
      <c r="X224">
        <v>1506</v>
      </c>
      <c r="Y224">
        <v>266</v>
      </c>
      <c r="Z224">
        <v>5960</v>
      </c>
      <c r="AA224">
        <v>415</v>
      </c>
      <c r="AB224" t="s">
        <v>65</v>
      </c>
      <c r="AC224">
        <v>16</v>
      </c>
      <c r="AD224">
        <v>23</v>
      </c>
      <c r="AE224">
        <v>72</v>
      </c>
      <c r="AF224" t="s">
        <v>93</v>
      </c>
      <c r="AG224">
        <v>23</v>
      </c>
      <c r="AH224" t="s">
        <v>113</v>
      </c>
      <c r="AI224" t="s">
        <v>152</v>
      </c>
      <c r="AJ224" t="s">
        <v>72</v>
      </c>
      <c r="AK224" t="s">
        <v>70</v>
      </c>
      <c r="AL224" t="s">
        <v>71</v>
      </c>
      <c r="AM224" t="s">
        <v>70</v>
      </c>
      <c r="AN224" t="s">
        <v>72</v>
      </c>
      <c r="AO224" t="s">
        <v>72</v>
      </c>
      <c r="AP224" t="s">
        <v>72</v>
      </c>
      <c r="AQ224" t="s">
        <v>136</v>
      </c>
      <c r="AR224" s="1">
        <v>44735</v>
      </c>
      <c r="AS224" t="s">
        <v>75</v>
      </c>
      <c r="AT224" t="s">
        <v>71</v>
      </c>
      <c r="AU224">
        <v>1608</v>
      </c>
      <c r="AV224" t="s">
        <v>76</v>
      </c>
    </row>
    <row r="225" spans="1:48" x14ac:dyDescent="0.25">
      <c r="A225" t="s">
        <v>512</v>
      </c>
      <c r="B225" t="s">
        <v>346</v>
      </c>
      <c r="C225" t="s">
        <v>206</v>
      </c>
      <c r="D225" t="s">
        <v>122</v>
      </c>
      <c r="E225">
        <v>27</v>
      </c>
      <c r="F225" t="s">
        <v>80</v>
      </c>
      <c r="G225" t="s">
        <v>285</v>
      </c>
      <c r="H225" t="s">
        <v>286</v>
      </c>
      <c r="I225" t="s">
        <v>225</v>
      </c>
      <c r="J225" t="s">
        <v>226</v>
      </c>
      <c r="K225" t="s">
        <v>105</v>
      </c>
      <c r="L225" t="s">
        <v>174</v>
      </c>
      <c r="M225" t="s">
        <v>161</v>
      </c>
      <c r="N225" t="s">
        <v>162</v>
      </c>
      <c r="O225" t="s">
        <v>61</v>
      </c>
      <c r="P225" s="1">
        <v>41550</v>
      </c>
      <c r="Q225">
        <v>10.7</v>
      </c>
      <c r="R225" t="s">
        <v>62</v>
      </c>
      <c r="S225" t="s">
        <v>110</v>
      </c>
      <c r="T225" t="s">
        <v>111</v>
      </c>
      <c r="U225">
        <v>3</v>
      </c>
      <c r="V225">
        <v>0</v>
      </c>
      <c r="W225">
        <v>7668</v>
      </c>
      <c r="X225">
        <v>0</v>
      </c>
      <c r="Y225">
        <v>266</v>
      </c>
      <c r="Z225">
        <v>7934</v>
      </c>
      <c r="AA225">
        <v>544</v>
      </c>
      <c r="AB225" t="s">
        <v>65</v>
      </c>
      <c r="AC225">
        <v>18.399999999999999</v>
      </c>
      <c r="AD225">
        <v>33</v>
      </c>
      <c r="AE225">
        <v>51</v>
      </c>
      <c r="AF225" t="s">
        <v>112</v>
      </c>
      <c r="AG225">
        <v>21</v>
      </c>
      <c r="AH225" t="s">
        <v>113</v>
      </c>
      <c r="AI225" t="s">
        <v>177</v>
      </c>
      <c r="AJ225" t="s">
        <v>69</v>
      </c>
      <c r="AK225" t="s">
        <v>71</v>
      </c>
      <c r="AL225" t="s">
        <v>70</v>
      </c>
      <c r="AM225" t="s">
        <v>70</v>
      </c>
      <c r="AN225" t="s">
        <v>231</v>
      </c>
      <c r="AO225" t="s">
        <v>116</v>
      </c>
      <c r="AP225" t="s">
        <v>72</v>
      </c>
      <c r="AQ225" t="s">
        <v>74</v>
      </c>
      <c r="AR225" s="1">
        <v>43125</v>
      </c>
      <c r="AS225" t="s">
        <v>75</v>
      </c>
      <c r="AT225" t="s">
        <v>71</v>
      </c>
      <c r="AU225">
        <v>-124</v>
      </c>
      <c r="AV225" t="s">
        <v>179</v>
      </c>
    </row>
    <row r="226" spans="1:48" x14ac:dyDescent="0.25">
      <c r="A226" t="s">
        <v>513</v>
      </c>
      <c r="B226" t="s">
        <v>49</v>
      </c>
      <c r="C226" t="s">
        <v>360</v>
      </c>
      <c r="D226" t="s">
        <v>51</v>
      </c>
      <c r="E226">
        <v>45</v>
      </c>
      <c r="F226" t="s">
        <v>123</v>
      </c>
      <c r="G226" t="s">
        <v>193</v>
      </c>
      <c r="H226" t="s">
        <v>194</v>
      </c>
      <c r="I226" t="s">
        <v>225</v>
      </c>
      <c r="J226" t="s">
        <v>226</v>
      </c>
      <c r="K226" t="s">
        <v>105</v>
      </c>
      <c r="L226" t="s">
        <v>201</v>
      </c>
      <c r="M226" t="s">
        <v>249</v>
      </c>
      <c r="N226" t="s">
        <v>162</v>
      </c>
      <c r="O226" t="s">
        <v>149</v>
      </c>
      <c r="P226" s="1">
        <v>41198</v>
      </c>
      <c r="Q226">
        <v>11.6</v>
      </c>
      <c r="R226" t="s">
        <v>129</v>
      </c>
      <c r="S226" t="s">
        <v>196</v>
      </c>
      <c r="T226" t="s">
        <v>197</v>
      </c>
      <c r="U226">
        <v>0</v>
      </c>
      <c r="V226">
        <v>0</v>
      </c>
      <c r="W226">
        <v>2259</v>
      </c>
      <c r="X226">
        <v>957</v>
      </c>
      <c r="Y226">
        <v>422</v>
      </c>
      <c r="Z226">
        <v>3638</v>
      </c>
      <c r="AA226">
        <v>566</v>
      </c>
      <c r="AB226" t="s">
        <v>65</v>
      </c>
      <c r="AC226">
        <v>16.8</v>
      </c>
      <c r="AD226">
        <v>39</v>
      </c>
      <c r="AE226">
        <v>57</v>
      </c>
      <c r="AF226" t="s">
        <v>112</v>
      </c>
      <c r="AG226">
        <v>22</v>
      </c>
      <c r="AH226" t="s">
        <v>113</v>
      </c>
      <c r="AI226" t="s">
        <v>152</v>
      </c>
      <c r="AJ226" t="s">
        <v>188</v>
      </c>
      <c r="AK226" t="s">
        <v>71</v>
      </c>
      <c r="AL226" t="s">
        <v>70</v>
      </c>
      <c r="AM226" t="s">
        <v>70</v>
      </c>
      <c r="AN226" t="s">
        <v>72</v>
      </c>
      <c r="AO226" t="s">
        <v>227</v>
      </c>
      <c r="AP226" t="s">
        <v>72</v>
      </c>
      <c r="AQ226" t="s">
        <v>74</v>
      </c>
      <c r="AR226" s="1">
        <v>44737</v>
      </c>
      <c r="AS226" t="s">
        <v>198</v>
      </c>
      <c r="AT226" t="s">
        <v>71</v>
      </c>
      <c r="AU226">
        <v>597</v>
      </c>
      <c r="AV226" t="s">
        <v>76</v>
      </c>
    </row>
    <row r="227" spans="1:48" x14ac:dyDescent="0.25">
      <c r="A227" t="s">
        <v>514</v>
      </c>
      <c r="B227" t="s">
        <v>139</v>
      </c>
      <c r="C227" t="s">
        <v>330</v>
      </c>
      <c r="D227" t="s">
        <v>122</v>
      </c>
      <c r="E227">
        <v>18</v>
      </c>
      <c r="F227" t="s">
        <v>322</v>
      </c>
      <c r="G227" t="s">
        <v>298</v>
      </c>
      <c r="H227" t="s">
        <v>299</v>
      </c>
      <c r="I227" t="s">
        <v>103</v>
      </c>
      <c r="J227" t="s">
        <v>104</v>
      </c>
      <c r="K227" t="s">
        <v>105</v>
      </c>
      <c r="L227" t="s">
        <v>58</v>
      </c>
      <c r="M227" t="s">
        <v>161</v>
      </c>
      <c r="N227" t="s">
        <v>162</v>
      </c>
      <c r="O227" t="s">
        <v>149</v>
      </c>
      <c r="P227" s="1">
        <v>40322</v>
      </c>
      <c r="Q227">
        <v>14</v>
      </c>
      <c r="R227" t="s">
        <v>75</v>
      </c>
      <c r="S227" t="s">
        <v>130</v>
      </c>
      <c r="T227" t="s">
        <v>131</v>
      </c>
      <c r="U227">
        <v>9</v>
      </c>
      <c r="V227">
        <v>1</v>
      </c>
      <c r="W227">
        <v>2149</v>
      </c>
      <c r="X227">
        <v>1691</v>
      </c>
      <c r="Y227">
        <v>422</v>
      </c>
      <c r="Z227">
        <v>4262</v>
      </c>
      <c r="AA227">
        <v>394</v>
      </c>
      <c r="AB227" t="s">
        <v>65</v>
      </c>
      <c r="AC227">
        <v>15.2</v>
      </c>
      <c r="AD227">
        <v>73</v>
      </c>
      <c r="AE227">
        <v>34</v>
      </c>
      <c r="AF227" t="s">
        <v>132</v>
      </c>
      <c r="AG227">
        <v>24</v>
      </c>
      <c r="AH227" t="s">
        <v>113</v>
      </c>
      <c r="AI227" t="s">
        <v>68</v>
      </c>
      <c r="AJ227" t="s">
        <v>188</v>
      </c>
      <c r="AK227" t="s">
        <v>71</v>
      </c>
      <c r="AL227" t="s">
        <v>71</v>
      </c>
      <c r="AM227" t="s">
        <v>70</v>
      </c>
      <c r="AN227" t="s">
        <v>231</v>
      </c>
      <c r="AO227" t="s">
        <v>134</v>
      </c>
      <c r="AP227" t="s">
        <v>134</v>
      </c>
      <c r="AQ227" t="s">
        <v>98</v>
      </c>
      <c r="AR227" s="1">
        <v>43636</v>
      </c>
      <c r="AS227" t="s">
        <v>198</v>
      </c>
      <c r="AT227" t="s">
        <v>71</v>
      </c>
      <c r="AU227">
        <v>-349</v>
      </c>
      <c r="AV227" t="s">
        <v>179</v>
      </c>
    </row>
    <row r="228" spans="1:48" x14ac:dyDescent="0.25">
      <c r="A228" t="s">
        <v>515</v>
      </c>
      <c r="B228" t="s">
        <v>49</v>
      </c>
      <c r="C228" t="s">
        <v>264</v>
      </c>
      <c r="D228" t="s">
        <v>51</v>
      </c>
      <c r="E228">
        <v>41</v>
      </c>
      <c r="F228" t="s">
        <v>283</v>
      </c>
      <c r="G228" t="s">
        <v>124</v>
      </c>
      <c r="H228" t="s">
        <v>125</v>
      </c>
      <c r="I228" t="s">
        <v>268</v>
      </c>
      <c r="J228" t="s">
        <v>269</v>
      </c>
      <c r="K228" t="s">
        <v>173</v>
      </c>
      <c r="L228" t="s">
        <v>86</v>
      </c>
      <c r="M228" t="s">
        <v>207</v>
      </c>
      <c r="N228" t="s">
        <v>265</v>
      </c>
      <c r="O228" t="s">
        <v>61</v>
      </c>
      <c r="P228" s="1">
        <v>39794</v>
      </c>
      <c r="Q228">
        <v>15.5</v>
      </c>
      <c r="R228" t="s">
        <v>75</v>
      </c>
      <c r="S228" t="s">
        <v>219</v>
      </c>
      <c r="T228" t="s">
        <v>220</v>
      </c>
      <c r="U228">
        <v>0</v>
      </c>
      <c r="V228">
        <v>0</v>
      </c>
      <c r="W228">
        <v>2730</v>
      </c>
      <c r="X228">
        <v>886</v>
      </c>
      <c r="Y228">
        <v>422</v>
      </c>
      <c r="Z228">
        <v>4038</v>
      </c>
      <c r="AA228">
        <v>450</v>
      </c>
      <c r="AB228" t="s">
        <v>65</v>
      </c>
      <c r="AC228">
        <v>19.100000000000001</v>
      </c>
      <c r="AD228">
        <v>23</v>
      </c>
      <c r="AE228">
        <v>35</v>
      </c>
      <c r="AF228" t="s">
        <v>112</v>
      </c>
      <c r="AG228">
        <v>18</v>
      </c>
      <c r="AH228" t="s">
        <v>113</v>
      </c>
      <c r="AI228" t="s">
        <v>177</v>
      </c>
      <c r="AJ228" t="s">
        <v>188</v>
      </c>
      <c r="AK228" t="s">
        <v>70</v>
      </c>
      <c r="AL228" t="s">
        <v>71</v>
      </c>
      <c r="AM228" t="s">
        <v>70</v>
      </c>
      <c r="AN228" t="s">
        <v>270</v>
      </c>
      <c r="AO228" t="s">
        <v>227</v>
      </c>
      <c r="AP228" t="s">
        <v>72</v>
      </c>
      <c r="AQ228" t="s">
        <v>136</v>
      </c>
      <c r="AR228" s="1">
        <v>41398</v>
      </c>
      <c r="AS228" t="s">
        <v>75</v>
      </c>
      <c r="AT228" t="s">
        <v>71</v>
      </c>
      <c r="AU228">
        <v>0</v>
      </c>
      <c r="AV228" t="s">
        <v>179</v>
      </c>
    </row>
    <row r="229" spans="1:48" x14ac:dyDescent="0.25">
      <c r="A229" t="s">
        <v>516</v>
      </c>
      <c r="B229" t="s">
        <v>251</v>
      </c>
      <c r="C229" t="s">
        <v>360</v>
      </c>
      <c r="D229" t="s">
        <v>51</v>
      </c>
      <c r="E229">
        <v>26</v>
      </c>
      <c r="F229" t="s">
        <v>192</v>
      </c>
      <c r="G229" t="s">
        <v>156</v>
      </c>
      <c r="H229" t="s">
        <v>157</v>
      </c>
      <c r="I229" t="s">
        <v>292</v>
      </c>
      <c r="J229" t="s">
        <v>293</v>
      </c>
      <c r="K229" t="s">
        <v>294</v>
      </c>
      <c r="L229" t="s">
        <v>106</v>
      </c>
      <c r="M229" t="s">
        <v>59</v>
      </c>
      <c r="N229" t="s">
        <v>108</v>
      </c>
      <c r="O229" t="s">
        <v>109</v>
      </c>
      <c r="P229" s="1">
        <v>40138</v>
      </c>
      <c r="Q229">
        <v>14.5</v>
      </c>
      <c r="R229" t="s">
        <v>195</v>
      </c>
      <c r="S229" t="s">
        <v>130</v>
      </c>
      <c r="T229" t="s">
        <v>131</v>
      </c>
      <c r="U229">
        <v>3</v>
      </c>
      <c r="V229">
        <v>0</v>
      </c>
      <c r="W229">
        <v>4836</v>
      </c>
      <c r="X229">
        <v>0</v>
      </c>
      <c r="Y229">
        <v>266</v>
      </c>
      <c r="Z229">
        <v>5102</v>
      </c>
      <c r="AA229">
        <v>420</v>
      </c>
      <c r="AB229" t="s">
        <v>65</v>
      </c>
      <c r="AC229">
        <v>20.7</v>
      </c>
      <c r="AD229">
        <v>48</v>
      </c>
      <c r="AE229">
        <v>56</v>
      </c>
      <c r="AF229" t="s">
        <v>66</v>
      </c>
      <c r="AG229">
        <v>31</v>
      </c>
      <c r="AH229" t="s">
        <v>67</v>
      </c>
      <c r="AI229" t="s">
        <v>68</v>
      </c>
      <c r="AJ229" t="s">
        <v>69</v>
      </c>
      <c r="AK229" t="s">
        <v>70</v>
      </c>
      <c r="AL229" t="s">
        <v>70</v>
      </c>
      <c r="AM229" t="s">
        <v>70</v>
      </c>
      <c r="AN229" t="s">
        <v>243</v>
      </c>
      <c r="AO229" t="s">
        <v>203</v>
      </c>
      <c r="AP229" t="s">
        <v>72</v>
      </c>
      <c r="AQ229" t="s">
        <v>136</v>
      </c>
      <c r="AR229" s="1">
        <v>39986</v>
      </c>
      <c r="AS229" t="s">
        <v>198</v>
      </c>
      <c r="AT229" t="s">
        <v>71</v>
      </c>
      <c r="AU229">
        <v>-358</v>
      </c>
      <c r="AV229" t="s">
        <v>179</v>
      </c>
    </row>
    <row r="230" spans="1:48" x14ac:dyDescent="0.25">
      <c r="A230" t="s">
        <v>517</v>
      </c>
      <c r="B230" t="s">
        <v>49</v>
      </c>
      <c r="C230" t="s">
        <v>182</v>
      </c>
      <c r="D230" t="s">
        <v>51</v>
      </c>
      <c r="E230">
        <v>43</v>
      </c>
      <c r="F230" t="s">
        <v>52</v>
      </c>
      <c r="G230" t="s">
        <v>156</v>
      </c>
      <c r="H230" t="s">
        <v>157</v>
      </c>
      <c r="I230" t="s">
        <v>217</v>
      </c>
      <c r="J230" t="s">
        <v>218</v>
      </c>
      <c r="K230" t="s">
        <v>146</v>
      </c>
      <c r="L230" t="s">
        <v>106</v>
      </c>
      <c r="M230" t="s">
        <v>59</v>
      </c>
      <c r="N230" t="s">
        <v>88</v>
      </c>
      <c r="O230" t="s">
        <v>89</v>
      </c>
      <c r="P230" s="1">
        <v>42734</v>
      </c>
      <c r="Q230">
        <v>7.4</v>
      </c>
      <c r="R230" t="s">
        <v>90</v>
      </c>
      <c r="S230" t="s">
        <v>196</v>
      </c>
      <c r="T230" t="s">
        <v>197</v>
      </c>
      <c r="U230">
        <v>0</v>
      </c>
      <c r="V230">
        <v>0</v>
      </c>
      <c r="W230">
        <v>4836</v>
      </c>
      <c r="X230">
        <v>1284</v>
      </c>
      <c r="Y230">
        <v>266</v>
      </c>
      <c r="Z230">
        <v>6386</v>
      </c>
      <c r="AA230">
        <v>420</v>
      </c>
      <c r="AB230" t="s">
        <v>65</v>
      </c>
      <c r="AC230">
        <v>15.8</v>
      </c>
      <c r="AD230">
        <v>78</v>
      </c>
      <c r="AE230">
        <v>55</v>
      </c>
      <c r="AF230" t="s">
        <v>112</v>
      </c>
      <c r="AG230">
        <v>18</v>
      </c>
      <c r="AH230" t="s">
        <v>113</v>
      </c>
      <c r="AI230" t="s">
        <v>177</v>
      </c>
      <c r="AJ230" t="s">
        <v>188</v>
      </c>
      <c r="AK230" t="s">
        <v>70</v>
      </c>
      <c r="AL230" t="s">
        <v>70</v>
      </c>
      <c r="AM230" t="s">
        <v>70</v>
      </c>
      <c r="AN230" t="s">
        <v>231</v>
      </c>
      <c r="AO230" t="s">
        <v>72</v>
      </c>
      <c r="AP230" t="s">
        <v>72</v>
      </c>
      <c r="AQ230" t="s">
        <v>98</v>
      </c>
      <c r="AR230" s="1">
        <v>44299</v>
      </c>
      <c r="AS230" t="s">
        <v>75</v>
      </c>
      <c r="AT230" t="s">
        <v>71</v>
      </c>
      <c r="AU230">
        <v>1191</v>
      </c>
      <c r="AV230" t="s">
        <v>76</v>
      </c>
    </row>
    <row r="231" spans="1:48" x14ac:dyDescent="0.25">
      <c r="A231" t="s">
        <v>518</v>
      </c>
      <c r="B231" t="s">
        <v>277</v>
      </c>
      <c r="C231" t="s">
        <v>257</v>
      </c>
      <c r="D231" t="s">
        <v>51</v>
      </c>
      <c r="E231">
        <v>20</v>
      </c>
      <c r="F231" t="s">
        <v>311</v>
      </c>
      <c r="G231" t="s">
        <v>101</v>
      </c>
      <c r="H231" t="s">
        <v>102</v>
      </c>
      <c r="I231" t="s">
        <v>260</v>
      </c>
      <c r="J231" t="s">
        <v>261</v>
      </c>
      <c r="K231" t="s">
        <v>173</v>
      </c>
      <c r="L231" t="s">
        <v>86</v>
      </c>
      <c r="M231" t="s">
        <v>147</v>
      </c>
      <c r="N231" t="s">
        <v>60</v>
      </c>
      <c r="O231" t="s">
        <v>176</v>
      </c>
      <c r="P231" s="1">
        <v>41800</v>
      </c>
      <c r="Q231">
        <v>10</v>
      </c>
      <c r="R231" t="s">
        <v>75</v>
      </c>
      <c r="S231" t="s">
        <v>63</v>
      </c>
      <c r="T231" t="s">
        <v>64</v>
      </c>
      <c r="U231">
        <v>0</v>
      </c>
      <c r="V231">
        <v>0</v>
      </c>
      <c r="W231">
        <v>2980</v>
      </c>
      <c r="X231">
        <v>1921</v>
      </c>
      <c r="Y231">
        <v>422</v>
      </c>
      <c r="Z231">
        <v>5323</v>
      </c>
      <c r="AA231">
        <v>316</v>
      </c>
      <c r="AB231" t="s">
        <v>151</v>
      </c>
      <c r="AC231">
        <v>16.399999999999999</v>
      </c>
      <c r="AD231">
        <v>21</v>
      </c>
      <c r="AE231">
        <v>78</v>
      </c>
      <c r="AF231" t="s">
        <v>93</v>
      </c>
      <c r="AG231">
        <v>36</v>
      </c>
      <c r="AH231" t="s">
        <v>94</v>
      </c>
      <c r="AI231" t="s">
        <v>114</v>
      </c>
      <c r="AJ231" t="s">
        <v>188</v>
      </c>
      <c r="AK231" t="s">
        <v>70</v>
      </c>
      <c r="AL231" t="s">
        <v>70</v>
      </c>
      <c r="AM231" t="s">
        <v>70</v>
      </c>
      <c r="AN231" t="s">
        <v>133</v>
      </c>
      <c r="AO231" t="s">
        <v>287</v>
      </c>
      <c r="AP231" t="s">
        <v>178</v>
      </c>
      <c r="AQ231" t="s">
        <v>136</v>
      </c>
      <c r="AR231" s="1">
        <v>44765</v>
      </c>
      <c r="AS231" t="s">
        <v>118</v>
      </c>
      <c r="AT231" t="s">
        <v>71</v>
      </c>
      <c r="AU231">
        <v>32</v>
      </c>
      <c r="AV231" t="s">
        <v>179</v>
      </c>
    </row>
    <row r="232" spans="1:48" x14ac:dyDescent="0.25">
      <c r="A232" t="s">
        <v>519</v>
      </c>
      <c r="B232" t="s">
        <v>267</v>
      </c>
      <c r="C232" t="s">
        <v>394</v>
      </c>
      <c r="D232" t="s">
        <v>122</v>
      </c>
      <c r="E232">
        <v>26</v>
      </c>
      <c r="F232" t="s">
        <v>123</v>
      </c>
      <c r="G232" t="s">
        <v>279</v>
      </c>
      <c r="H232" t="s">
        <v>280</v>
      </c>
      <c r="I232" t="s">
        <v>185</v>
      </c>
      <c r="J232" t="s">
        <v>186</v>
      </c>
      <c r="K232" t="s">
        <v>187</v>
      </c>
      <c r="L232" t="s">
        <v>106</v>
      </c>
      <c r="M232" t="s">
        <v>275</v>
      </c>
      <c r="N232" t="s">
        <v>88</v>
      </c>
      <c r="O232" t="s">
        <v>149</v>
      </c>
      <c r="P232" s="1">
        <v>43984</v>
      </c>
      <c r="Q232">
        <v>4</v>
      </c>
      <c r="R232" t="s">
        <v>208</v>
      </c>
      <c r="S232" t="s">
        <v>63</v>
      </c>
      <c r="T232" t="s">
        <v>64</v>
      </c>
      <c r="U232">
        <v>0</v>
      </c>
      <c r="V232">
        <v>0</v>
      </c>
      <c r="W232">
        <v>6618</v>
      </c>
      <c r="X232">
        <v>1470</v>
      </c>
      <c r="Y232">
        <v>266</v>
      </c>
      <c r="Z232">
        <v>8354</v>
      </c>
      <c r="AA232">
        <v>383</v>
      </c>
      <c r="AB232" t="s">
        <v>65</v>
      </c>
      <c r="AC232">
        <v>14.2</v>
      </c>
      <c r="AD232">
        <v>46</v>
      </c>
      <c r="AE232">
        <v>53</v>
      </c>
      <c r="AF232" t="s">
        <v>132</v>
      </c>
      <c r="AG232">
        <v>28</v>
      </c>
      <c r="AH232" t="s">
        <v>113</v>
      </c>
      <c r="AI232" t="s">
        <v>177</v>
      </c>
      <c r="AJ232" t="s">
        <v>188</v>
      </c>
      <c r="AK232" t="s">
        <v>71</v>
      </c>
      <c r="AL232" t="s">
        <v>70</v>
      </c>
      <c r="AM232" t="s">
        <v>70</v>
      </c>
      <c r="AN232" t="s">
        <v>115</v>
      </c>
      <c r="AO232" t="s">
        <v>116</v>
      </c>
      <c r="AP232" t="s">
        <v>72</v>
      </c>
      <c r="AQ232" t="s">
        <v>136</v>
      </c>
      <c r="AR232" s="1">
        <v>44363</v>
      </c>
      <c r="AS232" t="s">
        <v>198</v>
      </c>
      <c r="AT232" t="s">
        <v>71</v>
      </c>
      <c r="AU232">
        <v>111</v>
      </c>
      <c r="AV232" t="s">
        <v>179</v>
      </c>
    </row>
    <row r="233" spans="1:48" x14ac:dyDescent="0.25">
      <c r="A233" t="s">
        <v>520</v>
      </c>
      <c r="B233" t="s">
        <v>181</v>
      </c>
      <c r="C233" t="s">
        <v>332</v>
      </c>
      <c r="D233" t="s">
        <v>51</v>
      </c>
      <c r="E233">
        <v>31</v>
      </c>
      <c r="F233" t="s">
        <v>123</v>
      </c>
      <c r="G233" t="s">
        <v>81</v>
      </c>
      <c r="H233" t="s">
        <v>82</v>
      </c>
      <c r="I233" t="s">
        <v>268</v>
      </c>
      <c r="J233" t="s">
        <v>269</v>
      </c>
      <c r="K233" t="s">
        <v>173</v>
      </c>
      <c r="L233" t="s">
        <v>106</v>
      </c>
      <c r="M233" t="s">
        <v>147</v>
      </c>
      <c r="N233" t="s">
        <v>162</v>
      </c>
      <c r="O233" t="s">
        <v>109</v>
      </c>
      <c r="P233" s="1">
        <v>43871</v>
      </c>
      <c r="Q233">
        <v>4.3</v>
      </c>
      <c r="R233" t="s">
        <v>90</v>
      </c>
      <c r="S233" t="s">
        <v>91</v>
      </c>
      <c r="T233" t="s">
        <v>92</v>
      </c>
      <c r="U233">
        <v>3</v>
      </c>
      <c r="V233">
        <v>0</v>
      </c>
      <c r="W233">
        <v>2504</v>
      </c>
      <c r="X233">
        <v>0</v>
      </c>
      <c r="Y233">
        <v>422</v>
      </c>
      <c r="Z233">
        <v>2926</v>
      </c>
      <c r="AA233">
        <v>426</v>
      </c>
      <c r="AB233" t="s">
        <v>65</v>
      </c>
      <c r="AC233">
        <v>14.1</v>
      </c>
      <c r="AD233">
        <v>75</v>
      </c>
      <c r="AE233">
        <v>80</v>
      </c>
      <c r="AF233" t="s">
        <v>112</v>
      </c>
      <c r="AG233">
        <v>39</v>
      </c>
      <c r="AH233" t="s">
        <v>94</v>
      </c>
      <c r="AI233" t="s">
        <v>95</v>
      </c>
      <c r="AJ233" t="s">
        <v>188</v>
      </c>
      <c r="AK233" t="s">
        <v>70</v>
      </c>
      <c r="AL233" t="s">
        <v>70</v>
      </c>
      <c r="AM233" t="s">
        <v>70</v>
      </c>
      <c r="AN233" t="s">
        <v>72</v>
      </c>
      <c r="AO233" t="s">
        <v>287</v>
      </c>
      <c r="AP233" t="s">
        <v>72</v>
      </c>
      <c r="AQ233" t="s">
        <v>74</v>
      </c>
      <c r="AR233" s="1">
        <v>44367</v>
      </c>
      <c r="AS233" t="s">
        <v>118</v>
      </c>
      <c r="AT233" t="s">
        <v>71</v>
      </c>
      <c r="AU233">
        <v>464</v>
      </c>
      <c r="AV233" t="s">
        <v>76</v>
      </c>
    </row>
    <row r="234" spans="1:48" x14ac:dyDescent="0.25">
      <c r="A234" t="s">
        <v>521</v>
      </c>
      <c r="B234" t="s">
        <v>282</v>
      </c>
      <c r="C234" t="s">
        <v>353</v>
      </c>
      <c r="D234" t="s">
        <v>122</v>
      </c>
      <c r="E234">
        <v>37</v>
      </c>
      <c r="F234" t="s">
        <v>291</v>
      </c>
      <c r="G234" t="s">
        <v>279</v>
      </c>
      <c r="H234" t="s">
        <v>280</v>
      </c>
      <c r="I234" t="s">
        <v>171</v>
      </c>
      <c r="J234" t="s">
        <v>172</v>
      </c>
      <c r="K234" t="s">
        <v>173</v>
      </c>
      <c r="L234" t="s">
        <v>174</v>
      </c>
      <c r="M234" t="s">
        <v>249</v>
      </c>
      <c r="N234" t="s">
        <v>108</v>
      </c>
      <c r="O234" t="s">
        <v>176</v>
      </c>
      <c r="P234" s="1">
        <v>44030</v>
      </c>
      <c r="Q234">
        <v>3.9</v>
      </c>
      <c r="R234" t="s">
        <v>208</v>
      </c>
      <c r="S234" t="s">
        <v>91</v>
      </c>
      <c r="T234" t="s">
        <v>92</v>
      </c>
      <c r="U234">
        <v>6</v>
      </c>
      <c r="V234">
        <v>1</v>
      </c>
      <c r="W234">
        <v>6618</v>
      </c>
      <c r="X234">
        <v>1585</v>
      </c>
      <c r="Y234">
        <v>266</v>
      </c>
      <c r="Z234">
        <v>8469</v>
      </c>
      <c r="AA234">
        <v>338</v>
      </c>
      <c r="AB234" t="s">
        <v>151</v>
      </c>
      <c r="AC234">
        <v>18.8</v>
      </c>
      <c r="AD234">
        <v>36</v>
      </c>
      <c r="AE234">
        <v>34</v>
      </c>
      <c r="AF234" t="s">
        <v>66</v>
      </c>
      <c r="AG234">
        <v>17</v>
      </c>
      <c r="AH234" t="s">
        <v>113</v>
      </c>
      <c r="AI234" t="s">
        <v>68</v>
      </c>
      <c r="AJ234" t="s">
        <v>72</v>
      </c>
      <c r="AK234" t="s">
        <v>71</v>
      </c>
      <c r="AL234" t="s">
        <v>70</v>
      </c>
      <c r="AM234" t="s">
        <v>70</v>
      </c>
      <c r="AN234" t="s">
        <v>202</v>
      </c>
      <c r="AO234" t="s">
        <v>221</v>
      </c>
      <c r="AP234" t="s">
        <v>287</v>
      </c>
      <c r="AQ234" t="s">
        <v>117</v>
      </c>
      <c r="AR234" s="1">
        <v>44976</v>
      </c>
      <c r="AS234" t="s">
        <v>198</v>
      </c>
      <c r="AT234" t="s">
        <v>71</v>
      </c>
      <c r="AU234">
        <v>-332</v>
      </c>
      <c r="AV234" t="s">
        <v>179</v>
      </c>
    </row>
    <row r="235" spans="1:48" x14ac:dyDescent="0.25">
      <c r="A235" t="s">
        <v>522</v>
      </c>
      <c r="B235" t="s">
        <v>181</v>
      </c>
      <c r="C235" t="s">
        <v>272</v>
      </c>
      <c r="D235" t="s">
        <v>51</v>
      </c>
      <c r="E235">
        <v>28</v>
      </c>
      <c r="F235" t="s">
        <v>141</v>
      </c>
      <c r="G235" t="s">
        <v>285</v>
      </c>
      <c r="H235" t="s">
        <v>286</v>
      </c>
      <c r="I235" t="s">
        <v>236</v>
      </c>
      <c r="J235" t="s">
        <v>237</v>
      </c>
      <c r="K235" t="s">
        <v>238</v>
      </c>
      <c r="L235" t="s">
        <v>86</v>
      </c>
      <c r="M235" t="s">
        <v>249</v>
      </c>
      <c r="N235" t="s">
        <v>108</v>
      </c>
      <c r="O235" t="s">
        <v>89</v>
      </c>
      <c r="P235" s="1">
        <v>40952</v>
      </c>
      <c r="Q235">
        <v>12.3</v>
      </c>
      <c r="R235" t="s">
        <v>195</v>
      </c>
      <c r="S235" t="s">
        <v>219</v>
      </c>
      <c r="T235" t="s">
        <v>220</v>
      </c>
      <c r="U235">
        <v>0</v>
      </c>
      <c r="V235">
        <v>0</v>
      </c>
      <c r="W235">
        <v>7668</v>
      </c>
      <c r="X235">
        <v>1886</v>
      </c>
      <c r="Y235">
        <v>266</v>
      </c>
      <c r="Z235">
        <v>9820</v>
      </c>
      <c r="AA235">
        <v>312</v>
      </c>
      <c r="AB235" t="s">
        <v>151</v>
      </c>
      <c r="AC235">
        <v>13.7</v>
      </c>
      <c r="AD235">
        <v>27</v>
      </c>
      <c r="AE235">
        <v>50</v>
      </c>
      <c r="AF235" t="s">
        <v>93</v>
      </c>
      <c r="AG235">
        <v>31</v>
      </c>
      <c r="AH235" t="s">
        <v>67</v>
      </c>
      <c r="AI235" t="s">
        <v>114</v>
      </c>
      <c r="AJ235" t="s">
        <v>96</v>
      </c>
      <c r="AK235" t="s">
        <v>70</v>
      </c>
      <c r="AL235" t="s">
        <v>70</v>
      </c>
      <c r="AM235" t="s">
        <v>70</v>
      </c>
      <c r="AN235" t="s">
        <v>72</v>
      </c>
      <c r="AO235" t="s">
        <v>134</v>
      </c>
      <c r="AP235" t="s">
        <v>227</v>
      </c>
      <c r="AQ235" t="s">
        <v>117</v>
      </c>
      <c r="AR235" s="1">
        <v>42126</v>
      </c>
      <c r="AS235" t="s">
        <v>198</v>
      </c>
      <c r="AT235" t="s">
        <v>71</v>
      </c>
      <c r="AU235">
        <v>-277</v>
      </c>
      <c r="AV235" t="s">
        <v>179</v>
      </c>
    </row>
    <row r="236" spans="1:48" x14ac:dyDescent="0.25">
      <c r="A236" t="s">
        <v>523</v>
      </c>
      <c r="B236" t="s">
        <v>205</v>
      </c>
      <c r="C236" t="s">
        <v>264</v>
      </c>
      <c r="D236" t="s">
        <v>51</v>
      </c>
      <c r="E236">
        <v>41</v>
      </c>
      <c r="F236" t="s">
        <v>283</v>
      </c>
      <c r="G236" t="s">
        <v>285</v>
      </c>
      <c r="H236" t="s">
        <v>286</v>
      </c>
      <c r="I236" t="s">
        <v>217</v>
      </c>
      <c r="J236" t="s">
        <v>218</v>
      </c>
      <c r="K236" t="s">
        <v>146</v>
      </c>
      <c r="L236" t="s">
        <v>58</v>
      </c>
      <c r="M236" t="s">
        <v>59</v>
      </c>
      <c r="N236" t="s">
        <v>162</v>
      </c>
      <c r="O236" t="s">
        <v>109</v>
      </c>
      <c r="P236" s="1">
        <v>39303</v>
      </c>
      <c r="Q236">
        <v>16.8</v>
      </c>
      <c r="R236" t="s">
        <v>150</v>
      </c>
      <c r="S236" t="s">
        <v>91</v>
      </c>
      <c r="T236" t="s">
        <v>92</v>
      </c>
      <c r="U236">
        <v>1</v>
      </c>
      <c r="V236">
        <v>0</v>
      </c>
      <c r="W236">
        <v>7668</v>
      </c>
      <c r="X236">
        <v>1704</v>
      </c>
      <c r="Y236">
        <v>266</v>
      </c>
      <c r="Z236">
        <v>9638</v>
      </c>
      <c r="AA236">
        <v>524</v>
      </c>
      <c r="AB236" t="s">
        <v>65</v>
      </c>
      <c r="AC236">
        <v>20.9</v>
      </c>
      <c r="AD236">
        <v>55</v>
      </c>
      <c r="AE236">
        <v>61</v>
      </c>
      <c r="AF236" t="s">
        <v>132</v>
      </c>
      <c r="AG236">
        <v>19</v>
      </c>
      <c r="AH236" t="s">
        <v>113</v>
      </c>
      <c r="AI236" t="s">
        <v>68</v>
      </c>
      <c r="AJ236" t="s">
        <v>188</v>
      </c>
      <c r="AK236" t="s">
        <v>70</v>
      </c>
      <c r="AL236" t="s">
        <v>71</v>
      </c>
      <c r="AM236" t="s">
        <v>70</v>
      </c>
      <c r="AN236" t="s">
        <v>270</v>
      </c>
      <c r="AO236" t="s">
        <v>72</v>
      </c>
      <c r="AP236" t="s">
        <v>97</v>
      </c>
      <c r="AQ236" t="s">
        <v>117</v>
      </c>
      <c r="AR236" s="1">
        <v>43392</v>
      </c>
      <c r="AS236" t="s">
        <v>118</v>
      </c>
      <c r="AT236" t="s">
        <v>71</v>
      </c>
      <c r="AU236">
        <v>239</v>
      </c>
      <c r="AV236" t="s">
        <v>76</v>
      </c>
    </row>
    <row r="237" spans="1:48" x14ac:dyDescent="0.25">
      <c r="A237" t="s">
        <v>524</v>
      </c>
      <c r="B237" t="s">
        <v>120</v>
      </c>
      <c r="C237" t="s">
        <v>223</v>
      </c>
      <c r="D237" t="s">
        <v>122</v>
      </c>
      <c r="E237">
        <v>38</v>
      </c>
      <c r="F237" t="s">
        <v>305</v>
      </c>
      <c r="G237" t="s">
        <v>285</v>
      </c>
      <c r="H237" t="s">
        <v>286</v>
      </c>
      <c r="I237" t="s">
        <v>158</v>
      </c>
      <c r="J237" t="s">
        <v>159</v>
      </c>
      <c r="K237" t="s">
        <v>160</v>
      </c>
      <c r="L237" t="s">
        <v>174</v>
      </c>
      <c r="M237" t="s">
        <v>161</v>
      </c>
      <c r="N237" t="s">
        <v>60</v>
      </c>
      <c r="O237" t="s">
        <v>176</v>
      </c>
      <c r="P237" s="1">
        <v>43934</v>
      </c>
      <c r="Q237">
        <v>4.0999999999999996</v>
      </c>
      <c r="R237" t="s">
        <v>75</v>
      </c>
      <c r="S237" t="s">
        <v>219</v>
      </c>
      <c r="T237" t="s">
        <v>220</v>
      </c>
      <c r="U237">
        <v>0</v>
      </c>
      <c r="V237">
        <v>0</v>
      </c>
      <c r="W237">
        <v>7668</v>
      </c>
      <c r="X237">
        <v>1049</v>
      </c>
      <c r="Y237">
        <v>266</v>
      </c>
      <c r="Z237">
        <v>8983</v>
      </c>
      <c r="AA237">
        <v>455</v>
      </c>
      <c r="AB237" t="s">
        <v>65</v>
      </c>
      <c r="AC237">
        <v>15.7</v>
      </c>
      <c r="AD237">
        <v>79</v>
      </c>
      <c r="AE237">
        <v>36</v>
      </c>
      <c r="AF237" t="s">
        <v>93</v>
      </c>
      <c r="AG237">
        <v>16</v>
      </c>
      <c r="AH237" t="s">
        <v>113</v>
      </c>
      <c r="AI237" t="s">
        <v>95</v>
      </c>
      <c r="AJ237" t="s">
        <v>96</v>
      </c>
      <c r="AK237" t="s">
        <v>71</v>
      </c>
      <c r="AL237" t="s">
        <v>70</v>
      </c>
      <c r="AM237" t="s">
        <v>71</v>
      </c>
      <c r="AN237" t="s">
        <v>133</v>
      </c>
      <c r="AO237" t="s">
        <v>97</v>
      </c>
      <c r="AP237" t="s">
        <v>72</v>
      </c>
      <c r="AQ237" t="s">
        <v>74</v>
      </c>
      <c r="AR237" s="1">
        <v>45463</v>
      </c>
      <c r="AS237" t="s">
        <v>75</v>
      </c>
      <c r="AT237" t="s">
        <v>71</v>
      </c>
      <c r="AU237">
        <v>29</v>
      </c>
      <c r="AV237" t="s">
        <v>179</v>
      </c>
    </row>
    <row r="238" spans="1:48" x14ac:dyDescent="0.25">
      <c r="A238" t="s">
        <v>525</v>
      </c>
      <c r="B238" t="s">
        <v>139</v>
      </c>
      <c r="C238" t="s">
        <v>191</v>
      </c>
      <c r="D238" t="s">
        <v>51</v>
      </c>
      <c r="E238">
        <v>43</v>
      </c>
      <c r="F238" t="s">
        <v>52</v>
      </c>
      <c r="G238" t="s">
        <v>142</v>
      </c>
      <c r="H238" t="s">
        <v>143</v>
      </c>
      <c r="I238" t="s">
        <v>83</v>
      </c>
      <c r="J238" t="s">
        <v>84</v>
      </c>
      <c r="K238" t="s">
        <v>85</v>
      </c>
      <c r="L238" t="s">
        <v>174</v>
      </c>
      <c r="M238" t="s">
        <v>59</v>
      </c>
      <c r="N238" t="s">
        <v>60</v>
      </c>
      <c r="O238" t="s">
        <v>61</v>
      </c>
      <c r="P238" s="1">
        <v>43286</v>
      </c>
      <c r="Q238">
        <v>5.9</v>
      </c>
      <c r="R238" t="s">
        <v>195</v>
      </c>
      <c r="S238" t="s">
        <v>91</v>
      </c>
      <c r="T238" t="s">
        <v>92</v>
      </c>
      <c r="U238">
        <v>2</v>
      </c>
      <c r="V238">
        <v>0</v>
      </c>
      <c r="W238">
        <v>5473</v>
      </c>
      <c r="X238">
        <v>1616</v>
      </c>
      <c r="Y238">
        <v>422</v>
      </c>
      <c r="Z238">
        <v>7511</v>
      </c>
      <c r="AA238">
        <v>494</v>
      </c>
      <c r="AB238" t="s">
        <v>65</v>
      </c>
      <c r="AC238">
        <v>14</v>
      </c>
      <c r="AD238">
        <v>81</v>
      </c>
      <c r="AE238">
        <v>79</v>
      </c>
      <c r="AF238" t="s">
        <v>66</v>
      </c>
      <c r="AG238">
        <v>16</v>
      </c>
      <c r="AH238" t="s">
        <v>113</v>
      </c>
      <c r="AI238" t="s">
        <v>68</v>
      </c>
      <c r="AJ238" t="s">
        <v>188</v>
      </c>
      <c r="AK238" t="s">
        <v>71</v>
      </c>
      <c r="AL238" t="s">
        <v>70</v>
      </c>
      <c r="AM238" t="s">
        <v>70</v>
      </c>
      <c r="AN238" t="s">
        <v>72</v>
      </c>
      <c r="AO238" t="s">
        <v>73</v>
      </c>
      <c r="AP238" t="s">
        <v>72</v>
      </c>
      <c r="AQ238" t="s">
        <v>74</v>
      </c>
      <c r="AR238" s="1">
        <v>43494</v>
      </c>
      <c r="AS238" t="s">
        <v>118</v>
      </c>
      <c r="AT238" t="s">
        <v>71</v>
      </c>
      <c r="AU238">
        <v>1005</v>
      </c>
      <c r="AV238" t="s">
        <v>76</v>
      </c>
    </row>
    <row r="239" spans="1:48" x14ac:dyDescent="0.25">
      <c r="A239" t="s">
        <v>526</v>
      </c>
      <c r="B239" t="s">
        <v>229</v>
      </c>
      <c r="C239" t="s">
        <v>167</v>
      </c>
      <c r="D239" t="s">
        <v>51</v>
      </c>
      <c r="E239">
        <v>38</v>
      </c>
      <c r="F239" t="s">
        <v>283</v>
      </c>
      <c r="G239" t="s">
        <v>156</v>
      </c>
      <c r="H239" t="s">
        <v>157</v>
      </c>
      <c r="I239" t="s">
        <v>185</v>
      </c>
      <c r="J239" t="s">
        <v>186</v>
      </c>
      <c r="K239" t="s">
        <v>187</v>
      </c>
      <c r="L239" t="s">
        <v>86</v>
      </c>
      <c r="M239" t="s">
        <v>87</v>
      </c>
      <c r="N239" t="s">
        <v>148</v>
      </c>
      <c r="O239" t="s">
        <v>109</v>
      </c>
      <c r="P239" s="1">
        <v>39092</v>
      </c>
      <c r="Q239">
        <v>17.399999999999999</v>
      </c>
      <c r="R239" t="s">
        <v>129</v>
      </c>
      <c r="S239" t="s">
        <v>196</v>
      </c>
      <c r="T239" t="s">
        <v>197</v>
      </c>
      <c r="U239">
        <v>0</v>
      </c>
      <c r="V239">
        <v>0</v>
      </c>
      <c r="W239">
        <v>4836</v>
      </c>
      <c r="X239">
        <v>1665</v>
      </c>
      <c r="Y239">
        <v>266</v>
      </c>
      <c r="Z239">
        <v>6767</v>
      </c>
      <c r="AA239">
        <v>508</v>
      </c>
      <c r="AB239" t="s">
        <v>65</v>
      </c>
      <c r="AC239">
        <v>17.7</v>
      </c>
      <c r="AD239">
        <v>47</v>
      </c>
      <c r="AE239">
        <v>70</v>
      </c>
      <c r="AF239" t="s">
        <v>66</v>
      </c>
      <c r="AG239">
        <v>17</v>
      </c>
      <c r="AH239" t="s">
        <v>113</v>
      </c>
      <c r="AI239" t="s">
        <v>177</v>
      </c>
      <c r="AJ239" t="s">
        <v>188</v>
      </c>
      <c r="AK239" t="s">
        <v>70</v>
      </c>
      <c r="AL239" t="s">
        <v>70</v>
      </c>
      <c r="AM239" t="s">
        <v>70</v>
      </c>
      <c r="AN239" t="s">
        <v>270</v>
      </c>
      <c r="AO239" t="s">
        <v>203</v>
      </c>
      <c r="AP239" t="s">
        <v>72</v>
      </c>
      <c r="AQ239" t="s">
        <v>74</v>
      </c>
      <c r="AR239" s="1">
        <v>45649</v>
      </c>
      <c r="AS239" t="s">
        <v>75</v>
      </c>
      <c r="AT239" t="s">
        <v>71</v>
      </c>
      <c r="AU239">
        <v>1456</v>
      </c>
      <c r="AV239" t="s">
        <v>76</v>
      </c>
    </row>
    <row r="240" spans="1:48" x14ac:dyDescent="0.25">
      <c r="A240" t="s">
        <v>527</v>
      </c>
      <c r="B240" t="s">
        <v>377</v>
      </c>
      <c r="C240" t="s">
        <v>233</v>
      </c>
      <c r="D240" t="s">
        <v>51</v>
      </c>
      <c r="E240">
        <v>19</v>
      </c>
      <c r="F240" t="s">
        <v>325</v>
      </c>
      <c r="G240" t="s">
        <v>142</v>
      </c>
      <c r="H240" t="s">
        <v>143</v>
      </c>
      <c r="I240" t="s">
        <v>144</v>
      </c>
      <c r="J240" t="s">
        <v>145</v>
      </c>
      <c r="K240" t="s">
        <v>146</v>
      </c>
      <c r="L240" t="s">
        <v>58</v>
      </c>
      <c r="M240" t="s">
        <v>147</v>
      </c>
      <c r="N240" t="s">
        <v>162</v>
      </c>
      <c r="O240" t="s">
        <v>176</v>
      </c>
      <c r="P240" s="1">
        <v>43010</v>
      </c>
      <c r="Q240">
        <v>6.7</v>
      </c>
      <c r="R240" t="s">
        <v>150</v>
      </c>
      <c r="S240" t="s">
        <v>163</v>
      </c>
      <c r="T240" t="s">
        <v>164</v>
      </c>
      <c r="U240">
        <v>2</v>
      </c>
      <c r="V240">
        <v>0</v>
      </c>
      <c r="W240">
        <v>5473</v>
      </c>
      <c r="X240">
        <v>0</v>
      </c>
      <c r="Y240">
        <v>422</v>
      </c>
      <c r="Z240">
        <v>5895</v>
      </c>
      <c r="AA240">
        <v>527</v>
      </c>
      <c r="AB240" t="s">
        <v>65</v>
      </c>
      <c r="AC240">
        <v>16.8</v>
      </c>
      <c r="AD240">
        <v>46</v>
      </c>
      <c r="AE240">
        <v>36</v>
      </c>
      <c r="AF240" t="s">
        <v>112</v>
      </c>
      <c r="AG240">
        <v>27</v>
      </c>
      <c r="AH240" t="s">
        <v>113</v>
      </c>
      <c r="AI240" t="s">
        <v>95</v>
      </c>
      <c r="AJ240" t="s">
        <v>69</v>
      </c>
      <c r="AK240" t="s">
        <v>70</v>
      </c>
      <c r="AL240" t="s">
        <v>71</v>
      </c>
      <c r="AM240" t="s">
        <v>70</v>
      </c>
      <c r="AN240" t="s">
        <v>72</v>
      </c>
      <c r="AO240" t="s">
        <v>134</v>
      </c>
      <c r="AP240" t="s">
        <v>72</v>
      </c>
      <c r="AQ240" t="s">
        <v>136</v>
      </c>
      <c r="AR240" s="1">
        <v>44599</v>
      </c>
      <c r="AS240" t="s">
        <v>75</v>
      </c>
      <c r="AT240" t="s">
        <v>71</v>
      </c>
      <c r="AU240">
        <v>1342</v>
      </c>
      <c r="AV240" t="s">
        <v>76</v>
      </c>
    </row>
    <row r="241" spans="1:48" x14ac:dyDescent="0.25">
      <c r="A241" t="s">
        <v>528</v>
      </c>
      <c r="B241" t="s">
        <v>181</v>
      </c>
      <c r="C241" t="s">
        <v>360</v>
      </c>
      <c r="D241" t="s">
        <v>51</v>
      </c>
      <c r="E241">
        <v>22</v>
      </c>
      <c r="F241" t="s">
        <v>192</v>
      </c>
      <c r="G241" t="s">
        <v>169</v>
      </c>
      <c r="H241" t="s">
        <v>170</v>
      </c>
      <c r="I241" t="s">
        <v>273</v>
      </c>
      <c r="J241" t="s">
        <v>274</v>
      </c>
      <c r="K241" t="s">
        <v>57</v>
      </c>
      <c r="L241" t="s">
        <v>174</v>
      </c>
      <c r="M241" t="s">
        <v>59</v>
      </c>
      <c r="N241" t="s">
        <v>148</v>
      </c>
      <c r="O241" t="s">
        <v>176</v>
      </c>
      <c r="P241" s="1">
        <v>43869</v>
      </c>
      <c r="Q241">
        <v>4.3</v>
      </c>
      <c r="R241" t="s">
        <v>195</v>
      </c>
      <c r="S241" t="s">
        <v>163</v>
      </c>
      <c r="T241" t="s">
        <v>164</v>
      </c>
      <c r="U241">
        <v>13</v>
      </c>
      <c r="V241">
        <v>2</v>
      </c>
      <c r="W241">
        <v>3294</v>
      </c>
      <c r="X241">
        <v>0</v>
      </c>
      <c r="Y241">
        <v>422</v>
      </c>
      <c r="Z241">
        <v>3716</v>
      </c>
      <c r="AA241">
        <v>377</v>
      </c>
      <c r="AB241" t="s">
        <v>65</v>
      </c>
      <c r="AC241">
        <v>12.5</v>
      </c>
      <c r="AD241">
        <v>27</v>
      </c>
      <c r="AE241">
        <v>30</v>
      </c>
      <c r="AF241" t="s">
        <v>132</v>
      </c>
      <c r="AG241">
        <v>30</v>
      </c>
      <c r="AH241" t="s">
        <v>67</v>
      </c>
      <c r="AI241" t="s">
        <v>177</v>
      </c>
      <c r="AJ241" t="s">
        <v>96</v>
      </c>
      <c r="AK241" t="s">
        <v>70</v>
      </c>
      <c r="AL241" t="s">
        <v>70</v>
      </c>
      <c r="AM241" t="s">
        <v>71</v>
      </c>
      <c r="AN241" t="s">
        <v>72</v>
      </c>
      <c r="AO241" t="s">
        <v>72</v>
      </c>
      <c r="AP241" t="s">
        <v>72</v>
      </c>
      <c r="AQ241" t="s">
        <v>74</v>
      </c>
      <c r="AR241" s="1">
        <v>43863</v>
      </c>
      <c r="AS241" t="s">
        <v>118</v>
      </c>
      <c r="AT241" t="s">
        <v>71</v>
      </c>
      <c r="AU241">
        <v>270</v>
      </c>
      <c r="AV241" t="s">
        <v>76</v>
      </c>
    </row>
    <row r="242" spans="1:48" x14ac:dyDescent="0.25">
      <c r="A242" t="s">
        <v>529</v>
      </c>
      <c r="B242" t="s">
        <v>308</v>
      </c>
      <c r="C242" t="s">
        <v>155</v>
      </c>
      <c r="D242" t="s">
        <v>51</v>
      </c>
      <c r="E242">
        <v>24</v>
      </c>
      <c r="F242" t="s">
        <v>224</v>
      </c>
      <c r="G242" t="s">
        <v>124</v>
      </c>
      <c r="H242" t="s">
        <v>125</v>
      </c>
      <c r="I242" t="s">
        <v>158</v>
      </c>
      <c r="J242" t="s">
        <v>159</v>
      </c>
      <c r="K242" t="s">
        <v>160</v>
      </c>
      <c r="L242" t="s">
        <v>58</v>
      </c>
      <c r="M242" t="s">
        <v>212</v>
      </c>
      <c r="N242" t="s">
        <v>128</v>
      </c>
      <c r="O242" t="s">
        <v>61</v>
      </c>
      <c r="P242" s="1">
        <v>39916</v>
      </c>
      <c r="Q242">
        <v>15.1</v>
      </c>
      <c r="R242" t="s">
        <v>75</v>
      </c>
      <c r="S242" t="s">
        <v>163</v>
      </c>
      <c r="T242" t="s">
        <v>164</v>
      </c>
      <c r="U242">
        <v>9</v>
      </c>
      <c r="V242">
        <v>1</v>
      </c>
      <c r="W242">
        <v>2730</v>
      </c>
      <c r="X242">
        <v>0</v>
      </c>
      <c r="Y242">
        <v>422</v>
      </c>
      <c r="Z242">
        <v>3152</v>
      </c>
      <c r="AA242">
        <v>375</v>
      </c>
      <c r="AB242" t="s">
        <v>65</v>
      </c>
      <c r="AC242">
        <v>16.5</v>
      </c>
      <c r="AD242">
        <v>21</v>
      </c>
      <c r="AE242">
        <v>37</v>
      </c>
      <c r="AF242" t="s">
        <v>93</v>
      </c>
      <c r="AG242">
        <v>39</v>
      </c>
      <c r="AH242" t="s">
        <v>94</v>
      </c>
      <c r="AI242" t="s">
        <v>152</v>
      </c>
      <c r="AJ242" t="s">
        <v>72</v>
      </c>
      <c r="AK242" t="s">
        <v>70</v>
      </c>
      <c r="AL242" t="s">
        <v>70</v>
      </c>
      <c r="AM242" t="s">
        <v>70</v>
      </c>
      <c r="AN242" t="s">
        <v>72</v>
      </c>
      <c r="AO242" t="s">
        <v>72</v>
      </c>
      <c r="AP242" t="s">
        <v>72</v>
      </c>
      <c r="AQ242" t="s">
        <v>74</v>
      </c>
      <c r="AR242" s="1">
        <v>39878</v>
      </c>
      <c r="AS242" t="s">
        <v>198</v>
      </c>
      <c r="AT242" t="s">
        <v>71</v>
      </c>
      <c r="AU242">
        <v>-80</v>
      </c>
      <c r="AV242" t="s">
        <v>179</v>
      </c>
    </row>
    <row r="243" spans="1:48" x14ac:dyDescent="0.25">
      <c r="A243" t="s">
        <v>530</v>
      </c>
      <c r="B243" t="s">
        <v>308</v>
      </c>
      <c r="C243" t="s">
        <v>369</v>
      </c>
      <c r="D243" t="s">
        <v>122</v>
      </c>
      <c r="E243">
        <v>32</v>
      </c>
      <c r="F243" t="s">
        <v>52</v>
      </c>
      <c r="G243" t="s">
        <v>142</v>
      </c>
      <c r="H243" t="s">
        <v>143</v>
      </c>
      <c r="I243" t="s">
        <v>268</v>
      </c>
      <c r="J243" t="s">
        <v>269</v>
      </c>
      <c r="K243" t="s">
        <v>173</v>
      </c>
      <c r="L243" t="s">
        <v>126</v>
      </c>
      <c r="M243" t="s">
        <v>212</v>
      </c>
      <c r="N243" t="s">
        <v>162</v>
      </c>
      <c r="O243" t="s">
        <v>61</v>
      </c>
      <c r="P243" s="1">
        <v>43194</v>
      </c>
      <c r="Q243">
        <v>6.2</v>
      </c>
      <c r="R243" t="s">
        <v>75</v>
      </c>
      <c r="S243" t="s">
        <v>219</v>
      </c>
      <c r="T243" t="s">
        <v>220</v>
      </c>
      <c r="U243">
        <v>0</v>
      </c>
      <c r="V243">
        <v>0</v>
      </c>
      <c r="W243">
        <v>5473</v>
      </c>
      <c r="X243">
        <v>2052</v>
      </c>
      <c r="Y243">
        <v>422</v>
      </c>
      <c r="Z243">
        <v>7947</v>
      </c>
      <c r="AA243">
        <v>299</v>
      </c>
      <c r="AB243" t="s">
        <v>151</v>
      </c>
      <c r="AC243">
        <v>14.5</v>
      </c>
      <c r="AD243">
        <v>23</v>
      </c>
      <c r="AE243">
        <v>63</v>
      </c>
      <c r="AF243" t="s">
        <v>132</v>
      </c>
      <c r="AG243">
        <v>34</v>
      </c>
      <c r="AH243" t="s">
        <v>67</v>
      </c>
      <c r="AI243" t="s">
        <v>177</v>
      </c>
      <c r="AJ243" t="s">
        <v>72</v>
      </c>
      <c r="AK243" t="s">
        <v>70</v>
      </c>
      <c r="AL243" t="s">
        <v>70</v>
      </c>
      <c r="AM243" t="s">
        <v>70</v>
      </c>
      <c r="AN243" t="s">
        <v>72</v>
      </c>
      <c r="AO243" t="s">
        <v>221</v>
      </c>
      <c r="AP243" t="s">
        <v>134</v>
      </c>
      <c r="AQ243" t="s">
        <v>74</v>
      </c>
      <c r="AR243" s="1">
        <v>43888</v>
      </c>
      <c r="AS243" t="s">
        <v>118</v>
      </c>
      <c r="AT243" t="s">
        <v>71</v>
      </c>
      <c r="AU243">
        <v>1422</v>
      </c>
      <c r="AV243" t="s">
        <v>76</v>
      </c>
    </row>
    <row r="244" spans="1:48" x14ac:dyDescent="0.25">
      <c r="A244" t="s">
        <v>531</v>
      </c>
      <c r="B244" t="s">
        <v>120</v>
      </c>
      <c r="C244" t="s">
        <v>200</v>
      </c>
      <c r="D244" t="s">
        <v>51</v>
      </c>
      <c r="E244">
        <v>33</v>
      </c>
      <c r="F244" t="s">
        <v>311</v>
      </c>
      <c r="G244" t="s">
        <v>53</v>
      </c>
      <c r="H244" t="s">
        <v>54</v>
      </c>
      <c r="I244" t="s">
        <v>225</v>
      </c>
      <c r="J244" t="s">
        <v>226</v>
      </c>
      <c r="K244" t="s">
        <v>105</v>
      </c>
      <c r="L244" t="s">
        <v>106</v>
      </c>
      <c r="M244" t="s">
        <v>161</v>
      </c>
      <c r="N244" t="s">
        <v>148</v>
      </c>
      <c r="O244" t="s">
        <v>109</v>
      </c>
      <c r="P244" s="1">
        <v>39427</v>
      </c>
      <c r="Q244">
        <v>16.5</v>
      </c>
      <c r="R244" t="s">
        <v>62</v>
      </c>
      <c r="S244" t="s">
        <v>110</v>
      </c>
      <c r="T244" t="s">
        <v>111</v>
      </c>
      <c r="U244">
        <v>12</v>
      </c>
      <c r="V244">
        <v>2</v>
      </c>
      <c r="W244">
        <v>4739</v>
      </c>
      <c r="X244">
        <v>1653</v>
      </c>
      <c r="Y244">
        <v>422</v>
      </c>
      <c r="Z244">
        <v>6814</v>
      </c>
      <c r="AA244">
        <v>396</v>
      </c>
      <c r="AB244" t="s">
        <v>65</v>
      </c>
      <c r="AC244">
        <v>19.3</v>
      </c>
      <c r="AD244">
        <v>71</v>
      </c>
      <c r="AE244">
        <v>40</v>
      </c>
      <c r="AF244" t="s">
        <v>112</v>
      </c>
      <c r="AG244">
        <v>38</v>
      </c>
      <c r="AH244" t="s">
        <v>94</v>
      </c>
      <c r="AI244" t="s">
        <v>95</v>
      </c>
      <c r="AJ244" t="s">
        <v>188</v>
      </c>
      <c r="AK244" t="s">
        <v>70</v>
      </c>
      <c r="AL244" t="s">
        <v>71</v>
      </c>
      <c r="AM244" t="s">
        <v>70</v>
      </c>
      <c r="AN244" t="s">
        <v>72</v>
      </c>
      <c r="AO244" t="s">
        <v>72</v>
      </c>
      <c r="AP244" t="s">
        <v>72</v>
      </c>
      <c r="AQ244" t="s">
        <v>74</v>
      </c>
      <c r="AR244" s="1">
        <v>40798</v>
      </c>
      <c r="AS244" t="s">
        <v>198</v>
      </c>
      <c r="AT244" t="s">
        <v>71</v>
      </c>
      <c r="AU244">
        <v>1780</v>
      </c>
      <c r="AV244" t="s">
        <v>76</v>
      </c>
    </row>
    <row r="245" spans="1:48" x14ac:dyDescent="0.25">
      <c r="A245" t="s">
        <v>532</v>
      </c>
      <c r="B245" t="s">
        <v>282</v>
      </c>
      <c r="C245" t="s">
        <v>50</v>
      </c>
      <c r="D245" t="s">
        <v>51</v>
      </c>
      <c r="E245">
        <v>37</v>
      </c>
      <c r="F245" t="s">
        <v>311</v>
      </c>
      <c r="G245" t="s">
        <v>242</v>
      </c>
      <c r="H245" t="s">
        <v>54</v>
      </c>
      <c r="I245" t="s">
        <v>83</v>
      </c>
      <c r="J245" t="s">
        <v>84</v>
      </c>
      <c r="K245" t="s">
        <v>85</v>
      </c>
      <c r="L245" t="s">
        <v>106</v>
      </c>
      <c r="M245" t="s">
        <v>275</v>
      </c>
      <c r="N245" t="s">
        <v>108</v>
      </c>
      <c r="O245" t="s">
        <v>61</v>
      </c>
      <c r="P245" s="1">
        <v>38614</v>
      </c>
      <c r="Q245">
        <v>18.7</v>
      </c>
      <c r="R245" t="s">
        <v>90</v>
      </c>
      <c r="S245" t="s">
        <v>196</v>
      </c>
      <c r="T245" t="s">
        <v>197</v>
      </c>
      <c r="U245">
        <v>0</v>
      </c>
      <c r="V245">
        <v>0</v>
      </c>
      <c r="W245">
        <v>4739</v>
      </c>
      <c r="X245">
        <v>930</v>
      </c>
      <c r="Y245">
        <v>422</v>
      </c>
      <c r="Z245">
        <v>6091</v>
      </c>
      <c r="AA245">
        <v>351</v>
      </c>
      <c r="AB245" t="s">
        <v>151</v>
      </c>
      <c r="AC245">
        <v>16.2</v>
      </c>
      <c r="AD245">
        <v>59</v>
      </c>
      <c r="AE245">
        <v>44</v>
      </c>
      <c r="AF245" t="s">
        <v>93</v>
      </c>
      <c r="AG245">
        <v>31</v>
      </c>
      <c r="AH245" t="s">
        <v>67</v>
      </c>
      <c r="AI245" t="s">
        <v>177</v>
      </c>
      <c r="AJ245" t="s">
        <v>72</v>
      </c>
      <c r="AK245" t="s">
        <v>70</v>
      </c>
      <c r="AL245" t="s">
        <v>71</v>
      </c>
      <c r="AM245" t="s">
        <v>70</v>
      </c>
      <c r="AN245" t="s">
        <v>270</v>
      </c>
      <c r="AO245" t="s">
        <v>134</v>
      </c>
      <c r="AP245" t="s">
        <v>72</v>
      </c>
      <c r="AQ245" t="s">
        <v>117</v>
      </c>
      <c r="AR245" s="1">
        <v>39220</v>
      </c>
      <c r="AS245" t="s">
        <v>198</v>
      </c>
      <c r="AT245" t="s">
        <v>71</v>
      </c>
      <c r="AU245">
        <v>-83</v>
      </c>
      <c r="AV245" t="s">
        <v>179</v>
      </c>
    </row>
    <row r="246" spans="1:48" x14ac:dyDescent="0.25">
      <c r="A246" t="s">
        <v>533</v>
      </c>
      <c r="B246" t="s">
        <v>181</v>
      </c>
      <c r="C246" t="s">
        <v>140</v>
      </c>
      <c r="D246" t="s">
        <v>51</v>
      </c>
      <c r="E246">
        <v>23</v>
      </c>
      <c r="F246" t="s">
        <v>325</v>
      </c>
      <c r="G246" t="s">
        <v>81</v>
      </c>
      <c r="H246" t="s">
        <v>82</v>
      </c>
      <c r="I246" t="s">
        <v>144</v>
      </c>
      <c r="J246" t="s">
        <v>145</v>
      </c>
      <c r="K246" t="s">
        <v>146</v>
      </c>
      <c r="L246" t="s">
        <v>58</v>
      </c>
      <c r="M246" t="s">
        <v>161</v>
      </c>
      <c r="N246" t="s">
        <v>108</v>
      </c>
      <c r="O246" t="s">
        <v>176</v>
      </c>
      <c r="P246" s="1">
        <v>44154</v>
      </c>
      <c r="Q246">
        <v>3.5</v>
      </c>
      <c r="R246" t="s">
        <v>90</v>
      </c>
      <c r="S246" t="s">
        <v>91</v>
      </c>
      <c r="T246" t="s">
        <v>92</v>
      </c>
      <c r="U246">
        <v>15</v>
      </c>
      <c r="V246">
        <v>2</v>
      </c>
      <c r="W246">
        <v>2504</v>
      </c>
      <c r="X246">
        <v>0</v>
      </c>
      <c r="Y246">
        <v>422</v>
      </c>
      <c r="Z246">
        <v>2926</v>
      </c>
      <c r="AA246">
        <v>352</v>
      </c>
      <c r="AB246" t="s">
        <v>151</v>
      </c>
      <c r="AC246">
        <v>18</v>
      </c>
      <c r="AD246">
        <v>41</v>
      </c>
      <c r="AE246">
        <v>38</v>
      </c>
      <c r="AF246" t="s">
        <v>93</v>
      </c>
      <c r="AG246">
        <v>30</v>
      </c>
      <c r="AH246" t="s">
        <v>67</v>
      </c>
      <c r="AI246" t="s">
        <v>68</v>
      </c>
      <c r="AJ246" t="s">
        <v>69</v>
      </c>
      <c r="AK246" t="s">
        <v>70</v>
      </c>
      <c r="AL246" t="s">
        <v>70</v>
      </c>
      <c r="AM246" t="s">
        <v>70</v>
      </c>
      <c r="AN246" t="s">
        <v>231</v>
      </c>
      <c r="AO246" t="s">
        <v>227</v>
      </c>
      <c r="AP246" t="s">
        <v>135</v>
      </c>
      <c r="AQ246" t="s">
        <v>98</v>
      </c>
      <c r="AR246" s="1">
        <v>44569</v>
      </c>
      <c r="AS246" t="s">
        <v>75</v>
      </c>
      <c r="AT246" t="s">
        <v>71</v>
      </c>
      <c r="AU246">
        <v>505</v>
      </c>
      <c r="AV246" t="s">
        <v>76</v>
      </c>
    </row>
    <row r="247" spans="1:48" x14ac:dyDescent="0.25">
      <c r="A247" t="s">
        <v>534</v>
      </c>
      <c r="B247" t="s">
        <v>120</v>
      </c>
      <c r="C247" t="s">
        <v>257</v>
      </c>
      <c r="D247" t="s">
        <v>51</v>
      </c>
      <c r="E247">
        <v>36</v>
      </c>
      <c r="F247" t="s">
        <v>214</v>
      </c>
      <c r="G247" t="s">
        <v>124</v>
      </c>
      <c r="H247" t="s">
        <v>125</v>
      </c>
      <c r="I247" t="s">
        <v>292</v>
      </c>
      <c r="J247" t="s">
        <v>293</v>
      </c>
      <c r="K247" t="s">
        <v>294</v>
      </c>
      <c r="L247" t="s">
        <v>126</v>
      </c>
      <c r="M247" t="s">
        <v>212</v>
      </c>
      <c r="N247" t="s">
        <v>162</v>
      </c>
      <c r="O247" t="s">
        <v>109</v>
      </c>
      <c r="P247" s="1">
        <v>42581</v>
      </c>
      <c r="Q247">
        <v>7.8</v>
      </c>
      <c r="R247" t="s">
        <v>75</v>
      </c>
      <c r="S247" t="s">
        <v>196</v>
      </c>
      <c r="T247" t="s">
        <v>197</v>
      </c>
      <c r="U247">
        <v>0</v>
      </c>
      <c r="V247">
        <v>0</v>
      </c>
      <c r="W247">
        <v>2730</v>
      </c>
      <c r="X247">
        <v>2197</v>
      </c>
      <c r="Y247">
        <v>422</v>
      </c>
      <c r="Z247">
        <v>5349</v>
      </c>
      <c r="AA247">
        <v>295</v>
      </c>
      <c r="AB247" t="s">
        <v>151</v>
      </c>
      <c r="AC247">
        <v>20.5</v>
      </c>
      <c r="AD247">
        <v>48</v>
      </c>
      <c r="AE247">
        <v>39</v>
      </c>
      <c r="AF247" t="s">
        <v>66</v>
      </c>
      <c r="AG247">
        <v>18</v>
      </c>
      <c r="AH247" t="s">
        <v>113</v>
      </c>
      <c r="AI247" t="s">
        <v>152</v>
      </c>
      <c r="AJ247" t="s">
        <v>72</v>
      </c>
      <c r="AK247" t="s">
        <v>70</v>
      </c>
      <c r="AL247" t="s">
        <v>71</v>
      </c>
      <c r="AM247" t="s">
        <v>70</v>
      </c>
      <c r="AN247" t="s">
        <v>133</v>
      </c>
      <c r="AO247" t="s">
        <v>221</v>
      </c>
      <c r="AP247" t="s">
        <v>72</v>
      </c>
      <c r="AQ247" t="s">
        <v>98</v>
      </c>
      <c r="AR247" s="1">
        <v>45240</v>
      </c>
      <c r="AS247" t="s">
        <v>75</v>
      </c>
      <c r="AT247" t="s">
        <v>71</v>
      </c>
      <c r="AU247">
        <v>1767</v>
      </c>
      <c r="AV247" t="s">
        <v>76</v>
      </c>
    </row>
    <row r="248" spans="1:48" x14ac:dyDescent="0.25">
      <c r="A248" t="s">
        <v>535</v>
      </c>
      <c r="B248" t="s">
        <v>282</v>
      </c>
      <c r="C248" t="s">
        <v>360</v>
      </c>
      <c r="D248" t="s">
        <v>51</v>
      </c>
      <c r="E248">
        <v>34</v>
      </c>
      <c r="F248" t="s">
        <v>168</v>
      </c>
      <c r="G248" t="s">
        <v>234</v>
      </c>
      <c r="H248" t="s">
        <v>235</v>
      </c>
      <c r="I248" t="s">
        <v>144</v>
      </c>
      <c r="J248" t="s">
        <v>145</v>
      </c>
      <c r="K248" t="s">
        <v>146</v>
      </c>
      <c r="L248" t="s">
        <v>86</v>
      </c>
      <c r="M248" t="s">
        <v>147</v>
      </c>
      <c r="N248" t="s">
        <v>148</v>
      </c>
      <c r="O248" t="s">
        <v>149</v>
      </c>
      <c r="P248" s="1">
        <v>44089</v>
      </c>
      <c r="Q248">
        <v>3.7</v>
      </c>
      <c r="R248" t="s">
        <v>150</v>
      </c>
      <c r="S248" t="s">
        <v>91</v>
      </c>
      <c r="T248" t="s">
        <v>92</v>
      </c>
      <c r="U248">
        <v>14</v>
      </c>
      <c r="V248">
        <v>2</v>
      </c>
      <c r="W248">
        <v>1917</v>
      </c>
      <c r="X248">
        <v>0</v>
      </c>
      <c r="Y248">
        <v>422</v>
      </c>
      <c r="Z248">
        <v>2339</v>
      </c>
      <c r="AA248">
        <v>516</v>
      </c>
      <c r="AB248" t="s">
        <v>65</v>
      </c>
      <c r="AC248">
        <v>20</v>
      </c>
      <c r="AD248">
        <v>59</v>
      </c>
      <c r="AE248">
        <v>80</v>
      </c>
      <c r="AF248" t="s">
        <v>112</v>
      </c>
      <c r="AG248">
        <v>36</v>
      </c>
      <c r="AH248" t="s">
        <v>94</v>
      </c>
      <c r="AI248" t="s">
        <v>68</v>
      </c>
      <c r="AJ248" t="s">
        <v>96</v>
      </c>
      <c r="AK248" t="s">
        <v>70</v>
      </c>
      <c r="AL248" t="s">
        <v>70</v>
      </c>
      <c r="AM248" t="s">
        <v>70</v>
      </c>
      <c r="AN248" t="s">
        <v>72</v>
      </c>
      <c r="AO248" t="s">
        <v>227</v>
      </c>
      <c r="AP248" t="s">
        <v>134</v>
      </c>
      <c r="AQ248" t="s">
        <v>136</v>
      </c>
      <c r="AR248" s="1">
        <v>44961</v>
      </c>
      <c r="AS248" t="s">
        <v>118</v>
      </c>
      <c r="AT248" t="s">
        <v>71</v>
      </c>
      <c r="AU248">
        <v>778</v>
      </c>
      <c r="AV248" t="s">
        <v>76</v>
      </c>
    </row>
    <row r="249" spans="1:48" x14ac:dyDescent="0.25">
      <c r="A249" t="s">
        <v>536</v>
      </c>
      <c r="B249" t="s">
        <v>346</v>
      </c>
      <c r="C249" t="s">
        <v>264</v>
      </c>
      <c r="D249" t="s">
        <v>51</v>
      </c>
      <c r="E249">
        <v>43</v>
      </c>
      <c r="F249" t="s">
        <v>241</v>
      </c>
      <c r="G249" t="s">
        <v>234</v>
      </c>
      <c r="H249" t="s">
        <v>235</v>
      </c>
      <c r="I249" t="s">
        <v>236</v>
      </c>
      <c r="J249" t="s">
        <v>237</v>
      </c>
      <c r="K249" t="s">
        <v>238</v>
      </c>
      <c r="L249" t="s">
        <v>201</v>
      </c>
      <c r="M249" t="s">
        <v>87</v>
      </c>
      <c r="N249" t="s">
        <v>88</v>
      </c>
      <c r="O249" t="s">
        <v>149</v>
      </c>
      <c r="P249" s="1">
        <v>44694</v>
      </c>
      <c r="Q249">
        <v>2.1</v>
      </c>
      <c r="R249" t="s">
        <v>195</v>
      </c>
      <c r="S249" t="s">
        <v>110</v>
      </c>
      <c r="T249" t="s">
        <v>111</v>
      </c>
      <c r="U249">
        <v>13</v>
      </c>
      <c r="V249">
        <v>2</v>
      </c>
      <c r="W249">
        <v>1917</v>
      </c>
      <c r="X249">
        <v>0</v>
      </c>
      <c r="Y249">
        <v>422</v>
      </c>
      <c r="Z249">
        <v>2339</v>
      </c>
      <c r="AA249">
        <v>422</v>
      </c>
      <c r="AB249" t="s">
        <v>65</v>
      </c>
      <c r="AC249">
        <v>18.7</v>
      </c>
      <c r="AD249">
        <v>73</v>
      </c>
      <c r="AE249">
        <v>53</v>
      </c>
      <c r="AF249" t="s">
        <v>112</v>
      </c>
      <c r="AG249">
        <v>19</v>
      </c>
      <c r="AH249" t="s">
        <v>113</v>
      </c>
      <c r="AI249" t="s">
        <v>152</v>
      </c>
      <c r="AJ249" t="s">
        <v>72</v>
      </c>
      <c r="AK249" t="s">
        <v>70</v>
      </c>
      <c r="AL249" t="s">
        <v>70</v>
      </c>
      <c r="AM249" t="s">
        <v>70</v>
      </c>
      <c r="AN249" t="s">
        <v>72</v>
      </c>
      <c r="AO249" t="s">
        <v>135</v>
      </c>
      <c r="AP249" t="s">
        <v>97</v>
      </c>
      <c r="AQ249" t="s">
        <v>74</v>
      </c>
      <c r="AR249" s="1">
        <v>45144</v>
      </c>
      <c r="AS249" t="s">
        <v>118</v>
      </c>
      <c r="AT249" t="s">
        <v>71</v>
      </c>
      <c r="AU249">
        <v>73</v>
      </c>
      <c r="AV249" t="s">
        <v>179</v>
      </c>
    </row>
    <row r="250" spans="1:48" x14ac:dyDescent="0.25">
      <c r="A250" t="s">
        <v>537</v>
      </c>
      <c r="B250" t="s">
        <v>120</v>
      </c>
      <c r="C250" t="s">
        <v>246</v>
      </c>
      <c r="D250" t="s">
        <v>122</v>
      </c>
      <c r="E250">
        <v>38</v>
      </c>
      <c r="F250" t="s">
        <v>52</v>
      </c>
      <c r="G250" t="s">
        <v>81</v>
      </c>
      <c r="H250" t="s">
        <v>82</v>
      </c>
      <c r="I250" t="s">
        <v>83</v>
      </c>
      <c r="J250" t="s">
        <v>84</v>
      </c>
      <c r="K250" t="s">
        <v>85</v>
      </c>
      <c r="L250" t="s">
        <v>201</v>
      </c>
      <c r="M250" t="s">
        <v>87</v>
      </c>
      <c r="N250" t="s">
        <v>108</v>
      </c>
      <c r="O250" t="s">
        <v>176</v>
      </c>
      <c r="P250" s="1">
        <v>42074</v>
      </c>
      <c r="Q250">
        <v>9.1999999999999993</v>
      </c>
      <c r="R250" t="s">
        <v>208</v>
      </c>
      <c r="S250" t="s">
        <v>163</v>
      </c>
      <c r="T250" t="s">
        <v>164</v>
      </c>
      <c r="U250">
        <v>4</v>
      </c>
      <c r="V250">
        <v>0</v>
      </c>
      <c r="W250">
        <v>2504</v>
      </c>
      <c r="X250">
        <v>1671</v>
      </c>
      <c r="Y250">
        <v>422</v>
      </c>
      <c r="Z250">
        <v>4597</v>
      </c>
      <c r="AA250">
        <v>356</v>
      </c>
      <c r="AB250" t="s">
        <v>151</v>
      </c>
      <c r="AC250">
        <v>13.2</v>
      </c>
      <c r="AD250">
        <v>23</v>
      </c>
      <c r="AE250">
        <v>57</v>
      </c>
      <c r="AF250" t="s">
        <v>132</v>
      </c>
      <c r="AG250">
        <v>22</v>
      </c>
      <c r="AH250" t="s">
        <v>113</v>
      </c>
      <c r="AI250" t="s">
        <v>95</v>
      </c>
      <c r="AJ250" t="s">
        <v>69</v>
      </c>
      <c r="AK250" t="s">
        <v>70</v>
      </c>
      <c r="AL250" t="s">
        <v>70</v>
      </c>
      <c r="AM250" t="s">
        <v>70</v>
      </c>
      <c r="AN250" t="s">
        <v>231</v>
      </c>
      <c r="AO250" t="s">
        <v>287</v>
      </c>
      <c r="AP250" t="s">
        <v>72</v>
      </c>
      <c r="AQ250" t="s">
        <v>74</v>
      </c>
      <c r="AR250" s="1">
        <v>45379</v>
      </c>
      <c r="AS250" t="s">
        <v>198</v>
      </c>
      <c r="AT250" t="s">
        <v>71</v>
      </c>
      <c r="AU250">
        <v>167</v>
      </c>
      <c r="AV250" t="s">
        <v>179</v>
      </c>
    </row>
    <row r="251" spans="1:48" x14ac:dyDescent="0.25">
      <c r="A251" t="s">
        <v>538</v>
      </c>
      <c r="B251" t="s">
        <v>308</v>
      </c>
      <c r="C251" t="s">
        <v>233</v>
      </c>
      <c r="D251" t="s">
        <v>51</v>
      </c>
      <c r="E251">
        <v>21</v>
      </c>
      <c r="F251" t="s">
        <v>248</v>
      </c>
      <c r="G251" t="s">
        <v>279</v>
      </c>
      <c r="H251" t="s">
        <v>280</v>
      </c>
      <c r="I251" t="s">
        <v>273</v>
      </c>
      <c r="J251" t="s">
        <v>274</v>
      </c>
      <c r="K251" t="s">
        <v>57</v>
      </c>
      <c r="L251" t="s">
        <v>106</v>
      </c>
      <c r="M251" t="s">
        <v>147</v>
      </c>
      <c r="N251" t="s">
        <v>128</v>
      </c>
      <c r="O251" t="s">
        <v>61</v>
      </c>
      <c r="P251" s="1">
        <v>39320</v>
      </c>
      <c r="Q251">
        <v>16.8</v>
      </c>
      <c r="R251" t="s">
        <v>195</v>
      </c>
      <c r="S251" t="s">
        <v>219</v>
      </c>
      <c r="T251" t="s">
        <v>220</v>
      </c>
      <c r="U251">
        <v>0</v>
      </c>
      <c r="V251">
        <v>0</v>
      </c>
      <c r="W251">
        <v>6618</v>
      </c>
      <c r="X251">
        <v>1235</v>
      </c>
      <c r="Y251">
        <v>266</v>
      </c>
      <c r="Z251">
        <v>8119</v>
      </c>
      <c r="AA251">
        <v>576</v>
      </c>
      <c r="AB251" t="s">
        <v>65</v>
      </c>
      <c r="AC251">
        <v>16.5</v>
      </c>
      <c r="AD251">
        <v>67</v>
      </c>
      <c r="AE251">
        <v>40</v>
      </c>
      <c r="AF251" t="s">
        <v>112</v>
      </c>
      <c r="AG251">
        <v>19</v>
      </c>
      <c r="AH251" t="s">
        <v>113</v>
      </c>
      <c r="AI251" t="s">
        <v>68</v>
      </c>
      <c r="AJ251" t="s">
        <v>96</v>
      </c>
      <c r="AK251" t="s">
        <v>71</v>
      </c>
      <c r="AL251" t="s">
        <v>70</v>
      </c>
      <c r="AM251" t="s">
        <v>70</v>
      </c>
      <c r="AN251" t="s">
        <v>72</v>
      </c>
      <c r="AO251" t="s">
        <v>116</v>
      </c>
      <c r="AP251" t="s">
        <v>97</v>
      </c>
      <c r="AQ251" t="s">
        <v>136</v>
      </c>
      <c r="AR251" s="1">
        <v>43063</v>
      </c>
      <c r="AS251" t="s">
        <v>75</v>
      </c>
      <c r="AT251" t="s">
        <v>71</v>
      </c>
      <c r="AU251">
        <v>-386</v>
      </c>
      <c r="AV251" t="s">
        <v>179</v>
      </c>
    </row>
    <row r="252" spans="1:48" x14ac:dyDescent="0.25">
      <c r="A252" t="s">
        <v>539</v>
      </c>
      <c r="B252" t="s">
        <v>251</v>
      </c>
      <c r="C252" t="s">
        <v>233</v>
      </c>
      <c r="D252" t="s">
        <v>51</v>
      </c>
      <c r="E252">
        <v>42</v>
      </c>
      <c r="F252" t="s">
        <v>278</v>
      </c>
      <c r="G252" t="s">
        <v>183</v>
      </c>
      <c r="H252" t="s">
        <v>184</v>
      </c>
      <c r="I252" t="s">
        <v>268</v>
      </c>
      <c r="J252" t="s">
        <v>269</v>
      </c>
      <c r="K252" t="s">
        <v>173</v>
      </c>
      <c r="L252" t="s">
        <v>86</v>
      </c>
      <c r="M252" t="s">
        <v>207</v>
      </c>
      <c r="N252" t="s">
        <v>108</v>
      </c>
      <c r="O252" t="s">
        <v>149</v>
      </c>
      <c r="P252" s="1">
        <v>44412</v>
      </c>
      <c r="Q252">
        <v>2.8</v>
      </c>
      <c r="R252" t="s">
        <v>75</v>
      </c>
      <c r="S252" t="s">
        <v>91</v>
      </c>
      <c r="T252" t="s">
        <v>92</v>
      </c>
      <c r="U252">
        <v>0</v>
      </c>
      <c r="V252">
        <v>0</v>
      </c>
      <c r="W252">
        <v>5696</v>
      </c>
      <c r="X252">
        <v>1050</v>
      </c>
      <c r="Y252">
        <v>266</v>
      </c>
      <c r="Z252">
        <v>7012</v>
      </c>
      <c r="AA252">
        <v>536</v>
      </c>
      <c r="AB252" t="s">
        <v>65</v>
      </c>
      <c r="AC252">
        <v>13.1</v>
      </c>
      <c r="AD252">
        <v>22</v>
      </c>
      <c r="AE252">
        <v>56</v>
      </c>
      <c r="AF252" t="s">
        <v>112</v>
      </c>
      <c r="AG252">
        <v>34</v>
      </c>
      <c r="AH252" t="s">
        <v>67</v>
      </c>
      <c r="AI252" t="s">
        <v>95</v>
      </c>
      <c r="AJ252" t="s">
        <v>188</v>
      </c>
      <c r="AK252" t="s">
        <v>70</v>
      </c>
      <c r="AL252" t="s">
        <v>70</v>
      </c>
      <c r="AM252" t="s">
        <v>70</v>
      </c>
      <c r="AN252" t="s">
        <v>243</v>
      </c>
      <c r="AO252" t="s">
        <v>287</v>
      </c>
      <c r="AP252" t="s">
        <v>72</v>
      </c>
      <c r="AQ252" t="s">
        <v>74</v>
      </c>
      <c r="AR252" s="1">
        <v>44379</v>
      </c>
      <c r="AS252" t="s">
        <v>118</v>
      </c>
      <c r="AT252" t="s">
        <v>71</v>
      </c>
      <c r="AU252">
        <v>1177</v>
      </c>
      <c r="AV252" t="s">
        <v>76</v>
      </c>
    </row>
    <row r="253" spans="1:48" x14ac:dyDescent="0.25">
      <c r="A253" t="s">
        <v>540</v>
      </c>
      <c r="B253" t="s">
        <v>78</v>
      </c>
      <c r="C253" t="s">
        <v>353</v>
      </c>
      <c r="D253" t="s">
        <v>122</v>
      </c>
      <c r="E253">
        <v>21</v>
      </c>
      <c r="F253" t="s">
        <v>168</v>
      </c>
      <c r="G253" t="s">
        <v>215</v>
      </c>
      <c r="H253" t="s">
        <v>216</v>
      </c>
      <c r="I253" t="s">
        <v>103</v>
      </c>
      <c r="J253" t="s">
        <v>104</v>
      </c>
      <c r="K253" t="s">
        <v>105</v>
      </c>
      <c r="L253" t="s">
        <v>174</v>
      </c>
      <c r="M253" t="s">
        <v>175</v>
      </c>
      <c r="N253" t="s">
        <v>162</v>
      </c>
      <c r="O253" t="s">
        <v>176</v>
      </c>
      <c r="P253" s="1">
        <v>43644</v>
      </c>
      <c r="Q253">
        <v>4.9000000000000004</v>
      </c>
      <c r="R253" t="s">
        <v>208</v>
      </c>
      <c r="S253" t="s">
        <v>163</v>
      </c>
      <c r="T253" t="s">
        <v>164</v>
      </c>
      <c r="U253">
        <v>5</v>
      </c>
      <c r="V253">
        <v>0</v>
      </c>
      <c r="W253">
        <v>3637</v>
      </c>
      <c r="X253">
        <v>850</v>
      </c>
      <c r="Y253">
        <v>266</v>
      </c>
      <c r="Z253">
        <v>4753</v>
      </c>
      <c r="AA253">
        <v>576</v>
      </c>
      <c r="AB253" t="s">
        <v>65</v>
      </c>
      <c r="AC253">
        <v>17.3</v>
      </c>
      <c r="AD253">
        <v>27</v>
      </c>
      <c r="AE253">
        <v>71</v>
      </c>
      <c r="AF253" t="s">
        <v>66</v>
      </c>
      <c r="AG253">
        <v>22</v>
      </c>
      <c r="AH253" t="s">
        <v>113</v>
      </c>
      <c r="AI253" t="s">
        <v>114</v>
      </c>
      <c r="AJ253" t="s">
        <v>188</v>
      </c>
      <c r="AK253" t="s">
        <v>70</v>
      </c>
      <c r="AL253" t="s">
        <v>70</v>
      </c>
      <c r="AM253" t="s">
        <v>71</v>
      </c>
      <c r="AN253" t="s">
        <v>72</v>
      </c>
      <c r="AO253" t="s">
        <v>116</v>
      </c>
      <c r="AP253" t="s">
        <v>72</v>
      </c>
      <c r="AQ253" t="s">
        <v>136</v>
      </c>
      <c r="AR253" s="1">
        <v>44308</v>
      </c>
      <c r="AS253" t="s">
        <v>137</v>
      </c>
      <c r="AT253" t="s">
        <v>71</v>
      </c>
      <c r="AU253">
        <v>504</v>
      </c>
      <c r="AV253" t="s">
        <v>76</v>
      </c>
    </row>
    <row r="254" spans="1:48" x14ac:dyDescent="0.25">
      <c r="A254" t="s">
        <v>541</v>
      </c>
      <c r="B254" t="s">
        <v>245</v>
      </c>
      <c r="C254" t="s">
        <v>223</v>
      </c>
      <c r="D254" t="s">
        <v>122</v>
      </c>
      <c r="E254">
        <v>31</v>
      </c>
      <c r="F254" t="s">
        <v>123</v>
      </c>
      <c r="G254" t="s">
        <v>215</v>
      </c>
      <c r="H254" t="s">
        <v>216</v>
      </c>
      <c r="I254" t="s">
        <v>253</v>
      </c>
      <c r="J254" t="s">
        <v>254</v>
      </c>
      <c r="K254" t="s">
        <v>255</v>
      </c>
      <c r="L254" t="s">
        <v>201</v>
      </c>
      <c r="M254" t="s">
        <v>296</v>
      </c>
      <c r="N254" t="s">
        <v>162</v>
      </c>
      <c r="O254" t="s">
        <v>89</v>
      </c>
      <c r="P254" s="1">
        <v>41137</v>
      </c>
      <c r="Q254">
        <v>11.8</v>
      </c>
      <c r="R254" t="s">
        <v>62</v>
      </c>
      <c r="S254" t="s">
        <v>91</v>
      </c>
      <c r="T254" t="s">
        <v>92</v>
      </c>
      <c r="U254">
        <v>5</v>
      </c>
      <c r="V254">
        <v>0</v>
      </c>
      <c r="W254">
        <v>3637</v>
      </c>
      <c r="X254">
        <v>0</v>
      </c>
      <c r="Y254">
        <v>266</v>
      </c>
      <c r="Z254">
        <v>3903</v>
      </c>
      <c r="AA254">
        <v>421</v>
      </c>
      <c r="AB254" t="s">
        <v>65</v>
      </c>
      <c r="AC254">
        <v>19.8</v>
      </c>
      <c r="AD254">
        <v>40</v>
      </c>
      <c r="AE254">
        <v>54</v>
      </c>
      <c r="AF254" t="s">
        <v>66</v>
      </c>
      <c r="AG254">
        <v>19</v>
      </c>
      <c r="AH254" t="s">
        <v>113</v>
      </c>
      <c r="AI254" t="s">
        <v>177</v>
      </c>
      <c r="AJ254" t="s">
        <v>96</v>
      </c>
      <c r="AK254" t="s">
        <v>71</v>
      </c>
      <c r="AL254" t="s">
        <v>71</v>
      </c>
      <c r="AM254" t="s">
        <v>70</v>
      </c>
      <c r="AN254" t="s">
        <v>72</v>
      </c>
      <c r="AO254" t="s">
        <v>97</v>
      </c>
      <c r="AP254" t="s">
        <v>134</v>
      </c>
      <c r="AQ254" t="s">
        <v>98</v>
      </c>
      <c r="AR254" s="1">
        <v>41388</v>
      </c>
      <c r="AS254" t="s">
        <v>75</v>
      </c>
      <c r="AT254" t="s">
        <v>71</v>
      </c>
      <c r="AU254">
        <v>720</v>
      </c>
      <c r="AV254" t="s">
        <v>76</v>
      </c>
    </row>
    <row r="255" spans="1:48" x14ac:dyDescent="0.25">
      <c r="A255" t="s">
        <v>542</v>
      </c>
      <c r="B255" t="s">
        <v>267</v>
      </c>
      <c r="C255" t="s">
        <v>223</v>
      </c>
      <c r="D255" t="s">
        <v>122</v>
      </c>
      <c r="E255">
        <v>18</v>
      </c>
      <c r="F255" t="s">
        <v>80</v>
      </c>
      <c r="G255" t="s">
        <v>124</v>
      </c>
      <c r="H255" t="s">
        <v>125</v>
      </c>
      <c r="I255" t="s">
        <v>253</v>
      </c>
      <c r="J255" t="s">
        <v>254</v>
      </c>
      <c r="K255" t="s">
        <v>255</v>
      </c>
      <c r="L255" t="s">
        <v>86</v>
      </c>
      <c r="M255" t="s">
        <v>207</v>
      </c>
      <c r="N255" t="s">
        <v>162</v>
      </c>
      <c r="O255" t="s">
        <v>89</v>
      </c>
      <c r="P255" s="1">
        <v>38777</v>
      </c>
      <c r="Q255">
        <v>18.3</v>
      </c>
      <c r="R255" t="s">
        <v>150</v>
      </c>
      <c r="S255" t="s">
        <v>130</v>
      </c>
      <c r="T255" t="s">
        <v>131</v>
      </c>
      <c r="U255">
        <v>7</v>
      </c>
      <c r="V255">
        <v>1</v>
      </c>
      <c r="W255">
        <v>2730</v>
      </c>
      <c r="X255">
        <v>0</v>
      </c>
      <c r="Y255">
        <v>422</v>
      </c>
      <c r="Z255">
        <v>3152</v>
      </c>
      <c r="AA255">
        <v>487</v>
      </c>
      <c r="AB255" t="s">
        <v>65</v>
      </c>
      <c r="AC255">
        <v>16.7</v>
      </c>
      <c r="AD255">
        <v>68</v>
      </c>
      <c r="AE255">
        <v>62</v>
      </c>
      <c r="AF255" t="s">
        <v>66</v>
      </c>
      <c r="AG255">
        <v>24</v>
      </c>
      <c r="AH255" t="s">
        <v>113</v>
      </c>
      <c r="AI255" t="s">
        <v>152</v>
      </c>
      <c r="AJ255" t="s">
        <v>69</v>
      </c>
      <c r="AK255" t="s">
        <v>71</v>
      </c>
      <c r="AL255" t="s">
        <v>70</v>
      </c>
      <c r="AM255" t="s">
        <v>70</v>
      </c>
      <c r="AN255" t="s">
        <v>72</v>
      </c>
      <c r="AO255" t="s">
        <v>135</v>
      </c>
      <c r="AP255" t="s">
        <v>72</v>
      </c>
      <c r="AQ255" t="s">
        <v>74</v>
      </c>
      <c r="AR255" s="1">
        <v>43262</v>
      </c>
      <c r="AS255" t="s">
        <v>137</v>
      </c>
      <c r="AT255" t="s">
        <v>71</v>
      </c>
      <c r="AU255">
        <v>14</v>
      </c>
      <c r="AV255" t="s">
        <v>179</v>
      </c>
    </row>
    <row r="256" spans="1:48" x14ac:dyDescent="0.25">
      <c r="A256" t="s">
        <v>543</v>
      </c>
      <c r="B256" t="s">
        <v>229</v>
      </c>
      <c r="C256" t="s">
        <v>257</v>
      </c>
      <c r="D256" t="s">
        <v>51</v>
      </c>
      <c r="E256">
        <v>26</v>
      </c>
      <c r="F256" t="s">
        <v>305</v>
      </c>
      <c r="G256" t="s">
        <v>193</v>
      </c>
      <c r="H256" t="s">
        <v>194</v>
      </c>
      <c r="I256" t="s">
        <v>144</v>
      </c>
      <c r="J256" t="s">
        <v>145</v>
      </c>
      <c r="K256" t="s">
        <v>146</v>
      </c>
      <c r="L256" t="s">
        <v>106</v>
      </c>
      <c r="M256" t="s">
        <v>147</v>
      </c>
      <c r="N256" t="s">
        <v>108</v>
      </c>
      <c r="O256" t="s">
        <v>149</v>
      </c>
      <c r="P256" s="1">
        <v>41411</v>
      </c>
      <c r="Q256">
        <v>11</v>
      </c>
      <c r="R256" t="s">
        <v>129</v>
      </c>
      <c r="S256" t="s">
        <v>63</v>
      </c>
      <c r="T256" t="s">
        <v>64</v>
      </c>
      <c r="U256">
        <v>0</v>
      </c>
      <c r="V256">
        <v>0</v>
      </c>
      <c r="W256">
        <v>2259</v>
      </c>
      <c r="X256">
        <v>0</v>
      </c>
      <c r="Y256">
        <v>422</v>
      </c>
      <c r="Z256">
        <v>2681</v>
      </c>
      <c r="AA256">
        <v>521</v>
      </c>
      <c r="AB256" t="s">
        <v>65</v>
      </c>
      <c r="AC256">
        <v>17.100000000000001</v>
      </c>
      <c r="AD256">
        <v>47</v>
      </c>
      <c r="AE256">
        <v>65</v>
      </c>
      <c r="AF256" t="s">
        <v>66</v>
      </c>
      <c r="AG256">
        <v>16</v>
      </c>
      <c r="AH256" t="s">
        <v>113</v>
      </c>
      <c r="AI256" t="s">
        <v>68</v>
      </c>
      <c r="AJ256" t="s">
        <v>188</v>
      </c>
      <c r="AK256" t="s">
        <v>71</v>
      </c>
      <c r="AL256" t="s">
        <v>71</v>
      </c>
      <c r="AM256" t="s">
        <v>70</v>
      </c>
      <c r="AN256" t="s">
        <v>133</v>
      </c>
      <c r="AO256" t="s">
        <v>287</v>
      </c>
      <c r="AP256" t="s">
        <v>116</v>
      </c>
      <c r="AQ256" t="s">
        <v>117</v>
      </c>
      <c r="AR256" s="1">
        <v>43017</v>
      </c>
      <c r="AS256" t="s">
        <v>198</v>
      </c>
      <c r="AT256" t="s">
        <v>71</v>
      </c>
      <c r="AU256">
        <v>1590</v>
      </c>
      <c r="AV256" t="s">
        <v>76</v>
      </c>
    </row>
    <row r="257" spans="1:48" x14ac:dyDescent="0.25">
      <c r="A257" t="s">
        <v>544</v>
      </c>
      <c r="B257" t="s">
        <v>181</v>
      </c>
      <c r="C257" t="s">
        <v>191</v>
      </c>
      <c r="D257" t="s">
        <v>51</v>
      </c>
      <c r="E257">
        <v>32</v>
      </c>
      <c r="F257" t="s">
        <v>305</v>
      </c>
      <c r="G257" t="s">
        <v>193</v>
      </c>
      <c r="H257" t="s">
        <v>194</v>
      </c>
      <c r="I257" t="s">
        <v>217</v>
      </c>
      <c r="J257" t="s">
        <v>218</v>
      </c>
      <c r="K257" t="s">
        <v>146</v>
      </c>
      <c r="L257" t="s">
        <v>174</v>
      </c>
      <c r="M257" t="s">
        <v>212</v>
      </c>
      <c r="N257" t="s">
        <v>265</v>
      </c>
      <c r="O257" t="s">
        <v>89</v>
      </c>
      <c r="P257" s="1">
        <v>39497</v>
      </c>
      <c r="Q257">
        <v>16.3</v>
      </c>
      <c r="R257" t="s">
        <v>195</v>
      </c>
      <c r="S257" t="s">
        <v>219</v>
      </c>
      <c r="T257" t="s">
        <v>220</v>
      </c>
      <c r="U257">
        <v>0</v>
      </c>
      <c r="V257">
        <v>0</v>
      </c>
      <c r="W257">
        <v>2259</v>
      </c>
      <c r="X257">
        <v>1939</v>
      </c>
      <c r="Y257">
        <v>422</v>
      </c>
      <c r="Z257">
        <v>4620</v>
      </c>
      <c r="AA257">
        <v>548</v>
      </c>
      <c r="AB257" t="s">
        <v>65</v>
      </c>
      <c r="AC257">
        <v>20</v>
      </c>
      <c r="AD257">
        <v>33</v>
      </c>
      <c r="AE257">
        <v>69</v>
      </c>
      <c r="AF257" t="s">
        <v>112</v>
      </c>
      <c r="AG257">
        <v>37</v>
      </c>
      <c r="AH257" t="s">
        <v>94</v>
      </c>
      <c r="AI257" t="s">
        <v>68</v>
      </c>
      <c r="AJ257" t="s">
        <v>188</v>
      </c>
      <c r="AK257" t="s">
        <v>70</v>
      </c>
      <c r="AL257" t="s">
        <v>70</v>
      </c>
      <c r="AM257" t="s">
        <v>70</v>
      </c>
      <c r="AN257" t="s">
        <v>202</v>
      </c>
      <c r="AO257" t="s">
        <v>221</v>
      </c>
      <c r="AP257" t="s">
        <v>72</v>
      </c>
      <c r="AQ257" t="s">
        <v>74</v>
      </c>
      <c r="AR257" s="1">
        <v>44743</v>
      </c>
      <c r="AS257" t="s">
        <v>137</v>
      </c>
      <c r="AT257" t="s">
        <v>71</v>
      </c>
      <c r="AU257">
        <v>-492</v>
      </c>
      <c r="AV257" t="s">
        <v>179</v>
      </c>
    </row>
    <row r="258" spans="1:48" x14ac:dyDescent="0.25">
      <c r="A258" t="s">
        <v>545</v>
      </c>
      <c r="B258" t="s">
        <v>346</v>
      </c>
      <c r="C258" t="s">
        <v>501</v>
      </c>
      <c r="D258" t="s">
        <v>122</v>
      </c>
      <c r="E258">
        <v>24</v>
      </c>
      <c r="F258" t="s">
        <v>278</v>
      </c>
      <c r="G258" t="s">
        <v>101</v>
      </c>
      <c r="H258" t="s">
        <v>102</v>
      </c>
      <c r="I258" t="s">
        <v>253</v>
      </c>
      <c r="J258" t="s">
        <v>254</v>
      </c>
      <c r="K258" t="s">
        <v>255</v>
      </c>
      <c r="L258" t="s">
        <v>201</v>
      </c>
      <c r="M258" t="s">
        <v>59</v>
      </c>
      <c r="N258" t="s">
        <v>265</v>
      </c>
      <c r="O258" t="s">
        <v>109</v>
      </c>
      <c r="P258" s="1">
        <v>44599</v>
      </c>
      <c r="Q258">
        <v>2.2999999999999998</v>
      </c>
      <c r="R258" t="s">
        <v>62</v>
      </c>
      <c r="S258" t="s">
        <v>91</v>
      </c>
      <c r="T258" t="s">
        <v>92</v>
      </c>
      <c r="U258">
        <v>2</v>
      </c>
      <c r="V258">
        <v>0</v>
      </c>
      <c r="W258">
        <v>2980</v>
      </c>
      <c r="X258">
        <v>0</v>
      </c>
      <c r="Y258">
        <v>422</v>
      </c>
      <c r="Z258">
        <v>3402</v>
      </c>
      <c r="AA258">
        <v>517</v>
      </c>
      <c r="AB258" t="s">
        <v>65</v>
      </c>
      <c r="AC258">
        <v>17.100000000000001</v>
      </c>
      <c r="AD258">
        <v>77</v>
      </c>
      <c r="AE258">
        <v>72</v>
      </c>
      <c r="AF258" t="s">
        <v>66</v>
      </c>
      <c r="AG258">
        <v>27</v>
      </c>
      <c r="AH258" t="s">
        <v>113</v>
      </c>
      <c r="AI258" t="s">
        <v>177</v>
      </c>
      <c r="AJ258" t="s">
        <v>72</v>
      </c>
      <c r="AK258" t="s">
        <v>71</v>
      </c>
      <c r="AL258" t="s">
        <v>70</v>
      </c>
      <c r="AM258" t="s">
        <v>70</v>
      </c>
      <c r="AN258" t="s">
        <v>243</v>
      </c>
      <c r="AO258" t="s">
        <v>227</v>
      </c>
      <c r="AP258" t="s">
        <v>221</v>
      </c>
      <c r="AQ258" t="s">
        <v>74</v>
      </c>
      <c r="AR258" s="1">
        <v>45294</v>
      </c>
      <c r="AS258" t="s">
        <v>118</v>
      </c>
      <c r="AT258" t="s">
        <v>71</v>
      </c>
      <c r="AU258">
        <v>284</v>
      </c>
      <c r="AV258" t="s">
        <v>76</v>
      </c>
    </row>
    <row r="259" spans="1:48" x14ac:dyDescent="0.25">
      <c r="A259" t="s">
        <v>546</v>
      </c>
      <c r="B259" t="s">
        <v>120</v>
      </c>
      <c r="C259" t="s">
        <v>252</v>
      </c>
      <c r="D259" t="s">
        <v>51</v>
      </c>
      <c r="E259">
        <v>41</v>
      </c>
      <c r="F259" t="s">
        <v>325</v>
      </c>
      <c r="G259" t="s">
        <v>53</v>
      </c>
      <c r="H259" t="s">
        <v>54</v>
      </c>
      <c r="I259" t="s">
        <v>185</v>
      </c>
      <c r="J259" t="s">
        <v>186</v>
      </c>
      <c r="K259" t="s">
        <v>187</v>
      </c>
      <c r="L259" t="s">
        <v>86</v>
      </c>
      <c r="M259" t="s">
        <v>296</v>
      </c>
      <c r="N259" t="s">
        <v>88</v>
      </c>
      <c r="O259" t="s">
        <v>109</v>
      </c>
      <c r="P259" s="1">
        <v>44120</v>
      </c>
      <c r="Q259">
        <v>3.6</v>
      </c>
      <c r="R259" t="s">
        <v>129</v>
      </c>
      <c r="S259" t="s">
        <v>219</v>
      </c>
      <c r="T259" t="s">
        <v>220</v>
      </c>
      <c r="U259">
        <v>0</v>
      </c>
      <c r="V259">
        <v>0</v>
      </c>
      <c r="W259">
        <v>4739</v>
      </c>
      <c r="X259">
        <v>0</v>
      </c>
      <c r="Y259">
        <v>422</v>
      </c>
      <c r="Z259">
        <v>5161</v>
      </c>
      <c r="AA259">
        <v>492</v>
      </c>
      <c r="AB259" t="s">
        <v>65</v>
      </c>
      <c r="AC259">
        <v>12.6</v>
      </c>
      <c r="AD259">
        <v>82</v>
      </c>
      <c r="AE259">
        <v>70</v>
      </c>
      <c r="AF259" t="s">
        <v>66</v>
      </c>
      <c r="AG259">
        <v>24</v>
      </c>
      <c r="AH259" t="s">
        <v>113</v>
      </c>
      <c r="AI259" t="s">
        <v>114</v>
      </c>
      <c r="AJ259" t="s">
        <v>188</v>
      </c>
      <c r="AK259" t="s">
        <v>71</v>
      </c>
      <c r="AL259" t="s">
        <v>70</v>
      </c>
      <c r="AM259" t="s">
        <v>70</v>
      </c>
      <c r="AN259" t="s">
        <v>202</v>
      </c>
      <c r="AO259" t="s">
        <v>116</v>
      </c>
      <c r="AP259" t="s">
        <v>178</v>
      </c>
      <c r="AQ259" t="s">
        <v>98</v>
      </c>
      <c r="AR259" s="1">
        <v>45635</v>
      </c>
      <c r="AS259" t="s">
        <v>75</v>
      </c>
      <c r="AT259" t="s">
        <v>71</v>
      </c>
      <c r="AU259">
        <v>1642</v>
      </c>
      <c r="AV259" t="s">
        <v>76</v>
      </c>
    </row>
    <row r="260" spans="1:48" x14ac:dyDescent="0.25">
      <c r="A260" t="s">
        <v>547</v>
      </c>
      <c r="B260" t="s">
        <v>210</v>
      </c>
      <c r="C260" t="s">
        <v>155</v>
      </c>
      <c r="D260" t="s">
        <v>51</v>
      </c>
      <c r="E260">
        <v>19</v>
      </c>
      <c r="F260" t="s">
        <v>80</v>
      </c>
      <c r="G260" t="s">
        <v>234</v>
      </c>
      <c r="H260" t="s">
        <v>235</v>
      </c>
      <c r="I260" t="s">
        <v>260</v>
      </c>
      <c r="J260" t="s">
        <v>261</v>
      </c>
      <c r="K260" t="s">
        <v>173</v>
      </c>
      <c r="L260" t="s">
        <v>106</v>
      </c>
      <c r="M260" t="s">
        <v>147</v>
      </c>
      <c r="N260" t="s">
        <v>148</v>
      </c>
      <c r="O260" t="s">
        <v>176</v>
      </c>
      <c r="P260" s="1">
        <v>43929</v>
      </c>
      <c r="Q260">
        <v>4.0999999999999996</v>
      </c>
      <c r="R260" t="s">
        <v>75</v>
      </c>
      <c r="S260" t="s">
        <v>63</v>
      </c>
      <c r="T260" t="s">
        <v>64</v>
      </c>
      <c r="U260">
        <v>0</v>
      </c>
      <c r="V260">
        <v>0</v>
      </c>
      <c r="W260">
        <v>1917</v>
      </c>
      <c r="X260">
        <v>0</v>
      </c>
      <c r="Y260">
        <v>422</v>
      </c>
      <c r="Z260">
        <v>2339</v>
      </c>
      <c r="AA260">
        <v>316</v>
      </c>
      <c r="AB260" t="s">
        <v>151</v>
      </c>
      <c r="AC260">
        <v>20.5</v>
      </c>
      <c r="AD260">
        <v>61</v>
      </c>
      <c r="AE260">
        <v>73</v>
      </c>
      <c r="AF260" t="s">
        <v>112</v>
      </c>
      <c r="AG260">
        <v>29</v>
      </c>
      <c r="AH260" t="s">
        <v>113</v>
      </c>
      <c r="AI260" t="s">
        <v>95</v>
      </c>
      <c r="AJ260" t="s">
        <v>96</v>
      </c>
      <c r="AK260" t="s">
        <v>71</v>
      </c>
      <c r="AL260" t="s">
        <v>70</v>
      </c>
      <c r="AM260" t="s">
        <v>70</v>
      </c>
      <c r="AN260" t="s">
        <v>72</v>
      </c>
      <c r="AO260" t="s">
        <v>227</v>
      </c>
      <c r="AP260" t="s">
        <v>72</v>
      </c>
      <c r="AQ260" t="s">
        <v>74</v>
      </c>
      <c r="AR260" s="1">
        <v>44633</v>
      </c>
      <c r="AS260" t="s">
        <v>198</v>
      </c>
      <c r="AT260" t="s">
        <v>71</v>
      </c>
      <c r="AU260">
        <v>297</v>
      </c>
      <c r="AV260" t="s">
        <v>76</v>
      </c>
    </row>
    <row r="261" spans="1:48" x14ac:dyDescent="0.25">
      <c r="A261" t="s">
        <v>548</v>
      </c>
      <c r="B261" t="s">
        <v>251</v>
      </c>
      <c r="C261" t="s">
        <v>79</v>
      </c>
      <c r="D261" t="s">
        <v>51</v>
      </c>
      <c r="E261">
        <v>25</v>
      </c>
      <c r="F261" t="s">
        <v>382</v>
      </c>
      <c r="G261" t="s">
        <v>234</v>
      </c>
      <c r="H261" t="s">
        <v>235</v>
      </c>
      <c r="I261" t="s">
        <v>260</v>
      </c>
      <c r="J261" t="s">
        <v>261</v>
      </c>
      <c r="K261" t="s">
        <v>173</v>
      </c>
      <c r="L261" t="s">
        <v>58</v>
      </c>
      <c r="M261" t="s">
        <v>59</v>
      </c>
      <c r="N261" t="s">
        <v>162</v>
      </c>
      <c r="O261" t="s">
        <v>89</v>
      </c>
      <c r="P261" s="1">
        <v>40400</v>
      </c>
      <c r="Q261">
        <v>13.8</v>
      </c>
      <c r="R261" t="s">
        <v>90</v>
      </c>
      <c r="S261" t="s">
        <v>130</v>
      </c>
      <c r="T261" t="s">
        <v>131</v>
      </c>
      <c r="U261">
        <v>5</v>
      </c>
      <c r="V261">
        <v>0</v>
      </c>
      <c r="W261">
        <v>1917</v>
      </c>
      <c r="X261">
        <v>1474</v>
      </c>
      <c r="Y261">
        <v>422</v>
      </c>
      <c r="Z261">
        <v>3813</v>
      </c>
      <c r="AA261">
        <v>304</v>
      </c>
      <c r="AB261" t="s">
        <v>151</v>
      </c>
      <c r="AC261">
        <v>13</v>
      </c>
      <c r="AD261">
        <v>60</v>
      </c>
      <c r="AE261">
        <v>36</v>
      </c>
      <c r="AF261" t="s">
        <v>132</v>
      </c>
      <c r="AG261">
        <v>29</v>
      </c>
      <c r="AH261" t="s">
        <v>113</v>
      </c>
      <c r="AI261" t="s">
        <v>177</v>
      </c>
      <c r="AJ261" t="s">
        <v>96</v>
      </c>
      <c r="AK261" t="s">
        <v>70</v>
      </c>
      <c r="AL261" t="s">
        <v>71</v>
      </c>
      <c r="AM261" t="s">
        <v>70</v>
      </c>
      <c r="AN261" t="s">
        <v>202</v>
      </c>
      <c r="AO261" t="s">
        <v>72</v>
      </c>
      <c r="AP261" t="s">
        <v>72</v>
      </c>
      <c r="AQ261" t="s">
        <v>117</v>
      </c>
      <c r="AR261" s="1">
        <v>40776</v>
      </c>
      <c r="AS261" t="s">
        <v>75</v>
      </c>
      <c r="AT261" t="s">
        <v>71</v>
      </c>
      <c r="AU261">
        <v>1296</v>
      </c>
      <c r="AV261" t="s">
        <v>76</v>
      </c>
    </row>
    <row r="262" spans="1:48" x14ac:dyDescent="0.25">
      <c r="A262" t="s">
        <v>549</v>
      </c>
      <c r="B262" t="s">
        <v>251</v>
      </c>
      <c r="C262" t="s">
        <v>200</v>
      </c>
      <c r="D262" t="s">
        <v>51</v>
      </c>
      <c r="E262">
        <v>42</v>
      </c>
      <c r="F262" t="s">
        <v>52</v>
      </c>
      <c r="G262" t="s">
        <v>81</v>
      </c>
      <c r="H262" t="s">
        <v>82</v>
      </c>
      <c r="I262" t="s">
        <v>171</v>
      </c>
      <c r="J262" t="s">
        <v>172</v>
      </c>
      <c r="K262" t="s">
        <v>173</v>
      </c>
      <c r="L262" t="s">
        <v>174</v>
      </c>
      <c r="M262" t="s">
        <v>296</v>
      </c>
      <c r="N262" t="s">
        <v>162</v>
      </c>
      <c r="O262" t="s">
        <v>176</v>
      </c>
      <c r="P262" s="1">
        <v>44033</v>
      </c>
      <c r="Q262">
        <v>3.9</v>
      </c>
      <c r="R262" t="s">
        <v>195</v>
      </c>
      <c r="S262" t="s">
        <v>163</v>
      </c>
      <c r="T262" t="s">
        <v>164</v>
      </c>
      <c r="U262">
        <v>4</v>
      </c>
      <c r="V262">
        <v>0</v>
      </c>
      <c r="W262">
        <v>2504</v>
      </c>
      <c r="X262">
        <v>926</v>
      </c>
      <c r="Y262">
        <v>422</v>
      </c>
      <c r="Z262">
        <v>3852</v>
      </c>
      <c r="AA262">
        <v>511</v>
      </c>
      <c r="AB262" t="s">
        <v>65</v>
      </c>
      <c r="AC262">
        <v>13</v>
      </c>
      <c r="AD262">
        <v>59</v>
      </c>
      <c r="AE262">
        <v>70</v>
      </c>
      <c r="AF262" t="s">
        <v>66</v>
      </c>
      <c r="AG262">
        <v>19</v>
      </c>
      <c r="AH262" t="s">
        <v>113</v>
      </c>
      <c r="AI262" t="s">
        <v>114</v>
      </c>
      <c r="AJ262" t="s">
        <v>69</v>
      </c>
      <c r="AK262" t="s">
        <v>70</v>
      </c>
      <c r="AL262" t="s">
        <v>71</v>
      </c>
      <c r="AM262" t="s">
        <v>70</v>
      </c>
      <c r="AN262" t="s">
        <v>231</v>
      </c>
      <c r="AO262" t="s">
        <v>72</v>
      </c>
      <c r="AP262" t="s">
        <v>72</v>
      </c>
      <c r="AQ262" t="s">
        <v>136</v>
      </c>
      <c r="AR262" s="1">
        <v>45459</v>
      </c>
      <c r="AS262" t="s">
        <v>137</v>
      </c>
      <c r="AT262" t="s">
        <v>71</v>
      </c>
      <c r="AU262">
        <v>1253</v>
      </c>
      <c r="AV262" t="s">
        <v>76</v>
      </c>
    </row>
    <row r="263" spans="1:48" x14ac:dyDescent="0.25">
      <c r="A263" t="s">
        <v>550</v>
      </c>
      <c r="B263" t="s">
        <v>139</v>
      </c>
      <c r="C263" t="s">
        <v>360</v>
      </c>
      <c r="D263" t="s">
        <v>51</v>
      </c>
      <c r="E263">
        <v>43</v>
      </c>
      <c r="F263" t="s">
        <v>214</v>
      </c>
      <c r="G263" t="s">
        <v>234</v>
      </c>
      <c r="H263" t="s">
        <v>235</v>
      </c>
      <c r="I263" t="s">
        <v>185</v>
      </c>
      <c r="J263" t="s">
        <v>186</v>
      </c>
      <c r="K263" t="s">
        <v>187</v>
      </c>
      <c r="L263" t="s">
        <v>201</v>
      </c>
      <c r="M263" t="s">
        <v>161</v>
      </c>
      <c r="N263" t="s">
        <v>148</v>
      </c>
      <c r="O263" t="s">
        <v>149</v>
      </c>
      <c r="P263" s="1">
        <v>39237</v>
      </c>
      <c r="Q263">
        <v>17</v>
      </c>
      <c r="R263" t="s">
        <v>75</v>
      </c>
      <c r="S263" t="s">
        <v>163</v>
      </c>
      <c r="T263" t="s">
        <v>164</v>
      </c>
      <c r="U263">
        <v>0</v>
      </c>
      <c r="V263">
        <v>0</v>
      </c>
      <c r="W263">
        <v>1917</v>
      </c>
      <c r="X263">
        <v>0</v>
      </c>
      <c r="Y263">
        <v>422</v>
      </c>
      <c r="Z263">
        <v>2339</v>
      </c>
      <c r="AA263">
        <v>583</v>
      </c>
      <c r="AB263" t="s">
        <v>65</v>
      </c>
      <c r="AC263">
        <v>17.5</v>
      </c>
      <c r="AD263">
        <v>73</v>
      </c>
      <c r="AE263">
        <v>42</v>
      </c>
      <c r="AF263" t="s">
        <v>93</v>
      </c>
      <c r="AG263">
        <v>36</v>
      </c>
      <c r="AH263" t="s">
        <v>94</v>
      </c>
      <c r="AI263" t="s">
        <v>177</v>
      </c>
      <c r="AJ263" t="s">
        <v>69</v>
      </c>
      <c r="AK263" t="s">
        <v>70</v>
      </c>
      <c r="AL263" t="s">
        <v>71</v>
      </c>
      <c r="AM263" t="s">
        <v>70</v>
      </c>
      <c r="AN263" t="s">
        <v>72</v>
      </c>
      <c r="AO263" t="s">
        <v>203</v>
      </c>
      <c r="AP263" t="s">
        <v>72</v>
      </c>
      <c r="AQ263" t="s">
        <v>74</v>
      </c>
      <c r="AR263" s="1">
        <v>42653</v>
      </c>
      <c r="AS263" t="s">
        <v>118</v>
      </c>
      <c r="AT263" t="s">
        <v>71</v>
      </c>
      <c r="AU263">
        <v>1601</v>
      </c>
      <c r="AV263" t="s">
        <v>76</v>
      </c>
    </row>
    <row r="264" spans="1:48" x14ac:dyDescent="0.25">
      <c r="A264" t="s">
        <v>551</v>
      </c>
      <c r="B264" t="s">
        <v>251</v>
      </c>
      <c r="C264" t="s">
        <v>252</v>
      </c>
      <c r="D264" t="s">
        <v>51</v>
      </c>
      <c r="E264">
        <v>40</v>
      </c>
      <c r="F264" t="s">
        <v>278</v>
      </c>
      <c r="G264" t="s">
        <v>124</v>
      </c>
      <c r="H264" t="s">
        <v>125</v>
      </c>
      <c r="I264" t="s">
        <v>273</v>
      </c>
      <c r="J264" t="s">
        <v>274</v>
      </c>
      <c r="K264" t="s">
        <v>57</v>
      </c>
      <c r="L264" t="s">
        <v>126</v>
      </c>
      <c r="M264" t="s">
        <v>207</v>
      </c>
      <c r="N264" t="s">
        <v>148</v>
      </c>
      <c r="O264" t="s">
        <v>176</v>
      </c>
      <c r="P264" s="1">
        <v>40737</v>
      </c>
      <c r="Q264">
        <v>12.9</v>
      </c>
      <c r="R264" t="s">
        <v>90</v>
      </c>
      <c r="S264" t="s">
        <v>110</v>
      </c>
      <c r="T264" t="s">
        <v>111</v>
      </c>
      <c r="U264">
        <v>0</v>
      </c>
      <c r="V264">
        <v>0</v>
      </c>
      <c r="W264">
        <v>2730</v>
      </c>
      <c r="X264">
        <v>0</v>
      </c>
      <c r="Y264">
        <v>422</v>
      </c>
      <c r="Z264">
        <v>3152</v>
      </c>
      <c r="AA264">
        <v>317</v>
      </c>
      <c r="AB264" t="s">
        <v>151</v>
      </c>
      <c r="AC264">
        <v>13</v>
      </c>
      <c r="AD264">
        <v>52</v>
      </c>
      <c r="AE264">
        <v>65</v>
      </c>
      <c r="AF264" t="s">
        <v>132</v>
      </c>
      <c r="AG264">
        <v>27</v>
      </c>
      <c r="AH264" t="s">
        <v>113</v>
      </c>
      <c r="AI264" t="s">
        <v>152</v>
      </c>
      <c r="AJ264" t="s">
        <v>72</v>
      </c>
      <c r="AK264" t="s">
        <v>70</v>
      </c>
      <c r="AL264" t="s">
        <v>71</v>
      </c>
      <c r="AM264" t="s">
        <v>70</v>
      </c>
      <c r="AN264" t="s">
        <v>115</v>
      </c>
      <c r="AO264" t="s">
        <v>73</v>
      </c>
      <c r="AP264" t="s">
        <v>72</v>
      </c>
      <c r="AQ264" t="s">
        <v>98</v>
      </c>
      <c r="AR264" s="1">
        <v>43293</v>
      </c>
      <c r="AS264" t="s">
        <v>75</v>
      </c>
      <c r="AT264" t="s">
        <v>71</v>
      </c>
      <c r="AU264">
        <v>727</v>
      </c>
      <c r="AV264" t="s">
        <v>76</v>
      </c>
    </row>
    <row r="265" spans="1:48" x14ac:dyDescent="0.25">
      <c r="A265" t="s">
        <v>552</v>
      </c>
      <c r="B265" t="s">
        <v>181</v>
      </c>
      <c r="C265" t="s">
        <v>121</v>
      </c>
      <c r="D265" t="s">
        <v>122</v>
      </c>
      <c r="E265">
        <v>35</v>
      </c>
      <c r="F265" t="s">
        <v>311</v>
      </c>
      <c r="G265" t="s">
        <v>81</v>
      </c>
      <c r="H265" t="s">
        <v>82</v>
      </c>
      <c r="I265" t="s">
        <v>185</v>
      </c>
      <c r="J265" t="s">
        <v>186</v>
      </c>
      <c r="K265" t="s">
        <v>187</v>
      </c>
      <c r="L265" t="s">
        <v>174</v>
      </c>
      <c r="M265" t="s">
        <v>249</v>
      </c>
      <c r="N265" t="s">
        <v>108</v>
      </c>
      <c r="O265" t="s">
        <v>89</v>
      </c>
      <c r="P265" s="1">
        <v>43585</v>
      </c>
      <c r="Q265">
        <v>5.0999999999999996</v>
      </c>
      <c r="R265" t="s">
        <v>195</v>
      </c>
      <c r="S265" t="s">
        <v>130</v>
      </c>
      <c r="T265" t="s">
        <v>131</v>
      </c>
      <c r="U265">
        <v>7</v>
      </c>
      <c r="V265">
        <v>1</v>
      </c>
      <c r="W265">
        <v>2504</v>
      </c>
      <c r="X265">
        <v>0</v>
      </c>
      <c r="Y265">
        <v>422</v>
      </c>
      <c r="Z265">
        <v>2926</v>
      </c>
      <c r="AA265">
        <v>459</v>
      </c>
      <c r="AB265" t="s">
        <v>65</v>
      </c>
      <c r="AC265">
        <v>14.5</v>
      </c>
      <c r="AD265">
        <v>67</v>
      </c>
      <c r="AE265">
        <v>79</v>
      </c>
      <c r="AF265" t="s">
        <v>132</v>
      </c>
      <c r="AG265">
        <v>22</v>
      </c>
      <c r="AH265" t="s">
        <v>113</v>
      </c>
      <c r="AI265" t="s">
        <v>114</v>
      </c>
      <c r="AJ265" t="s">
        <v>72</v>
      </c>
      <c r="AK265" t="s">
        <v>71</v>
      </c>
      <c r="AL265" t="s">
        <v>70</v>
      </c>
      <c r="AM265" t="s">
        <v>71</v>
      </c>
      <c r="AN265" t="s">
        <v>133</v>
      </c>
      <c r="AO265" t="s">
        <v>227</v>
      </c>
      <c r="AP265" t="s">
        <v>72</v>
      </c>
      <c r="AQ265" t="s">
        <v>136</v>
      </c>
      <c r="AR265" s="1">
        <v>44940</v>
      </c>
      <c r="AS265" t="s">
        <v>75</v>
      </c>
      <c r="AT265" t="s">
        <v>71</v>
      </c>
      <c r="AU265">
        <v>-321</v>
      </c>
      <c r="AV265" t="s">
        <v>179</v>
      </c>
    </row>
    <row r="266" spans="1:48" x14ac:dyDescent="0.25">
      <c r="A266" t="s">
        <v>553</v>
      </c>
      <c r="B266" t="s">
        <v>263</v>
      </c>
      <c r="C266" t="s">
        <v>155</v>
      </c>
      <c r="D266" t="s">
        <v>51</v>
      </c>
      <c r="E266">
        <v>29</v>
      </c>
      <c r="F266" t="s">
        <v>248</v>
      </c>
      <c r="G266" t="s">
        <v>142</v>
      </c>
      <c r="H266" t="s">
        <v>143</v>
      </c>
      <c r="I266" t="s">
        <v>273</v>
      </c>
      <c r="J266" t="s">
        <v>274</v>
      </c>
      <c r="K266" t="s">
        <v>57</v>
      </c>
      <c r="L266" t="s">
        <v>58</v>
      </c>
      <c r="M266" t="s">
        <v>207</v>
      </c>
      <c r="N266" t="s">
        <v>265</v>
      </c>
      <c r="O266" t="s">
        <v>149</v>
      </c>
      <c r="P266" s="1">
        <v>41136</v>
      </c>
      <c r="Q266">
        <v>11.8</v>
      </c>
      <c r="R266" t="s">
        <v>195</v>
      </c>
      <c r="S266" t="s">
        <v>196</v>
      </c>
      <c r="T266" t="s">
        <v>197</v>
      </c>
      <c r="U266">
        <v>0</v>
      </c>
      <c r="V266">
        <v>0</v>
      </c>
      <c r="W266">
        <v>5473</v>
      </c>
      <c r="X266">
        <v>0</v>
      </c>
      <c r="Y266">
        <v>422</v>
      </c>
      <c r="Z266">
        <v>5895</v>
      </c>
      <c r="AA266">
        <v>424</v>
      </c>
      <c r="AB266" t="s">
        <v>65</v>
      </c>
      <c r="AC266">
        <v>14</v>
      </c>
      <c r="AD266">
        <v>21</v>
      </c>
      <c r="AE266">
        <v>41</v>
      </c>
      <c r="AF266" t="s">
        <v>66</v>
      </c>
      <c r="AG266">
        <v>16</v>
      </c>
      <c r="AH266" t="s">
        <v>113</v>
      </c>
      <c r="AI266" t="s">
        <v>114</v>
      </c>
      <c r="AJ266" t="s">
        <v>188</v>
      </c>
      <c r="AK266" t="s">
        <v>70</v>
      </c>
      <c r="AL266" t="s">
        <v>70</v>
      </c>
      <c r="AM266" t="s">
        <v>70</v>
      </c>
      <c r="AN266" t="s">
        <v>270</v>
      </c>
      <c r="AO266" t="s">
        <v>72</v>
      </c>
      <c r="AP266" t="s">
        <v>72</v>
      </c>
      <c r="AQ266" t="s">
        <v>136</v>
      </c>
      <c r="AR266" s="1">
        <v>41879</v>
      </c>
      <c r="AS266" t="s">
        <v>198</v>
      </c>
      <c r="AT266" t="s">
        <v>71</v>
      </c>
      <c r="AU266">
        <v>91</v>
      </c>
      <c r="AV266" t="s">
        <v>179</v>
      </c>
    </row>
    <row r="267" spans="1:48" x14ac:dyDescent="0.25">
      <c r="A267" t="s">
        <v>554</v>
      </c>
      <c r="B267" t="s">
        <v>263</v>
      </c>
      <c r="C267" t="s">
        <v>155</v>
      </c>
      <c r="D267" t="s">
        <v>51</v>
      </c>
      <c r="E267">
        <v>43</v>
      </c>
      <c r="F267" t="s">
        <v>141</v>
      </c>
      <c r="G267" t="s">
        <v>156</v>
      </c>
      <c r="H267" t="s">
        <v>157</v>
      </c>
      <c r="I267" t="s">
        <v>260</v>
      </c>
      <c r="J267" t="s">
        <v>261</v>
      </c>
      <c r="K267" t="s">
        <v>173</v>
      </c>
      <c r="L267" t="s">
        <v>86</v>
      </c>
      <c r="M267" t="s">
        <v>161</v>
      </c>
      <c r="N267" t="s">
        <v>148</v>
      </c>
      <c r="O267" t="s">
        <v>109</v>
      </c>
      <c r="P267" s="1">
        <v>43564</v>
      </c>
      <c r="Q267">
        <v>5.0999999999999996</v>
      </c>
      <c r="R267" t="s">
        <v>90</v>
      </c>
      <c r="S267" t="s">
        <v>130</v>
      </c>
      <c r="T267" t="s">
        <v>131</v>
      </c>
      <c r="U267">
        <v>1</v>
      </c>
      <c r="V267">
        <v>0</v>
      </c>
      <c r="W267">
        <v>4836</v>
      </c>
      <c r="X267">
        <v>0</v>
      </c>
      <c r="Y267">
        <v>266</v>
      </c>
      <c r="Z267">
        <v>5102</v>
      </c>
      <c r="AA267">
        <v>366</v>
      </c>
      <c r="AB267" t="s">
        <v>65</v>
      </c>
      <c r="AC267">
        <v>19.8</v>
      </c>
      <c r="AD267">
        <v>38</v>
      </c>
      <c r="AE267">
        <v>80</v>
      </c>
      <c r="AF267" t="s">
        <v>112</v>
      </c>
      <c r="AG267">
        <v>23</v>
      </c>
      <c r="AH267" t="s">
        <v>113</v>
      </c>
      <c r="AI267" t="s">
        <v>152</v>
      </c>
      <c r="AJ267" t="s">
        <v>69</v>
      </c>
      <c r="AK267" t="s">
        <v>70</v>
      </c>
      <c r="AL267" t="s">
        <v>70</v>
      </c>
      <c r="AM267" t="s">
        <v>71</v>
      </c>
      <c r="AN267" t="s">
        <v>72</v>
      </c>
      <c r="AO267" t="s">
        <v>135</v>
      </c>
      <c r="AP267" t="s">
        <v>134</v>
      </c>
      <c r="AQ267" t="s">
        <v>98</v>
      </c>
      <c r="AR267" s="1">
        <v>45055</v>
      </c>
      <c r="AS267" t="s">
        <v>137</v>
      </c>
      <c r="AT267" t="s">
        <v>71</v>
      </c>
      <c r="AU267">
        <v>1585</v>
      </c>
      <c r="AV267" t="s">
        <v>76</v>
      </c>
    </row>
    <row r="268" spans="1:48" x14ac:dyDescent="0.25">
      <c r="A268" t="s">
        <v>555</v>
      </c>
      <c r="B268" t="s">
        <v>190</v>
      </c>
      <c r="C268" t="s">
        <v>167</v>
      </c>
      <c r="D268" t="s">
        <v>51</v>
      </c>
      <c r="E268">
        <v>36</v>
      </c>
      <c r="F268" t="s">
        <v>123</v>
      </c>
      <c r="G268" t="s">
        <v>279</v>
      </c>
      <c r="H268" t="s">
        <v>280</v>
      </c>
      <c r="I268" t="s">
        <v>273</v>
      </c>
      <c r="J268" t="s">
        <v>274</v>
      </c>
      <c r="K268" t="s">
        <v>57</v>
      </c>
      <c r="L268" t="s">
        <v>86</v>
      </c>
      <c r="M268" t="s">
        <v>59</v>
      </c>
      <c r="N268" t="s">
        <v>88</v>
      </c>
      <c r="O268" t="s">
        <v>61</v>
      </c>
      <c r="P268" s="1">
        <v>44042</v>
      </c>
      <c r="Q268">
        <v>3.8</v>
      </c>
      <c r="R268" t="s">
        <v>75</v>
      </c>
      <c r="S268" t="s">
        <v>91</v>
      </c>
      <c r="T268" t="s">
        <v>92</v>
      </c>
      <c r="U268">
        <v>15</v>
      </c>
      <c r="V268">
        <v>2</v>
      </c>
      <c r="W268">
        <v>6618</v>
      </c>
      <c r="X268">
        <v>1770</v>
      </c>
      <c r="Y268">
        <v>266</v>
      </c>
      <c r="Z268">
        <v>8654</v>
      </c>
      <c r="AA268">
        <v>588</v>
      </c>
      <c r="AB268" t="s">
        <v>65</v>
      </c>
      <c r="AC268">
        <v>17.399999999999999</v>
      </c>
      <c r="AD268">
        <v>60</v>
      </c>
      <c r="AE268">
        <v>80</v>
      </c>
      <c r="AF268" t="s">
        <v>66</v>
      </c>
      <c r="AG268">
        <v>22</v>
      </c>
      <c r="AH268" t="s">
        <v>113</v>
      </c>
      <c r="AI268" t="s">
        <v>68</v>
      </c>
      <c r="AJ268" t="s">
        <v>188</v>
      </c>
      <c r="AK268" t="s">
        <v>70</v>
      </c>
      <c r="AL268" t="s">
        <v>70</v>
      </c>
      <c r="AM268" t="s">
        <v>70</v>
      </c>
      <c r="AN268" t="s">
        <v>202</v>
      </c>
      <c r="AO268" t="s">
        <v>73</v>
      </c>
      <c r="AP268" t="s">
        <v>287</v>
      </c>
      <c r="AQ268" t="s">
        <v>98</v>
      </c>
      <c r="AR268" s="1">
        <v>45370</v>
      </c>
      <c r="AS268" t="s">
        <v>75</v>
      </c>
      <c r="AT268" t="s">
        <v>71</v>
      </c>
      <c r="AU268">
        <v>-156</v>
      </c>
      <c r="AV268" t="s">
        <v>179</v>
      </c>
    </row>
    <row r="269" spans="1:48" x14ac:dyDescent="0.25">
      <c r="A269" t="s">
        <v>556</v>
      </c>
      <c r="B269" t="s">
        <v>190</v>
      </c>
      <c r="C269" t="s">
        <v>200</v>
      </c>
      <c r="D269" t="s">
        <v>51</v>
      </c>
      <c r="E269">
        <v>44</v>
      </c>
      <c r="F269" t="s">
        <v>283</v>
      </c>
      <c r="G269" t="s">
        <v>301</v>
      </c>
      <c r="H269" t="s">
        <v>302</v>
      </c>
      <c r="I269" t="s">
        <v>55</v>
      </c>
      <c r="J269" t="s">
        <v>56</v>
      </c>
      <c r="K269" t="s">
        <v>57</v>
      </c>
      <c r="L269" t="s">
        <v>201</v>
      </c>
      <c r="M269" t="s">
        <v>296</v>
      </c>
      <c r="N269" t="s">
        <v>162</v>
      </c>
      <c r="O269" t="s">
        <v>61</v>
      </c>
      <c r="P269" s="1">
        <v>43441</v>
      </c>
      <c r="Q269">
        <v>5.5</v>
      </c>
      <c r="R269" t="s">
        <v>195</v>
      </c>
      <c r="S269" t="s">
        <v>110</v>
      </c>
      <c r="T269" t="s">
        <v>111</v>
      </c>
      <c r="U269">
        <v>13</v>
      </c>
      <c r="V269">
        <v>2</v>
      </c>
      <c r="W269">
        <v>4188</v>
      </c>
      <c r="X269">
        <v>1723</v>
      </c>
      <c r="Y269">
        <v>266</v>
      </c>
      <c r="Z269">
        <v>6177</v>
      </c>
      <c r="AA269">
        <v>452</v>
      </c>
      <c r="AB269" t="s">
        <v>65</v>
      </c>
      <c r="AC269">
        <v>16.2</v>
      </c>
      <c r="AD269">
        <v>43</v>
      </c>
      <c r="AE269">
        <v>61</v>
      </c>
      <c r="AF269" t="s">
        <v>112</v>
      </c>
      <c r="AG269">
        <v>28</v>
      </c>
      <c r="AH269" t="s">
        <v>113</v>
      </c>
      <c r="AI269" t="s">
        <v>152</v>
      </c>
      <c r="AJ269" t="s">
        <v>72</v>
      </c>
      <c r="AK269" t="s">
        <v>70</v>
      </c>
      <c r="AL269" t="s">
        <v>71</v>
      </c>
      <c r="AM269" t="s">
        <v>70</v>
      </c>
      <c r="AN269" t="s">
        <v>202</v>
      </c>
      <c r="AO269" t="s">
        <v>135</v>
      </c>
      <c r="AP269" t="s">
        <v>72</v>
      </c>
      <c r="AQ269" t="s">
        <v>98</v>
      </c>
      <c r="AR269" s="1">
        <v>43504</v>
      </c>
      <c r="AS269" t="s">
        <v>137</v>
      </c>
      <c r="AT269" t="s">
        <v>71</v>
      </c>
      <c r="AU269">
        <v>-15</v>
      </c>
      <c r="AV269" t="s">
        <v>179</v>
      </c>
    </row>
    <row r="270" spans="1:48" x14ac:dyDescent="0.25">
      <c r="A270" t="s">
        <v>557</v>
      </c>
      <c r="B270" t="s">
        <v>205</v>
      </c>
      <c r="C270" t="s">
        <v>332</v>
      </c>
      <c r="D270" t="s">
        <v>51</v>
      </c>
      <c r="E270">
        <v>33</v>
      </c>
      <c r="F270" t="s">
        <v>283</v>
      </c>
      <c r="G270" t="s">
        <v>169</v>
      </c>
      <c r="H270" t="s">
        <v>170</v>
      </c>
      <c r="I270" t="s">
        <v>83</v>
      </c>
      <c r="J270" t="s">
        <v>84</v>
      </c>
      <c r="K270" t="s">
        <v>85</v>
      </c>
      <c r="L270" t="s">
        <v>58</v>
      </c>
      <c r="M270" t="s">
        <v>175</v>
      </c>
      <c r="N270" t="s">
        <v>88</v>
      </c>
      <c r="O270" t="s">
        <v>176</v>
      </c>
      <c r="P270" s="1">
        <v>40832</v>
      </c>
      <c r="Q270">
        <v>12.6</v>
      </c>
      <c r="R270" t="s">
        <v>90</v>
      </c>
      <c r="S270" t="s">
        <v>219</v>
      </c>
      <c r="T270" t="s">
        <v>220</v>
      </c>
      <c r="U270">
        <v>0</v>
      </c>
      <c r="V270">
        <v>0</v>
      </c>
      <c r="W270">
        <v>3294</v>
      </c>
      <c r="X270">
        <v>2199</v>
      </c>
      <c r="Y270">
        <v>422</v>
      </c>
      <c r="Z270">
        <v>5915</v>
      </c>
      <c r="AA270">
        <v>568</v>
      </c>
      <c r="AB270" t="s">
        <v>65</v>
      </c>
      <c r="AC270">
        <v>14.1</v>
      </c>
      <c r="AD270">
        <v>58</v>
      </c>
      <c r="AE270">
        <v>38</v>
      </c>
      <c r="AF270" t="s">
        <v>112</v>
      </c>
      <c r="AG270">
        <v>16</v>
      </c>
      <c r="AH270" t="s">
        <v>113</v>
      </c>
      <c r="AI270" t="s">
        <v>114</v>
      </c>
      <c r="AJ270" t="s">
        <v>69</v>
      </c>
      <c r="AK270" t="s">
        <v>70</v>
      </c>
      <c r="AL270" t="s">
        <v>70</v>
      </c>
      <c r="AM270" t="s">
        <v>71</v>
      </c>
      <c r="AN270" t="s">
        <v>72</v>
      </c>
      <c r="AO270" t="s">
        <v>72</v>
      </c>
      <c r="AP270" t="s">
        <v>72</v>
      </c>
      <c r="AQ270" t="s">
        <v>117</v>
      </c>
      <c r="AR270" s="1">
        <v>42263</v>
      </c>
      <c r="AS270" t="s">
        <v>198</v>
      </c>
      <c r="AT270" t="s">
        <v>71</v>
      </c>
      <c r="AU270">
        <v>1443</v>
      </c>
      <c r="AV270" t="s">
        <v>76</v>
      </c>
    </row>
    <row r="271" spans="1:48" x14ac:dyDescent="0.25">
      <c r="A271" t="s">
        <v>558</v>
      </c>
      <c r="B271" t="s">
        <v>229</v>
      </c>
      <c r="C271" t="s">
        <v>200</v>
      </c>
      <c r="D271" t="s">
        <v>51</v>
      </c>
      <c r="E271">
        <v>31</v>
      </c>
      <c r="F271" t="s">
        <v>291</v>
      </c>
      <c r="G271" t="s">
        <v>215</v>
      </c>
      <c r="H271" t="s">
        <v>216</v>
      </c>
      <c r="I271" t="s">
        <v>292</v>
      </c>
      <c r="J271" t="s">
        <v>293</v>
      </c>
      <c r="K271" t="s">
        <v>294</v>
      </c>
      <c r="L271" t="s">
        <v>174</v>
      </c>
      <c r="M271" t="s">
        <v>161</v>
      </c>
      <c r="N271" t="s">
        <v>128</v>
      </c>
      <c r="O271" t="s">
        <v>149</v>
      </c>
      <c r="P271" s="1">
        <v>41865</v>
      </c>
      <c r="Q271">
        <v>9.8000000000000007</v>
      </c>
      <c r="R271" t="s">
        <v>75</v>
      </c>
      <c r="S271" t="s">
        <v>196</v>
      </c>
      <c r="T271" t="s">
        <v>197</v>
      </c>
      <c r="U271">
        <v>0</v>
      </c>
      <c r="V271">
        <v>0</v>
      </c>
      <c r="W271">
        <v>3637</v>
      </c>
      <c r="X271">
        <v>0</v>
      </c>
      <c r="Y271">
        <v>266</v>
      </c>
      <c r="Z271">
        <v>3903</v>
      </c>
      <c r="AA271">
        <v>305</v>
      </c>
      <c r="AB271" t="s">
        <v>151</v>
      </c>
      <c r="AC271">
        <v>16.2</v>
      </c>
      <c r="AD271">
        <v>74</v>
      </c>
      <c r="AE271">
        <v>65</v>
      </c>
      <c r="AF271" t="s">
        <v>112</v>
      </c>
      <c r="AG271">
        <v>20</v>
      </c>
      <c r="AH271" t="s">
        <v>113</v>
      </c>
      <c r="AI271" t="s">
        <v>152</v>
      </c>
      <c r="AJ271" t="s">
        <v>96</v>
      </c>
      <c r="AK271" t="s">
        <v>70</v>
      </c>
      <c r="AL271" t="s">
        <v>71</v>
      </c>
      <c r="AM271" t="s">
        <v>70</v>
      </c>
      <c r="AN271" t="s">
        <v>72</v>
      </c>
      <c r="AO271" t="s">
        <v>116</v>
      </c>
      <c r="AP271" t="s">
        <v>134</v>
      </c>
      <c r="AQ271" t="s">
        <v>136</v>
      </c>
      <c r="AR271" s="1">
        <v>41735</v>
      </c>
      <c r="AS271" t="s">
        <v>75</v>
      </c>
      <c r="AT271" t="s">
        <v>71</v>
      </c>
      <c r="AU271">
        <v>-369</v>
      </c>
      <c r="AV271" t="s">
        <v>179</v>
      </c>
    </row>
    <row r="272" spans="1:48" x14ac:dyDescent="0.25">
      <c r="A272" t="s">
        <v>559</v>
      </c>
      <c r="B272" t="s">
        <v>267</v>
      </c>
      <c r="C272" t="s">
        <v>233</v>
      </c>
      <c r="D272" t="s">
        <v>51</v>
      </c>
      <c r="E272">
        <v>20</v>
      </c>
      <c r="F272" t="s">
        <v>291</v>
      </c>
      <c r="G272" t="s">
        <v>156</v>
      </c>
      <c r="H272" t="s">
        <v>157</v>
      </c>
      <c r="I272" t="s">
        <v>253</v>
      </c>
      <c r="J272" t="s">
        <v>254</v>
      </c>
      <c r="K272" t="s">
        <v>255</v>
      </c>
      <c r="L272" t="s">
        <v>58</v>
      </c>
      <c r="M272" t="s">
        <v>212</v>
      </c>
      <c r="N272" t="s">
        <v>60</v>
      </c>
      <c r="O272" t="s">
        <v>61</v>
      </c>
      <c r="P272" s="1">
        <v>41518</v>
      </c>
      <c r="Q272">
        <v>10.7</v>
      </c>
      <c r="R272" t="s">
        <v>90</v>
      </c>
      <c r="S272" t="s">
        <v>130</v>
      </c>
      <c r="T272" t="s">
        <v>131</v>
      </c>
      <c r="U272">
        <v>15</v>
      </c>
      <c r="V272">
        <v>2</v>
      </c>
      <c r="W272">
        <v>4836</v>
      </c>
      <c r="X272">
        <v>1022</v>
      </c>
      <c r="Y272">
        <v>266</v>
      </c>
      <c r="Z272">
        <v>6124</v>
      </c>
      <c r="AA272">
        <v>445</v>
      </c>
      <c r="AB272" t="s">
        <v>65</v>
      </c>
      <c r="AC272">
        <v>17.3</v>
      </c>
      <c r="AD272">
        <v>48</v>
      </c>
      <c r="AE272">
        <v>70</v>
      </c>
      <c r="AF272" t="s">
        <v>66</v>
      </c>
      <c r="AG272">
        <v>21</v>
      </c>
      <c r="AH272" t="s">
        <v>113</v>
      </c>
      <c r="AI272" t="s">
        <v>68</v>
      </c>
      <c r="AJ272" t="s">
        <v>69</v>
      </c>
      <c r="AK272" t="s">
        <v>71</v>
      </c>
      <c r="AL272" t="s">
        <v>71</v>
      </c>
      <c r="AM272" t="s">
        <v>70</v>
      </c>
      <c r="AN272" t="s">
        <v>72</v>
      </c>
      <c r="AO272" t="s">
        <v>97</v>
      </c>
      <c r="AP272" t="s">
        <v>178</v>
      </c>
      <c r="AQ272" t="s">
        <v>136</v>
      </c>
      <c r="AR272" s="1">
        <v>45570</v>
      </c>
      <c r="AS272" t="s">
        <v>118</v>
      </c>
      <c r="AT272" t="s">
        <v>71</v>
      </c>
      <c r="AU272">
        <v>-214</v>
      </c>
      <c r="AV272" t="s">
        <v>179</v>
      </c>
    </row>
    <row r="273" spans="1:48" x14ac:dyDescent="0.25">
      <c r="A273" t="s">
        <v>560</v>
      </c>
      <c r="B273" t="s">
        <v>282</v>
      </c>
      <c r="C273" t="s">
        <v>501</v>
      </c>
      <c r="D273" t="s">
        <v>122</v>
      </c>
      <c r="E273">
        <v>26</v>
      </c>
      <c r="F273" t="s">
        <v>211</v>
      </c>
      <c r="G273" t="s">
        <v>234</v>
      </c>
      <c r="H273" t="s">
        <v>235</v>
      </c>
      <c r="I273" t="s">
        <v>273</v>
      </c>
      <c r="J273" t="s">
        <v>274</v>
      </c>
      <c r="K273" t="s">
        <v>57</v>
      </c>
      <c r="L273" t="s">
        <v>86</v>
      </c>
      <c r="M273" t="s">
        <v>212</v>
      </c>
      <c r="N273" t="s">
        <v>162</v>
      </c>
      <c r="O273" t="s">
        <v>149</v>
      </c>
      <c r="P273" s="1">
        <v>39260</v>
      </c>
      <c r="Q273">
        <v>16.899999999999999</v>
      </c>
      <c r="R273" t="s">
        <v>62</v>
      </c>
      <c r="S273" t="s">
        <v>130</v>
      </c>
      <c r="T273" t="s">
        <v>131</v>
      </c>
      <c r="U273">
        <v>13</v>
      </c>
      <c r="V273">
        <v>2</v>
      </c>
      <c r="W273">
        <v>1917</v>
      </c>
      <c r="X273">
        <v>0</v>
      </c>
      <c r="Y273">
        <v>422</v>
      </c>
      <c r="Z273">
        <v>2339</v>
      </c>
      <c r="AA273">
        <v>356</v>
      </c>
      <c r="AB273" t="s">
        <v>151</v>
      </c>
      <c r="AC273">
        <v>15.8</v>
      </c>
      <c r="AD273">
        <v>77</v>
      </c>
      <c r="AE273">
        <v>43</v>
      </c>
      <c r="AF273" t="s">
        <v>93</v>
      </c>
      <c r="AG273">
        <v>25</v>
      </c>
      <c r="AH273" t="s">
        <v>113</v>
      </c>
      <c r="AI273" t="s">
        <v>177</v>
      </c>
      <c r="AJ273" t="s">
        <v>96</v>
      </c>
      <c r="AK273" t="s">
        <v>70</v>
      </c>
      <c r="AL273" t="s">
        <v>70</v>
      </c>
      <c r="AM273" t="s">
        <v>70</v>
      </c>
      <c r="AN273" t="s">
        <v>231</v>
      </c>
      <c r="AO273" t="s">
        <v>227</v>
      </c>
      <c r="AP273" t="s">
        <v>72</v>
      </c>
      <c r="AQ273" t="s">
        <v>74</v>
      </c>
      <c r="AR273" s="1">
        <v>44037</v>
      </c>
      <c r="AS273" t="s">
        <v>118</v>
      </c>
      <c r="AT273" t="s">
        <v>71</v>
      </c>
      <c r="AU273">
        <v>511</v>
      </c>
      <c r="AV273" t="s">
        <v>76</v>
      </c>
    </row>
    <row r="274" spans="1:48" x14ac:dyDescent="0.25">
      <c r="A274" t="s">
        <v>561</v>
      </c>
      <c r="B274" t="s">
        <v>229</v>
      </c>
      <c r="C274" t="s">
        <v>167</v>
      </c>
      <c r="D274" t="s">
        <v>51</v>
      </c>
      <c r="E274">
        <v>25</v>
      </c>
      <c r="F274" t="s">
        <v>123</v>
      </c>
      <c r="G274" t="s">
        <v>279</v>
      </c>
      <c r="H274" t="s">
        <v>280</v>
      </c>
      <c r="I274" t="s">
        <v>225</v>
      </c>
      <c r="J274" t="s">
        <v>226</v>
      </c>
      <c r="K274" t="s">
        <v>105</v>
      </c>
      <c r="L274" t="s">
        <v>174</v>
      </c>
      <c r="M274" t="s">
        <v>59</v>
      </c>
      <c r="N274" t="s">
        <v>60</v>
      </c>
      <c r="O274" t="s">
        <v>176</v>
      </c>
      <c r="P274" s="1">
        <v>43647</v>
      </c>
      <c r="Q274">
        <v>4.9000000000000004</v>
      </c>
      <c r="R274" t="s">
        <v>129</v>
      </c>
      <c r="S274" t="s">
        <v>91</v>
      </c>
      <c r="T274" t="s">
        <v>92</v>
      </c>
      <c r="U274">
        <v>11</v>
      </c>
      <c r="V274">
        <v>1</v>
      </c>
      <c r="W274">
        <v>6618</v>
      </c>
      <c r="X274">
        <v>1409</v>
      </c>
      <c r="Y274">
        <v>266</v>
      </c>
      <c r="Z274">
        <v>8293</v>
      </c>
      <c r="AA274">
        <v>502</v>
      </c>
      <c r="AB274" t="s">
        <v>65</v>
      </c>
      <c r="AC274">
        <v>17.7</v>
      </c>
      <c r="AD274">
        <v>71</v>
      </c>
      <c r="AE274">
        <v>41</v>
      </c>
      <c r="AF274" t="s">
        <v>93</v>
      </c>
      <c r="AG274">
        <v>21</v>
      </c>
      <c r="AH274" t="s">
        <v>113</v>
      </c>
      <c r="AI274" t="s">
        <v>68</v>
      </c>
      <c r="AJ274" t="s">
        <v>188</v>
      </c>
      <c r="AK274" t="s">
        <v>71</v>
      </c>
      <c r="AL274" t="s">
        <v>70</v>
      </c>
      <c r="AM274" t="s">
        <v>71</v>
      </c>
      <c r="AN274" t="s">
        <v>270</v>
      </c>
      <c r="AO274" t="s">
        <v>116</v>
      </c>
      <c r="AP274" t="s">
        <v>287</v>
      </c>
      <c r="AQ274" t="s">
        <v>74</v>
      </c>
      <c r="AR274" s="1">
        <v>44355</v>
      </c>
      <c r="AS274" t="s">
        <v>75</v>
      </c>
      <c r="AT274" t="s">
        <v>71</v>
      </c>
      <c r="AU274">
        <v>1521</v>
      </c>
      <c r="AV274" t="s">
        <v>76</v>
      </c>
    </row>
    <row r="275" spans="1:48" x14ac:dyDescent="0.25">
      <c r="A275" t="s">
        <v>562</v>
      </c>
      <c r="B275" t="s">
        <v>245</v>
      </c>
      <c r="C275" t="s">
        <v>394</v>
      </c>
      <c r="D275" t="s">
        <v>122</v>
      </c>
      <c r="E275">
        <v>28</v>
      </c>
      <c r="F275" t="s">
        <v>278</v>
      </c>
      <c r="G275" t="s">
        <v>81</v>
      </c>
      <c r="H275" t="s">
        <v>82</v>
      </c>
      <c r="I275" t="s">
        <v>83</v>
      </c>
      <c r="J275" t="s">
        <v>84</v>
      </c>
      <c r="K275" t="s">
        <v>85</v>
      </c>
      <c r="L275" t="s">
        <v>174</v>
      </c>
      <c r="M275" t="s">
        <v>127</v>
      </c>
      <c r="N275" t="s">
        <v>148</v>
      </c>
      <c r="O275" t="s">
        <v>176</v>
      </c>
      <c r="P275" s="1">
        <v>41712</v>
      </c>
      <c r="Q275">
        <v>10.199999999999999</v>
      </c>
      <c r="R275" t="s">
        <v>150</v>
      </c>
      <c r="S275" t="s">
        <v>91</v>
      </c>
      <c r="T275" t="s">
        <v>92</v>
      </c>
      <c r="U275">
        <v>5</v>
      </c>
      <c r="V275">
        <v>0</v>
      </c>
      <c r="W275">
        <v>2504</v>
      </c>
      <c r="X275">
        <v>0</v>
      </c>
      <c r="Y275">
        <v>422</v>
      </c>
      <c r="Z275">
        <v>2926</v>
      </c>
      <c r="AA275">
        <v>327</v>
      </c>
      <c r="AB275" t="s">
        <v>151</v>
      </c>
      <c r="AC275">
        <v>16.8</v>
      </c>
      <c r="AD275">
        <v>49</v>
      </c>
      <c r="AE275">
        <v>31</v>
      </c>
      <c r="AF275" t="s">
        <v>132</v>
      </c>
      <c r="AG275">
        <v>28</v>
      </c>
      <c r="AH275" t="s">
        <v>113</v>
      </c>
      <c r="AI275" t="s">
        <v>95</v>
      </c>
      <c r="AJ275" t="s">
        <v>72</v>
      </c>
      <c r="AK275" t="s">
        <v>70</v>
      </c>
      <c r="AL275" t="s">
        <v>71</v>
      </c>
      <c r="AM275" t="s">
        <v>70</v>
      </c>
      <c r="AN275" t="s">
        <v>72</v>
      </c>
      <c r="AO275" t="s">
        <v>221</v>
      </c>
      <c r="AP275" t="s">
        <v>73</v>
      </c>
      <c r="AQ275" t="s">
        <v>74</v>
      </c>
      <c r="AR275" s="1">
        <v>43886</v>
      </c>
      <c r="AS275" t="s">
        <v>198</v>
      </c>
      <c r="AT275" t="s">
        <v>71</v>
      </c>
      <c r="AU275">
        <v>492</v>
      </c>
      <c r="AV275" t="s">
        <v>76</v>
      </c>
    </row>
    <row r="276" spans="1:48" x14ac:dyDescent="0.25">
      <c r="A276" t="s">
        <v>563</v>
      </c>
      <c r="B276" t="s">
        <v>308</v>
      </c>
      <c r="C276" t="s">
        <v>334</v>
      </c>
      <c r="D276" t="s">
        <v>122</v>
      </c>
      <c r="E276">
        <v>24</v>
      </c>
      <c r="F276" t="s">
        <v>278</v>
      </c>
      <c r="G276" t="s">
        <v>242</v>
      </c>
      <c r="H276" t="s">
        <v>54</v>
      </c>
      <c r="I276" t="s">
        <v>144</v>
      </c>
      <c r="J276" t="s">
        <v>145</v>
      </c>
      <c r="K276" t="s">
        <v>146</v>
      </c>
      <c r="L276" t="s">
        <v>58</v>
      </c>
      <c r="M276" t="s">
        <v>275</v>
      </c>
      <c r="N276" t="s">
        <v>128</v>
      </c>
      <c r="O276" t="s">
        <v>89</v>
      </c>
      <c r="P276" s="1">
        <v>43325</v>
      </c>
      <c r="Q276">
        <v>5.8</v>
      </c>
      <c r="R276" t="s">
        <v>62</v>
      </c>
      <c r="S276" t="s">
        <v>163</v>
      </c>
      <c r="T276" t="s">
        <v>164</v>
      </c>
      <c r="U276">
        <v>5</v>
      </c>
      <c r="V276">
        <v>0</v>
      </c>
      <c r="W276">
        <v>4739</v>
      </c>
      <c r="X276">
        <v>0</v>
      </c>
      <c r="Y276">
        <v>422</v>
      </c>
      <c r="Z276">
        <v>5161</v>
      </c>
      <c r="AA276">
        <v>329</v>
      </c>
      <c r="AB276" t="s">
        <v>151</v>
      </c>
      <c r="AC276">
        <v>17</v>
      </c>
      <c r="AD276">
        <v>45</v>
      </c>
      <c r="AE276">
        <v>40</v>
      </c>
      <c r="AF276" t="s">
        <v>66</v>
      </c>
      <c r="AG276">
        <v>37</v>
      </c>
      <c r="AH276" t="s">
        <v>94</v>
      </c>
      <c r="AI276" t="s">
        <v>177</v>
      </c>
      <c r="AJ276" t="s">
        <v>188</v>
      </c>
      <c r="AK276" t="s">
        <v>71</v>
      </c>
      <c r="AL276" t="s">
        <v>70</v>
      </c>
      <c r="AM276" t="s">
        <v>70</v>
      </c>
      <c r="AN276" t="s">
        <v>72</v>
      </c>
      <c r="AO276" t="s">
        <v>134</v>
      </c>
      <c r="AP276" t="s">
        <v>72</v>
      </c>
      <c r="AQ276" t="s">
        <v>117</v>
      </c>
      <c r="AR276" s="1">
        <v>44363</v>
      </c>
      <c r="AS276" t="s">
        <v>137</v>
      </c>
      <c r="AT276" t="s">
        <v>71</v>
      </c>
      <c r="AU276">
        <v>1318</v>
      </c>
      <c r="AV276" t="s">
        <v>76</v>
      </c>
    </row>
    <row r="277" spans="1:48" x14ac:dyDescent="0.25">
      <c r="A277" t="s">
        <v>564</v>
      </c>
      <c r="B277" t="s">
        <v>205</v>
      </c>
      <c r="C277" t="s">
        <v>50</v>
      </c>
      <c r="D277" t="s">
        <v>51</v>
      </c>
      <c r="E277">
        <v>21</v>
      </c>
      <c r="F277" t="s">
        <v>382</v>
      </c>
      <c r="G277" t="s">
        <v>156</v>
      </c>
      <c r="H277" t="s">
        <v>157</v>
      </c>
      <c r="I277" t="s">
        <v>292</v>
      </c>
      <c r="J277" t="s">
        <v>293</v>
      </c>
      <c r="K277" t="s">
        <v>294</v>
      </c>
      <c r="L277" t="s">
        <v>58</v>
      </c>
      <c r="M277" t="s">
        <v>107</v>
      </c>
      <c r="N277" t="s">
        <v>88</v>
      </c>
      <c r="O277" t="s">
        <v>149</v>
      </c>
      <c r="P277" s="1">
        <v>39991</v>
      </c>
      <c r="Q277">
        <v>14.9</v>
      </c>
      <c r="R277" t="s">
        <v>129</v>
      </c>
      <c r="S277" t="s">
        <v>163</v>
      </c>
      <c r="T277" t="s">
        <v>164</v>
      </c>
      <c r="U277">
        <v>0</v>
      </c>
      <c r="V277">
        <v>0</v>
      </c>
      <c r="W277">
        <v>4836</v>
      </c>
      <c r="X277">
        <v>0</v>
      </c>
      <c r="Y277">
        <v>266</v>
      </c>
      <c r="Z277">
        <v>5102</v>
      </c>
      <c r="AA277">
        <v>322</v>
      </c>
      <c r="AB277" t="s">
        <v>151</v>
      </c>
      <c r="AC277">
        <v>20.9</v>
      </c>
      <c r="AD277">
        <v>41</v>
      </c>
      <c r="AE277">
        <v>42</v>
      </c>
      <c r="AF277" t="s">
        <v>93</v>
      </c>
      <c r="AG277">
        <v>19</v>
      </c>
      <c r="AH277" t="s">
        <v>113</v>
      </c>
      <c r="AI277" t="s">
        <v>68</v>
      </c>
      <c r="AJ277" t="s">
        <v>188</v>
      </c>
      <c r="AK277" t="s">
        <v>71</v>
      </c>
      <c r="AL277" t="s">
        <v>70</v>
      </c>
      <c r="AM277" t="s">
        <v>70</v>
      </c>
      <c r="AN277" t="s">
        <v>115</v>
      </c>
      <c r="AO277" t="s">
        <v>72</v>
      </c>
      <c r="AP277" t="s">
        <v>72</v>
      </c>
      <c r="AQ277" t="s">
        <v>98</v>
      </c>
      <c r="AR277" s="1">
        <v>43050</v>
      </c>
      <c r="AS277" t="s">
        <v>118</v>
      </c>
      <c r="AT277" t="s">
        <v>71</v>
      </c>
      <c r="AU277">
        <v>1252</v>
      </c>
      <c r="AV277" t="s">
        <v>76</v>
      </c>
    </row>
    <row r="278" spans="1:48" x14ac:dyDescent="0.25">
      <c r="A278" t="s">
        <v>565</v>
      </c>
      <c r="B278" t="s">
        <v>263</v>
      </c>
      <c r="C278" t="s">
        <v>182</v>
      </c>
      <c r="D278" t="s">
        <v>51</v>
      </c>
      <c r="E278">
        <v>43</v>
      </c>
      <c r="F278" t="s">
        <v>241</v>
      </c>
      <c r="G278" t="s">
        <v>81</v>
      </c>
      <c r="H278" t="s">
        <v>82</v>
      </c>
      <c r="I278" t="s">
        <v>83</v>
      </c>
      <c r="J278" t="s">
        <v>84</v>
      </c>
      <c r="K278" t="s">
        <v>85</v>
      </c>
      <c r="L278" t="s">
        <v>86</v>
      </c>
      <c r="M278" t="s">
        <v>275</v>
      </c>
      <c r="N278" t="s">
        <v>60</v>
      </c>
      <c r="O278" t="s">
        <v>109</v>
      </c>
      <c r="P278" s="1">
        <v>43710</v>
      </c>
      <c r="Q278">
        <v>4.7</v>
      </c>
      <c r="R278" t="s">
        <v>90</v>
      </c>
      <c r="S278" t="s">
        <v>110</v>
      </c>
      <c r="T278" t="s">
        <v>111</v>
      </c>
      <c r="U278">
        <v>0</v>
      </c>
      <c r="V278">
        <v>0</v>
      </c>
      <c r="W278">
        <v>2504</v>
      </c>
      <c r="X278">
        <v>0</v>
      </c>
      <c r="Y278">
        <v>422</v>
      </c>
      <c r="Z278">
        <v>2926</v>
      </c>
      <c r="AA278">
        <v>432</v>
      </c>
      <c r="AB278" t="s">
        <v>65</v>
      </c>
      <c r="AC278">
        <v>16.399999999999999</v>
      </c>
      <c r="AD278">
        <v>24</v>
      </c>
      <c r="AE278">
        <v>72</v>
      </c>
      <c r="AF278" t="s">
        <v>112</v>
      </c>
      <c r="AG278">
        <v>17</v>
      </c>
      <c r="AH278" t="s">
        <v>113</v>
      </c>
      <c r="AI278" t="s">
        <v>114</v>
      </c>
      <c r="AJ278" t="s">
        <v>69</v>
      </c>
      <c r="AK278" t="s">
        <v>71</v>
      </c>
      <c r="AL278" t="s">
        <v>70</v>
      </c>
      <c r="AM278" t="s">
        <v>70</v>
      </c>
      <c r="AN278" t="s">
        <v>115</v>
      </c>
      <c r="AO278" t="s">
        <v>97</v>
      </c>
      <c r="AP278" t="s">
        <v>227</v>
      </c>
      <c r="AQ278" t="s">
        <v>117</v>
      </c>
      <c r="AR278" s="1">
        <v>44794</v>
      </c>
      <c r="AS278" t="s">
        <v>75</v>
      </c>
      <c r="AT278" t="s">
        <v>71</v>
      </c>
      <c r="AU278">
        <v>1091</v>
      </c>
      <c r="AV278" t="s">
        <v>76</v>
      </c>
    </row>
    <row r="279" spans="1:48" x14ac:dyDescent="0.25">
      <c r="A279" t="s">
        <v>566</v>
      </c>
      <c r="B279" t="s">
        <v>181</v>
      </c>
      <c r="C279" t="s">
        <v>360</v>
      </c>
      <c r="D279" t="s">
        <v>51</v>
      </c>
      <c r="E279">
        <v>19</v>
      </c>
      <c r="F279" t="s">
        <v>192</v>
      </c>
      <c r="G279" t="s">
        <v>215</v>
      </c>
      <c r="H279" t="s">
        <v>216</v>
      </c>
      <c r="I279" t="s">
        <v>144</v>
      </c>
      <c r="J279" t="s">
        <v>145</v>
      </c>
      <c r="K279" t="s">
        <v>146</v>
      </c>
      <c r="L279" t="s">
        <v>106</v>
      </c>
      <c r="M279" t="s">
        <v>249</v>
      </c>
      <c r="N279" t="s">
        <v>60</v>
      </c>
      <c r="O279" t="s">
        <v>176</v>
      </c>
      <c r="P279" s="1">
        <v>38497</v>
      </c>
      <c r="Q279">
        <v>19</v>
      </c>
      <c r="R279" t="s">
        <v>62</v>
      </c>
      <c r="S279" t="s">
        <v>63</v>
      </c>
      <c r="T279" t="s">
        <v>64</v>
      </c>
      <c r="U279">
        <v>0</v>
      </c>
      <c r="V279">
        <v>0</v>
      </c>
      <c r="W279">
        <v>3637</v>
      </c>
      <c r="X279">
        <v>1998</v>
      </c>
      <c r="Y279">
        <v>266</v>
      </c>
      <c r="Z279">
        <v>5901</v>
      </c>
      <c r="AA279">
        <v>409</v>
      </c>
      <c r="AB279" t="s">
        <v>65</v>
      </c>
      <c r="AC279">
        <v>15.8</v>
      </c>
      <c r="AD279">
        <v>60</v>
      </c>
      <c r="AE279">
        <v>77</v>
      </c>
      <c r="AF279" t="s">
        <v>66</v>
      </c>
      <c r="AG279">
        <v>23</v>
      </c>
      <c r="AH279" t="s">
        <v>113</v>
      </c>
      <c r="AI279" t="s">
        <v>68</v>
      </c>
      <c r="AJ279" t="s">
        <v>69</v>
      </c>
      <c r="AK279" t="s">
        <v>70</v>
      </c>
      <c r="AL279" t="s">
        <v>70</v>
      </c>
      <c r="AM279" t="s">
        <v>71</v>
      </c>
      <c r="AN279" t="s">
        <v>72</v>
      </c>
      <c r="AO279" t="s">
        <v>135</v>
      </c>
      <c r="AP279" t="s">
        <v>97</v>
      </c>
      <c r="AQ279" t="s">
        <v>117</v>
      </c>
      <c r="AR279" s="1">
        <v>39595</v>
      </c>
      <c r="AS279" t="s">
        <v>198</v>
      </c>
      <c r="AT279" t="s">
        <v>71</v>
      </c>
      <c r="AU279">
        <v>1039</v>
      </c>
      <c r="AV279" t="s">
        <v>76</v>
      </c>
    </row>
    <row r="280" spans="1:48" x14ac:dyDescent="0.25">
      <c r="A280" t="s">
        <v>567</v>
      </c>
      <c r="B280" t="s">
        <v>120</v>
      </c>
      <c r="C280" t="s">
        <v>191</v>
      </c>
      <c r="D280" t="s">
        <v>51</v>
      </c>
      <c r="E280">
        <v>37</v>
      </c>
      <c r="F280" t="s">
        <v>291</v>
      </c>
      <c r="G280" t="s">
        <v>279</v>
      </c>
      <c r="H280" t="s">
        <v>280</v>
      </c>
      <c r="I280" t="s">
        <v>260</v>
      </c>
      <c r="J280" t="s">
        <v>261</v>
      </c>
      <c r="K280" t="s">
        <v>173</v>
      </c>
      <c r="L280" t="s">
        <v>86</v>
      </c>
      <c r="M280" t="s">
        <v>275</v>
      </c>
      <c r="N280" t="s">
        <v>88</v>
      </c>
      <c r="O280" t="s">
        <v>176</v>
      </c>
      <c r="P280" s="1">
        <v>43625</v>
      </c>
      <c r="Q280">
        <v>5</v>
      </c>
      <c r="R280" t="s">
        <v>208</v>
      </c>
      <c r="S280" t="s">
        <v>196</v>
      </c>
      <c r="T280" t="s">
        <v>197</v>
      </c>
      <c r="U280">
        <v>0</v>
      </c>
      <c r="V280">
        <v>0</v>
      </c>
      <c r="W280">
        <v>6618</v>
      </c>
      <c r="X280">
        <v>881</v>
      </c>
      <c r="Y280">
        <v>266</v>
      </c>
      <c r="Z280">
        <v>7765</v>
      </c>
      <c r="AA280">
        <v>302</v>
      </c>
      <c r="AB280" t="s">
        <v>151</v>
      </c>
      <c r="AC280">
        <v>18</v>
      </c>
      <c r="AD280">
        <v>38</v>
      </c>
      <c r="AE280">
        <v>78</v>
      </c>
      <c r="AF280" t="s">
        <v>93</v>
      </c>
      <c r="AG280">
        <v>39</v>
      </c>
      <c r="AH280" t="s">
        <v>94</v>
      </c>
      <c r="AI280" t="s">
        <v>152</v>
      </c>
      <c r="AJ280" t="s">
        <v>72</v>
      </c>
      <c r="AK280" t="s">
        <v>70</v>
      </c>
      <c r="AL280" t="s">
        <v>70</v>
      </c>
      <c r="AM280" t="s">
        <v>70</v>
      </c>
      <c r="AN280" t="s">
        <v>72</v>
      </c>
      <c r="AO280" t="s">
        <v>221</v>
      </c>
      <c r="AP280" t="s">
        <v>72</v>
      </c>
      <c r="AQ280" t="s">
        <v>98</v>
      </c>
      <c r="AR280" s="1">
        <v>43490</v>
      </c>
      <c r="AS280" t="s">
        <v>75</v>
      </c>
      <c r="AT280" t="s">
        <v>71</v>
      </c>
      <c r="AU280">
        <v>-236</v>
      </c>
      <c r="AV280" t="s">
        <v>179</v>
      </c>
    </row>
    <row r="281" spans="1:48" x14ac:dyDescent="0.25">
      <c r="A281" t="s">
        <v>568</v>
      </c>
      <c r="B281" t="s">
        <v>263</v>
      </c>
      <c r="C281" t="s">
        <v>223</v>
      </c>
      <c r="D281" t="s">
        <v>122</v>
      </c>
      <c r="E281">
        <v>32</v>
      </c>
      <c r="F281" t="s">
        <v>211</v>
      </c>
      <c r="G281" t="s">
        <v>298</v>
      </c>
      <c r="H281" t="s">
        <v>299</v>
      </c>
      <c r="I281" t="s">
        <v>158</v>
      </c>
      <c r="J281" t="s">
        <v>159</v>
      </c>
      <c r="K281" t="s">
        <v>160</v>
      </c>
      <c r="L281" t="s">
        <v>58</v>
      </c>
      <c r="M281" t="s">
        <v>107</v>
      </c>
      <c r="N281" t="s">
        <v>108</v>
      </c>
      <c r="O281" t="s">
        <v>89</v>
      </c>
      <c r="P281" s="1">
        <v>39775</v>
      </c>
      <c r="Q281">
        <v>15.5</v>
      </c>
      <c r="R281" t="s">
        <v>62</v>
      </c>
      <c r="S281" t="s">
        <v>63</v>
      </c>
      <c r="T281" t="s">
        <v>64</v>
      </c>
      <c r="U281">
        <v>0</v>
      </c>
      <c r="V281">
        <v>0</v>
      </c>
      <c r="W281">
        <v>2149</v>
      </c>
      <c r="X281">
        <v>0</v>
      </c>
      <c r="Y281">
        <v>422</v>
      </c>
      <c r="Z281">
        <v>2571</v>
      </c>
      <c r="AA281">
        <v>529</v>
      </c>
      <c r="AB281" t="s">
        <v>65</v>
      </c>
      <c r="AC281">
        <v>14.5</v>
      </c>
      <c r="AD281">
        <v>25</v>
      </c>
      <c r="AE281">
        <v>57</v>
      </c>
      <c r="AF281" t="s">
        <v>112</v>
      </c>
      <c r="AG281">
        <v>21</v>
      </c>
      <c r="AH281" t="s">
        <v>113</v>
      </c>
      <c r="AI281" t="s">
        <v>68</v>
      </c>
      <c r="AJ281" t="s">
        <v>188</v>
      </c>
      <c r="AK281" t="s">
        <v>70</v>
      </c>
      <c r="AL281" t="s">
        <v>70</v>
      </c>
      <c r="AM281" t="s">
        <v>70</v>
      </c>
      <c r="AN281" t="s">
        <v>72</v>
      </c>
      <c r="AO281" t="s">
        <v>72</v>
      </c>
      <c r="AP281" t="s">
        <v>72</v>
      </c>
      <c r="AQ281" t="s">
        <v>74</v>
      </c>
      <c r="AR281" s="1">
        <v>42393</v>
      </c>
      <c r="AS281" t="s">
        <v>198</v>
      </c>
      <c r="AT281" t="s">
        <v>71</v>
      </c>
      <c r="AU281">
        <v>1131</v>
      </c>
      <c r="AV281" t="s">
        <v>76</v>
      </c>
    </row>
    <row r="282" spans="1:48" x14ac:dyDescent="0.25">
      <c r="A282" t="s">
        <v>569</v>
      </c>
      <c r="B282" t="s">
        <v>308</v>
      </c>
      <c r="C282" t="s">
        <v>334</v>
      </c>
      <c r="D282" t="s">
        <v>122</v>
      </c>
      <c r="E282">
        <v>35</v>
      </c>
      <c r="F282" t="s">
        <v>305</v>
      </c>
      <c r="G282" t="s">
        <v>279</v>
      </c>
      <c r="H282" t="s">
        <v>280</v>
      </c>
      <c r="I282" t="s">
        <v>253</v>
      </c>
      <c r="J282" t="s">
        <v>254</v>
      </c>
      <c r="K282" t="s">
        <v>255</v>
      </c>
      <c r="L282" t="s">
        <v>201</v>
      </c>
      <c r="M282" t="s">
        <v>87</v>
      </c>
      <c r="N282" t="s">
        <v>265</v>
      </c>
      <c r="O282" t="s">
        <v>109</v>
      </c>
      <c r="P282" s="1">
        <v>44581</v>
      </c>
      <c r="Q282">
        <v>2.4</v>
      </c>
      <c r="R282" t="s">
        <v>75</v>
      </c>
      <c r="S282" t="s">
        <v>130</v>
      </c>
      <c r="T282" t="s">
        <v>131</v>
      </c>
      <c r="U282">
        <v>15</v>
      </c>
      <c r="V282">
        <v>2</v>
      </c>
      <c r="W282">
        <v>6618</v>
      </c>
      <c r="X282">
        <v>840</v>
      </c>
      <c r="Y282">
        <v>266</v>
      </c>
      <c r="Z282">
        <v>7724</v>
      </c>
      <c r="AA282">
        <v>443</v>
      </c>
      <c r="AB282" t="s">
        <v>65</v>
      </c>
      <c r="AC282">
        <v>16.100000000000001</v>
      </c>
      <c r="AD282">
        <v>25</v>
      </c>
      <c r="AE282">
        <v>78</v>
      </c>
      <c r="AF282" t="s">
        <v>93</v>
      </c>
      <c r="AG282">
        <v>33</v>
      </c>
      <c r="AH282" t="s">
        <v>67</v>
      </c>
      <c r="AI282" t="s">
        <v>95</v>
      </c>
      <c r="AJ282" t="s">
        <v>96</v>
      </c>
      <c r="AK282" t="s">
        <v>70</v>
      </c>
      <c r="AL282" t="s">
        <v>70</v>
      </c>
      <c r="AM282" t="s">
        <v>70</v>
      </c>
      <c r="AN282" t="s">
        <v>72</v>
      </c>
      <c r="AO282" t="s">
        <v>72</v>
      </c>
      <c r="AP282" t="s">
        <v>72</v>
      </c>
      <c r="AQ282" t="s">
        <v>74</v>
      </c>
      <c r="AR282" s="1">
        <v>45523</v>
      </c>
      <c r="AS282" t="s">
        <v>137</v>
      </c>
      <c r="AT282" t="s">
        <v>71</v>
      </c>
      <c r="AU282">
        <v>301</v>
      </c>
      <c r="AV282" t="s">
        <v>76</v>
      </c>
    </row>
    <row r="283" spans="1:48" x14ac:dyDescent="0.25">
      <c r="A283" t="s">
        <v>570</v>
      </c>
      <c r="B283" t="s">
        <v>346</v>
      </c>
      <c r="C283" t="s">
        <v>155</v>
      </c>
      <c r="D283" t="s">
        <v>51</v>
      </c>
      <c r="E283">
        <v>42</v>
      </c>
      <c r="F283" t="s">
        <v>248</v>
      </c>
      <c r="G283" t="s">
        <v>234</v>
      </c>
      <c r="H283" t="s">
        <v>235</v>
      </c>
      <c r="I283" t="s">
        <v>144</v>
      </c>
      <c r="J283" t="s">
        <v>145</v>
      </c>
      <c r="K283" t="s">
        <v>146</v>
      </c>
      <c r="L283" t="s">
        <v>201</v>
      </c>
      <c r="M283" t="s">
        <v>59</v>
      </c>
      <c r="N283" t="s">
        <v>265</v>
      </c>
      <c r="O283" t="s">
        <v>176</v>
      </c>
      <c r="P283" s="1">
        <v>42378</v>
      </c>
      <c r="Q283">
        <v>8.4</v>
      </c>
      <c r="R283" t="s">
        <v>208</v>
      </c>
      <c r="S283" t="s">
        <v>91</v>
      </c>
      <c r="T283" t="s">
        <v>92</v>
      </c>
      <c r="U283">
        <v>13</v>
      </c>
      <c r="V283">
        <v>2</v>
      </c>
      <c r="W283">
        <v>1917</v>
      </c>
      <c r="X283">
        <v>1608</v>
      </c>
      <c r="Y283">
        <v>422</v>
      </c>
      <c r="Z283">
        <v>3947</v>
      </c>
      <c r="AA283">
        <v>591</v>
      </c>
      <c r="AB283" t="s">
        <v>65</v>
      </c>
      <c r="AC283">
        <v>15.8</v>
      </c>
      <c r="AD283">
        <v>39</v>
      </c>
      <c r="AE283">
        <v>71</v>
      </c>
      <c r="AF283" t="s">
        <v>66</v>
      </c>
      <c r="AG283">
        <v>29</v>
      </c>
      <c r="AH283" t="s">
        <v>113</v>
      </c>
      <c r="AI283" t="s">
        <v>152</v>
      </c>
      <c r="AJ283" t="s">
        <v>188</v>
      </c>
      <c r="AK283" t="s">
        <v>70</v>
      </c>
      <c r="AL283" t="s">
        <v>70</v>
      </c>
      <c r="AM283" t="s">
        <v>70</v>
      </c>
      <c r="AN283" t="s">
        <v>243</v>
      </c>
      <c r="AO283" t="s">
        <v>135</v>
      </c>
      <c r="AP283" t="s">
        <v>97</v>
      </c>
      <c r="AQ283" t="s">
        <v>74</v>
      </c>
      <c r="AR283" s="1">
        <v>45222</v>
      </c>
      <c r="AS283" t="s">
        <v>198</v>
      </c>
      <c r="AT283" t="s">
        <v>71</v>
      </c>
      <c r="AU283">
        <v>-264</v>
      </c>
      <c r="AV283" t="s">
        <v>179</v>
      </c>
    </row>
    <row r="284" spans="1:48" x14ac:dyDescent="0.25">
      <c r="A284" t="s">
        <v>571</v>
      </c>
      <c r="B284" t="s">
        <v>120</v>
      </c>
      <c r="C284" t="s">
        <v>369</v>
      </c>
      <c r="D284" t="s">
        <v>122</v>
      </c>
      <c r="E284">
        <v>30</v>
      </c>
      <c r="F284" t="s">
        <v>241</v>
      </c>
      <c r="G284" t="s">
        <v>53</v>
      </c>
      <c r="H284" t="s">
        <v>54</v>
      </c>
      <c r="I284" t="s">
        <v>185</v>
      </c>
      <c r="J284" t="s">
        <v>186</v>
      </c>
      <c r="K284" t="s">
        <v>187</v>
      </c>
      <c r="L284" t="s">
        <v>174</v>
      </c>
      <c r="M284" t="s">
        <v>161</v>
      </c>
      <c r="N284" t="s">
        <v>265</v>
      </c>
      <c r="O284" t="s">
        <v>89</v>
      </c>
      <c r="P284" s="1">
        <v>44066</v>
      </c>
      <c r="Q284">
        <v>3.8</v>
      </c>
      <c r="R284" t="s">
        <v>150</v>
      </c>
      <c r="S284" t="s">
        <v>219</v>
      </c>
      <c r="T284" t="s">
        <v>220</v>
      </c>
      <c r="U284">
        <v>0</v>
      </c>
      <c r="V284">
        <v>0</v>
      </c>
      <c r="W284">
        <v>4739</v>
      </c>
      <c r="X284">
        <v>0</v>
      </c>
      <c r="Y284">
        <v>422</v>
      </c>
      <c r="Z284">
        <v>5161</v>
      </c>
      <c r="AA284">
        <v>365</v>
      </c>
      <c r="AB284" t="s">
        <v>65</v>
      </c>
      <c r="AC284">
        <v>14.7</v>
      </c>
      <c r="AD284">
        <v>49</v>
      </c>
      <c r="AE284">
        <v>73</v>
      </c>
      <c r="AF284" t="s">
        <v>112</v>
      </c>
      <c r="AG284">
        <v>23</v>
      </c>
      <c r="AH284" t="s">
        <v>113</v>
      </c>
      <c r="AI284" t="s">
        <v>177</v>
      </c>
      <c r="AJ284" t="s">
        <v>72</v>
      </c>
      <c r="AK284" t="s">
        <v>71</v>
      </c>
      <c r="AL284" t="s">
        <v>70</v>
      </c>
      <c r="AM284" t="s">
        <v>70</v>
      </c>
      <c r="AN284" t="s">
        <v>202</v>
      </c>
      <c r="AO284" t="s">
        <v>116</v>
      </c>
      <c r="AP284" t="s">
        <v>72</v>
      </c>
      <c r="AQ284" t="s">
        <v>98</v>
      </c>
      <c r="AR284" s="1">
        <v>45530</v>
      </c>
      <c r="AS284" t="s">
        <v>118</v>
      </c>
      <c r="AT284" t="s">
        <v>71</v>
      </c>
      <c r="AU284">
        <v>1248</v>
      </c>
      <c r="AV284" t="s">
        <v>76</v>
      </c>
    </row>
    <row r="285" spans="1:48" x14ac:dyDescent="0.25">
      <c r="A285" t="s">
        <v>572</v>
      </c>
      <c r="B285" t="s">
        <v>190</v>
      </c>
      <c r="C285" t="s">
        <v>252</v>
      </c>
      <c r="D285" t="s">
        <v>51</v>
      </c>
      <c r="E285">
        <v>42</v>
      </c>
      <c r="F285" t="s">
        <v>52</v>
      </c>
      <c r="G285" t="s">
        <v>156</v>
      </c>
      <c r="H285" t="s">
        <v>157</v>
      </c>
      <c r="I285" t="s">
        <v>225</v>
      </c>
      <c r="J285" t="s">
        <v>226</v>
      </c>
      <c r="K285" t="s">
        <v>105</v>
      </c>
      <c r="L285" t="s">
        <v>86</v>
      </c>
      <c r="M285" t="s">
        <v>59</v>
      </c>
      <c r="N285" t="s">
        <v>162</v>
      </c>
      <c r="O285" t="s">
        <v>89</v>
      </c>
      <c r="P285" s="1">
        <v>39248</v>
      </c>
      <c r="Q285">
        <v>17</v>
      </c>
      <c r="R285" t="s">
        <v>90</v>
      </c>
      <c r="S285" t="s">
        <v>219</v>
      </c>
      <c r="T285" t="s">
        <v>220</v>
      </c>
      <c r="U285">
        <v>0</v>
      </c>
      <c r="V285">
        <v>0</v>
      </c>
      <c r="W285">
        <v>4836</v>
      </c>
      <c r="X285">
        <v>1972</v>
      </c>
      <c r="Y285">
        <v>266</v>
      </c>
      <c r="Z285">
        <v>7074</v>
      </c>
      <c r="AA285">
        <v>397</v>
      </c>
      <c r="AB285" t="s">
        <v>65</v>
      </c>
      <c r="AC285">
        <v>19.399999999999999</v>
      </c>
      <c r="AD285">
        <v>37</v>
      </c>
      <c r="AE285">
        <v>77</v>
      </c>
      <c r="AF285" t="s">
        <v>132</v>
      </c>
      <c r="AG285">
        <v>38</v>
      </c>
      <c r="AH285" t="s">
        <v>94</v>
      </c>
      <c r="AI285" t="s">
        <v>152</v>
      </c>
      <c r="AJ285" t="s">
        <v>69</v>
      </c>
      <c r="AK285" t="s">
        <v>71</v>
      </c>
      <c r="AL285" t="s">
        <v>71</v>
      </c>
      <c r="AM285" t="s">
        <v>71</v>
      </c>
      <c r="AN285" t="s">
        <v>133</v>
      </c>
      <c r="AO285" t="s">
        <v>134</v>
      </c>
      <c r="AP285" t="s">
        <v>72</v>
      </c>
      <c r="AQ285" t="s">
        <v>98</v>
      </c>
      <c r="AR285" s="1">
        <v>42613</v>
      </c>
      <c r="AS285" t="s">
        <v>198</v>
      </c>
      <c r="AT285" t="s">
        <v>71</v>
      </c>
      <c r="AU285">
        <v>198</v>
      </c>
      <c r="AV285" t="s">
        <v>76</v>
      </c>
    </row>
    <row r="286" spans="1:48" x14ac:dyDescent="0.25">
      <c r="A286" t="s">
        <v>573</v>
      </c>
      <c r="B286" t="s">
        <v>181</v>
      </c>
      <c r="C286" t="s">
        <v>332</v>
      </c>
      <c r="D286" t="s">
        <v>51</v>
      </c>
      <c r="E286">
        <v>30</v>
      </c>
      <c r="F286" t="s">
        <v>311</v>
      </c>
      <c r="G286" t="s">
        <v>124</v>
      </c>
      <c r="H286" t="s">
        <v>125</v>
      </c>
      <c r="I286" t="s">
        <v>55</v>
      </c>
      <c r="J286" t="s">
        <v>56</v>
      </c>
      <c r="K286" t="s">
        <v>57</v>
      </c>
      <c r="L286" t="s">
        <v>126</v>
      </c>
      <c r="M286" t="s">
        <v>275</v>
      </c>
      <c r="N286" t="s">
        <v>148</v>
      </c>
      <c r="O286" t="s">
        <v>89</v>
      </c>
      <c r="P286" s="1">
        <v>42044</v>
      </c>
      <c r="Q286">
        <v>9.3000000000000007</v>
      </c>
      <c r="R286" t="s">
        <v>90</v>
      </c>
      <c r="S286" t="s">
        <v>63</v>
      </c>
      <c r="T286" t="s">
        <v>64</v>
      </c>
      <c r="U286">
        <v>0</v>
      </c>
      <c r="V286">
        <v>0</v>
      </c>
      <c r="W286">
        <v>2730</v>
      </c>
      <c r="X286">
        <v>0</v>
      </c>
      <c r="Y286">
        <v>422</v>
      </c>
      <c r="Z286">
        <v>3152</v>
      </c>
      <c r="AA286">
        <v>388</v>
      </c>
      <c r="AB286" t="s">
        <v>65</v>
      </c>
      <c r="AC286">
        <v>14.2</v>
      </c>
      <c r="AD286">
        <v>67</v>
      </c>
      <c r="AE286">
        <v>41</v>
      </c>
      <c r="AF286" t="s">
        <v>112</v>
      </c>
      <c r="AG286">
        <v>29</v>
      </c>
      <c r="AH286" t="s">
        <v>113</v>
      </c>
      <c r="AI286" t="s">
        <v>68</v>
      </c>
      <c r="AJ286" t="s">
        <v>188</v>
      </c>
      <c r="AK286" t="s">
        <v>71</v>
      </c>
      <c r="AL286" t="s">
        <v>70</v>
      </c>
      <c r="AM286" t="s">
        <v>71</v>
      </c>
      <c r="AN286" t="s">
        <v>72</v>
      </c>
      <c r="AO286" t="s">
        <v>287</v>
      </c>
      <c r="AP286" t="s">
        <v>116</v>
      </c>
      <c r="AQ286" t="s">
        <v>136</v>
      </c>
      <c r="AR286" s="1">
        <v>44403</v>
      </c>
      <c r="AS286" t="s">
        <v>137</v>
      </c>
      <c r="AT286" t="s">
        <v>71</v>
      </c>
      <c r="AU286">
        <v>461</v>
      </c>
      <c r="AV286" t="s">
        <v>76</v>
      </c>
    </row>
    <row r="287" spans="1:48" x14ac:dyDescent="0.25">
      <c r="A287" t="s">
        <v>574</v>
      </c>
      <c r="B287" t="s">
        <v>210</v>
      </c>
      <c r="C287" t="s">
        <v>230</v>
      </c>
      <c r="D287" t="s">
        <v>122</v>
      </c>
      <c r="E287">
        <v>29</v>
      </c>
      <c r="F287" t="s">
        <v>291</v>
      </c>
      <c r="G287" t="s">
        <v>81</v>
      </c>
      <c r="H287" t="s">
        <v>82</v>
      </c>
      <c r="I287" t="s">
        <v>268</v>
      </c>
      <c r="J287" t="s">
        <v>269</v>
      </c>
      <c r="K287" t="s">
        <v>173</v>
      </c>
      <c r="L287" t="s">
        <v>174</v>
      </c>
      <c r="M287" t="s">
        <v>207</v>
      </c>
      <c r="N287" t="s">
        <v>128</v>
      </c>
      <c r="O287" t="s">
        <v>89</v>
      </c>
      <c r="P287" s="1">
        <v>43803</v>
      </c>
      <c r="Q287">
        <v>4.5</v>
      </c>
      <c r="R287" t="s">
        <v>195</v>
      </c>
      <c r="S287" t="s">
        <v>63</v>
      </c>
      <c r="T287" t="s">
        <v>64</v>
      </c>
      <c r="U287">
        <v>0</v>
      </c>
      <c r="V287">
        <v>0</v>
      </c>
      <c r="W287">
        <v>2504</v>
      </c>
      <c r="X287">
        <v>0</v>
      </c>
      <c r="Y287">
        <v>422</v>
      </c>
      <c r="Z287">
        <v>2926</v>
      </c>
      <c r="AA287">
        <v>482</v>
      </c>
      <c r="AB287" t="s">
        <v>65</v>
      </c>
      <c r="AC287">
        <v>14.3</v>
      </c>
      <c r="AD287">
        <v>70</v>
      </c>
      <c r="AE287">
        <v>30</v>
      </c>
      <c r="AF287" t="s">
        <v>112</v>
      </c>
      <c r="AG287">
        <v>31</v>
      </c>
      <c r="AH287" t="s">
        <v>67</v>
      </c>
      <c r="AI287" t="s">
        <v>95</v>
      </c>
      <c r="AJ287" t="s">
        <v>96</v>
      </c>
      <c r="AK287" t="s">
        <v>70</v>
      </c>
      <c r="AL287" t="s">
        <v>70</v>
      </c>
      <c r="AM287" t="s">
        <v>70</v>
      </c>
      <c r="AN287" t="s">
        <v>243</v>
      </c>
      <c r="AO287" t="s">
        <v>287</v>
      </c>
      <c r="AP287" t="s">
        <v>116</v>
      </c>
      <c r="AQ287" t="s">
        <v>74</v>
      </c>
      <c r="AR287" s="1">
        <v>43876</v>
      </c>
      <c r="AS287" t="s">
        <v>137</v>
      </c>
      <c r="AT287" t="s">
        <v>71</v>
      </c>
      <c r="AU287">
        <v>-488</v>
      </c>
      <c r="AV287" t="s">
        <v>179</v>
      </c>
    </row>
    <row r="288" spans="1:48" x14ac:dyDescent="0.25">
      <c r="A288" t="s">
        <v>575</v>
      </c>
      <c r="B288" t="s">
        <v>78</v>
      </c>
      <c r="C288" t="s">
        <v>313</v>
      </c>
      <c r="D288" t="s">
        <v>122</v>
      </c>
      <c r="E288">
        <v>39</v>
      </c>
      <c r="F288" t="s">
        <v>278</v>
      </c>
      <c r="G288" t="s">
        <v>124</v>
      </c>
      <c r="H288" t="s">
        <v>125</v>
      </c>
      <c r="I288" t="s">
        <v>268</v>
      </c>
      <c r="J288" t="s">
        <v>269</v>
      </c>
      <c r="K288" t="s">
        <v>173</v>
      </c>
      <c r="L288" t="s">
        <v>201</v>
      </c>
      <c r="M288" t="s">
        <v>127</v>
      </c>
      <c r="N288" t="s">
        <v>128</v>
      </c>
      <c r="O288" t="s">
        <v>61</v>
      </c>
      <c r="P288" s="1">
        <v>40642</v>
      </c>
      <c r="Q288">
        <v>13.1</v>
      </c>
      <c r="R288" t="s">
        <v>150</v>
      </c>
      <c r="S288" t="s">
        <v>219</v>
      </c>
      <c r="T288" t="s">
        <v>220</v>
      </c>
      <c r="U288">
        <v>0</v>
      </c>
      <c r="V288">
        <v>0</v>
      </c>
      <c r="W288">
        <v>2730</v>
      </c>
      <c r="X288">
        <v>1309</v>
      </c>
      <c r="Y288">
        <v>422</v>
      </c>
      <c r="Z288">
        <v>4461</v>
      </c>
      <c r="AA288">
        <v>533</v>
      </c>
      <c r="AB288" t="s">
        <v>65</v>
      </c>
      <c r="AC288">
        <v>16.3</v>
      </c>
      <c r="AD288">
        <v>63</v>
      </c>
      <c r="AE288">
        <v>72</v>
      </c>
      <c r="AF288" t="s">
        <v>132</v>
      </c>
      <c r="AG288">
        <v>37</v>
      </c>
      <c r="AH288" t="s">
        <v>94</v>
      </c>
      <c r="AI288" t="s">
        <v>114</v>
      </c>
      <c r="AJ288" t="s">
        <v>96</v>
      </c>
      <c r="AK288" t="s">
        <v>71</v>
      </c>
      <c r="AL288" t="s">
        <v>70</v>
      </c>
      <c r="AM288" t="s">
        <v>70</v>
      </c>
      <c r="AN288" t="s">
        <v>115</v>
      </c>
      <c r="AO288" t="s">
        <v>73</v>
      </c>
      <c r="AP288" t="s">
        <v>72</v>
      </c>
      <c r="AQ288" t="s">
        <v>117</v>
      </c>
      <c r="AR288" s="1">
        <v>41210</v>
      </c>
      <c r="AS288" t="s">
        <v>198</v>
      </c>
      <c r="AT288" t="s">
        <v>71</v>
      </c>
      <c r="AU288">
        <v>926</v>
      </c>
      <c r="AV288" t="s">
        <v>76</v>
      </c>
    </row>
    <row r="289" spans="1:48" x14ac:dyDescent="0.25">
      <c r="A289" t="s">
        <v>576</v>
      </c>
      <c r="B289" t="s">
        <v>210</v>
      </c>
      <c r="C289" t="s">
        <v>230</v>
      </c>
      <c r="D289" t="s">
        <v>122</v>
      </c>
      <c r="E289">
        <v>21</v>
      </c>
      <c r="F289" t="s">
        <v>52</v>
      </c>
      <c r="G289" t="s">
        <v>81</v>
      </c>
      <c r="H289" t="s">
        <v>82</v>
      </c>
      <c r="I289" t="s">
        <v>260</v>
      </c>
      <c r="J289" t="s">
        <v>261</v>
      </c>
      <c r="K289" t="s">
        <v>173</v>
      </c>
      <c r="L289" t="s">
        <v>126</v>
      </c>
      <c r="M289" t="s">
        <v>207</v>
      </c>
      <c r="N289" t="s">
        <v>148</v>
      </c>
      <c r="O289" t="s">
        <v>149</v>
      </c>
      <c r="P289" s="1">
        <v>44185</v>
      </c>
      <c r="Q289">
        <v>3.4</v>
      </c>
      <c r="R289" t="s">
        <v>62</v>
      </c>
      <c r="S289" t="s">
        <v>130</v>
      </c>
      <c r="T289" t="s">
        <v>131</v>
      </c>
      <c r="U289">
        <v>1</v>
      </c>
      <c r="V289">
        <v>0</v>
      </c>
      <c r="W289">
        <v>2504</v>
      </c>
      <c r="X289">
        <v>1061</v>
      </c>
      <c r="Y289">
        <v>422</v>
      </c>
      <c r="Z289">
        <v>3987</v>
      </c>
      <c r="AA289">
        <v>570</v>
      </c>
      <c r="AB289" t="s">
        <v>65</v>
      </c>
      <c r="AC289">
        <v>19.3</v>
      </c>
      <c r="AD289">
        <v>39</v>
      </c>
      <c r="AE289">
        <v>73</v>
      </c>
      <c r="AF289" t="s">
        <v>132</v>
      </c>
      <c r="AG289">
        <v>21</v>
      </c>
      <c r="AH289" t="s">
        <v>113</v>
      </c>
      <c r="AI289" t="s">
        <v>177</v>
      </c>
      <c r="AJ289" t="s">
        <v>188</v>
      </c>
      <c r="AK289" t="s">
        <v>70</v>
      </c>
      <c r="AL289" t="s">
        <v>70</v>
      </c>
      <c r="AM289" t="s">
        <v>71</v>
      </c>
      <c r="AN289" t="s">
        <v>243</v>
      </c>
      <c r="AO289" t="s">
        <v>287</v>
      </c>
      <c r="AP289" t="s">
        <v>287</v>
      </c>
      <c r="AQ289" t="s">
        <v>98</v>
      </c>
      <c r="AR289" s="1">
        <v>44616</v>
      </c>
      <c r="AS289" t="s">
        <v>118</v>
      </c>
      <c r="AT289" t="s">
        <v>71</v>
      </c>
      <c r="AU289">
        <v>648</v>
      </c>
      <c r="AV289" t="s">
        <v>76</v>
      </c>
    </row>
    <row r="290" spans="1:48" x14ac:dyDescent="0.25">
      <c r="A290" t="s">
        <v>577</v>
      </c>
      <c r="B290" t="s">
        <v>210</v>
      </c>
      <c r="C290" t="s">
        <v>272</v>
      </c>
      <c r="D290" t="s">
        <v>51</v>
      </c>
      <c r="E290">
        <v>21</v>
      </c>
      <c r="F290" t="s">
        <v>224</v>
      </c>
      <c r="G290" t="s">
        <v>285</v>
      </c>
      <c r="H290" t="s">
        <v>286</v>
      </c>
      <c r="I290" t="s">
        <v>236</v>
      </c>
      <c r="J290" t="s">
        <v>237</v>
      </c>
      <c r="K290" t="s">
        <v>238</v>
      </c>
      <c r="L290" t="s">
        <v>106</v>
      </c>
      <c r="M290" t="s">
        <v>127</v>
      </c>
      <c r="N290" t="s">
        <v>265</v>
      </c>
      <c r="O290" t="s">
        <v>149</v>
      </c>
      <c r="P290" s="1">
        <v>42731</v>
      </c>
      <c r="Q290">
        <v>7.4</v>
      </c>
      <c r="R290" t="s">
        <v>129</v>
      </c>
      <c r="S290" t="s">
        <v>219</v>
      </c>
      <c r="T290" t="s">
        <v>220</v>
      </c>
      <c r="U290">
        <v>0</v>
      </c>
      <c r="V290">
        <v>0</v>
      </c>
      <c r="W290">
        <v>7668</v>
      </c>
      <c r="X290">
        <v>0</v>
      </c>
      <c r="Y290">
        <v>266</v>
      </c>
      <c r="Z290">
        <v>7934</v>
      </c>
      <c r="AA290">
        <v>584</v>
      </c>
      <c r="AB290" t="s">
        <v>65</v>
      </c>
      <c r="AC290">
        <v>19.3</v>
      </c>
      <c r="AD290">
        <v>41</v>
      </c>
      <c r="AE290">
        <v>44</v>
      </c>
      <c r="AF290" t="s">
        <v>66</v>
      </c>
      <c r="AG290">
        <v>36</v>
      </c>
      <c r="AH290" t="s">
        <v>94</v>
      </c>
      <c r="AI290" t="s">
        <v>177</v>
      </c>
      <c r="AJ290" t="s">
        <v>69</v>
      </c>
      <c r="AK290" t="s">
        <v>70</v>
      </c>
      <c r="AL290" t="s">
        <v>71</v>
      </c>
      <c r="AM290" t="s">
        <v>70</v>
      </c>
      <c r="AN290" t="s">
        <v>72</v>
      </c>
      <c r="AO290" t="s">
        <v>221</v>
      </c>
      <c r="AP290" t="s">
        <v>72</v>
      </c>
      <c r="AQ290" t="s">
        <v>74</v>
      </c>
      <c r="AR290" s="1">
        <v>45403</v>
      </c>
      <c r="AS290" t="s">
        <v>137</v>
      </c>
      <c r="AT290" t="s">
        <v>71</v>
      </c>
      <c r="AU290">
        <v>270</v>
      </c>
      <c r="AV290" t="s">
        <v>76</v>
      </c>
    </row>
    <row r="291" spans="1:48" x14ac:dyDescent="0.25">
      <c r="A291" t="s">
        <v>578</v>
      </c>
      <c r="B291" t="s">
        <v>377</v>
      </c>
      <c r="C291" t="s">
        <v>332</v>
      </c>
      <c r="D291" t="s">
        <v>51</v>
      </c>
      <c r="E291">
        <v>28</v>
      </c>
      <c r="F291" t="s">
        <v>192</v>
      </c>
      <c r="G291" t="s">
        <v>215</v>
      </c>
      <c r="H291" t="s">
        <v>216</v>
      </c>
      <c r="I291" t="s">
        <v>253</v>
      </c>
      <c r="J291" t="s">
        <v>254</v>
      </c>
      <c r="K291" t="s">
        <v>255</v>
      </c>
      <c r="L291" t="s">
        <v>201</v>
      </c>
      <c r="M291" t="s">
        <v>59</v>
      </c>
      <c r="N291" t="s">
        <v>60</v>
      </c>
      <c r="O291" t="s">
        <v>176</v>
      </c>
      <c r="P291" s="1">
        <v>38859</v>
      </c>
      <c r="Q291">
        <v>18</v>
      </c>
      <c r="R291" t="s">
        <v>150</v>
      </c>
      <c r="S291" t="s">
        <v>63</v>
      </c>
      <c r="T291" t="s">
        <v>64</v>
      </c>
      <c r="U291">
        <v>0</v>
      </c>
      <c r="V291">
        <v>0</v>
      </c>
      <c r="W291">
        <v>3637</v>
      </c>
      <c r="X291">
        <v>0</v>
      </c>
      <c r="Y291">
        <v>266</v>
      </c>
      <c r="Z291">
        <v>3903</v>
      </c>
      <c r="AA291">
        <v>453</v>
      </c>
      <c r="AB291" t="s">
        <v>65</v>
      </c>
      <c r="AC291">
        <v>19.7</v>
      </c>
      <c r="AD291">
        <v>82</v>
      </c>
      <c r="AE291">
        <v>57</v>
      </c>
      <c r="AF291" t="s">
        <v>112</v>
      </c>
      <c r="AG291">
        <v>37</v>
      </c>
      <c r="AH291" t="s">
        <v>94</v>
      </c>
      <c r="AI291" t="s">
        <v>68</v>
      </c>
      <c r="AJ291" t="s">
        <v>69</v>
      </c>
      <c r="AK291" t="s">
        <v>71</v>
      </c>
      <c r="AL291" t="s">
        <v>70</v>
      </c>
      <c r="AM291" t="s">
        <v>70</v>
      </c>
      <c r="AN291" t="s">
        <v>231</v>
      </c>
      <c r="AO291" t="s">
        <v>72</v>
      </c>
      <c r="AP291" t="s">
        <v>72</v>
      </c>
      <c r="AQ291" t="s">
        <v>98</v>
      </c>
      <c r="AR291" s="1">
        <v>39925</v>
      </c>
      <c r="AS291" t="s">
        <v>118</v>
      </c>
      <c r="AT291" t="s">
        <v>71</v>
      </c>
      <c r="AU291">
        <v>660</v>
      </c>
      <c r="AV291" t="s">
        <v>76</v>
      </c>
    </row>
    <row r="292" spans="1:48" x14ac:dyDescent="0.25">
      <c r="A292" t="s">
        <v>579</v>
      </c>
      <c r="B292" t="s">
        <v>100</v>
      </c>
      <c r="C292" t="s">
        <v>191</v>
      </c>
      <c r="D292" t="s">
        <v>51</v>
      </c>
      <c r="E292">
        <v>27</v>
      </c>
      <c r="F292" t="s">
        <v>123</v>
      </c>
      <c r="G292" t="s">
        <v>215</v>
      </c>
      <c r="H292" t="s">
        <v>216</v>
      </c>
      <c r="I292" t="s">
        <v>217</v>
      </c>
      <c r="J292" t="s">
        <v>218</v>
      </c>
      <c r="K292" t="s">
        <v>146</v>
      </c>
      <c r="L292" t="s">
        <v>201</v>
      </c>
      <c r="M292" t="s">
        <v>59</v>
      </c>
      <c r="N292" t="s">
        <v>60</v>
      </c>
      <c r="O292" t="s">
        <v>176</v>
      </c>
      <c r="P292" s="1">
        <v>44140</v>
      </c>
      <c r="Q292">
        <v>3.6</v>
      </c>
      <c r="R292" t="s">
        <v>129</v>
      </c>
      <c r="S292" t="s">
        <v>63</v>
      </c>
      <c r="T292" t="s">
        <v>64</v>
      </c>
      <c r="U292">
        <v>0</v>
      </c>
      <c r="V292">
        <v>0</v>
      </c>
      <c r="W292">
        <v>3637</v>
      </c>
      <c r="X292">
        <v>0</v>
      </c>
      <c r="Y292">
        <v>266</v>
      </c>
      <c r="Z292">
        <v>3903</v>
      </c>
      <c r="AA292">
        <v>320</v>
      </c>
      <c r="AB292" t="s">
        <v>151</v>
      </c>
      <c r="AC292">
        <v>16.7</v>
      </c>
      <c r="AD292">
        <v>65</v>
      </c>
      <c r="AE292">
        <v>54</v>
      </c>
      <c r="AF292" t="s">
        <v>112</v>
      </c>
      <c r="AG292">
        <v>20</v>
      </c>
      <c r="AH292" t="s">
        <v>113</v>
      </c>
      <c r="AI292" t="s">
        <v>177</v>
      </c>
      <c r="AJ292" t="s">
        <v>72</v>
      </c>
      <c r="AK292" t="s">
        <v>70</v>
      </c>
      <c r="AL292" t="s">
        <v>70</v>
      </c>
      <c r="AM292" t="s">
        <v>70</v>
      </c>
      <c r="AN292" t="s">
        <v>72</v>
      </c>
      <c r="AO292" t="s">
        <v>72</v>
      </c>
      <c r="AP292" t="s">
        <v>72</v>
      </c>
      <c r="AQ292" t="s">
        <v>98</v>
      </c>
      <c r="AR292" s="1">
        <v>45219</v>
      </c>
      <c r="AS292" t="s">
        <v>198</v>
      </c>
      <c r="AT292" t="s">
        <v>71</v>
      </c>
      <c r="AU292">
        <v>1439</v>
      </c>
      <c r="AV292" t="s">
        <v>76</v>
      </c>
    </row>
    <row r="293" spans="1:48" x14ac:dyDescent="0.25">
      <c r="A293" t="s">
        <v>580</v>
      </c>
      <c r="B293" t="s">
        <v>78</v>
      </c>
      <c r="C293" t="s">
        <v>375</v>
      </c>
      <c r="D293" t="s">
        <v>51</v>
      </c>
      <c r="E293">
        <v>27</v>
      </c>
      <c r="F293" t="s">
        <v>192</v>
      </c>
      <c r="G293" t="s">
        <v>193</v>
      </c>
      <c r="H293" t="s">
        <v>194</v>
      </c>
      <c r="I293" t="s">
        <v>103</v>
      </c>
      <c r="J293" t="s">
        <v>104</v>
      </c>
      <c r="K293" t="s">
        <v>105</v>
      </c>
      <c r="L293" t="s">
        <v>106</v>
      </c>
      <c r="M293" t="s">
        <v>207</v>
      </c>
      <c r="N293" t="s">
        <v>88</v>
      </c>
      <c r="O293" t="s">
        <v>149</v>
      </c>
      <c r="P293" s="1">
        <v>44096</v>
      </c>
      <c r="Q293">
        <v>3.7</v>
      </c>
      <c r="R293" t="s">
        <v>208</v>
      </c>
      <c r="S293" t="s">
        <v>196</v>
      </c>
      <c r="T293" t="s">
        <v>197</v>
      </c>
      <c r="U293">
        <v>0</v>
      </c>
      <c r="V293">
        <v>0</v>
      </c>
      <c r="W293">
        <v>2259</v>
      </c>
      <c r="X293">
        <v>1922</v>
      </c>
      <c r="Y293">
        <v>422</v>
      </c>
      <c r="Z293">
        <v>4603</v>
      </c>
      <c r="AA293">
        <v>587</v>
      </c>
      <c r="AB293" t="s">
        <v>65</v>
      </c>
      <c r="AC293">
        <v>13.3</v>
      </c>
      <c r="AD293">
        <v>40</v>
      </c>
      <c r="AE293">
        <v>78</v>
      </c>
      <c r="AF293" t="s">
        <v>66</v>
      </c>
      <c r="AG293">
        <v>38</v>
      </c>
      <c r="AH293" t="s">
        <v>94</v>
      </c>
      <c r="AI293" t="s">
        <v>114</v>
      </c>
      <c r="AJ293" t="s">
        <v>188</v>
      </c>
      <c r="AK293" t="s">
        <v>70</v>
      </c>
      <c r="AL293" t="s">
        <v>70</v>
      </c>
      <c r="AM293" t="s">
        <v>70</v>
      </c>
      <c r="AN293" t="s">
        <v>202</v>
      </c>
      <c r="AO293" t="s">
        <v>134</v>
      </c>
      <c r="AP293" t="s">
        <v>72</v>
      </c>
      <c r="AQ293" t="s">
        <v>98</v>
      </c>
      <c r="AR293" s="1">
        <v>45336</v>
      </c>
      <c r="AS293" t="s">
        <v>118</v>
      </c>
      <c r="AT293" t="s">
        <v>71</v>
      </c>
      <c r="AU293">
        <v>-463</v>
      </c>
      <c r="AV293" t="s">
        <v>179</v>
      </c>
    </row>
    <row r="294" spans="1:48" x14ac:dyDescent="0.25">
      <c r="A294" t="s">
        <v>581</v>
      </c>
      <c r="B294" t="s">
        <v>210</v>
      </c>
      <c r="C294" t="s">
        <v>140</v>
      </c>
      <c r="D294" t="s">
        <v>51</v>
      </c>
      <c r="E294">
        <v>40</v>
      </c>
      <c r="F294" t="s">
        <v>305</v>
      </c>
      <c r="G294" t="s">
        <v>124</v>
      </c>
      <c r="H294" t="s">
        <v>125</v>
      </c>
      <c r="I294" t="s">
        <v>253</v>
      </c>
      <c r="J294" t="s">
        <v>254</v>
      </c>
      <c r="K294" t="s">
        <v>255</v>
      </c>
      <c r="L294" t="s">
        <v>126</v>
      </c>
      <c r="M294" t="s">
        <v>175</v>
      </c>
      <c r="N294" t="s">
        <v>128</v>
      </c>
      <c r="O294" t="s">
        <v>149</v>
      </c>
      <c r="P294" s="1">
        <v>38814</v>
      </c>
      <c r="Q294">
        <v>18.2</v>
      </c>
      <c r="R294" t="s">
        <v>150</v>
      </c>
      <c r="S294" t="s">
        <v>163</v>
      </c>
      <c r="T294" t="s">
        <v>164</v>
      </c>
      <c r="U294">
        <v>11</v>
      </c>
      <c r="V294">
        <v>1</v>
      </c>
      <c r="W294">
        <v>2730</v>
      </c>
      <c r="X294">
        <v>0</v>
      </c>
      <c r="Y294">
        <v>422</v>
      </c>
      <c r="Z294">
        <v>3152</v>
      </c>
      <c r="AA294">
        <v>463</v>
      </c>
      <c r="AB294" t="s">
        <v>65</v>
      </c>
      <c r="AC294">
        <v>20.5</v>
      </c>
      <c r="AD294">
        <v>27</v>
      </c>
      <c r="AE294">
        <v>62</v>
      </c>
      <c r="AF294" t="s">
        <v>132</v>
      </c>
      <c r="AG294">
        <v>20</v>
      </c>
      <c r="AH294" t="s">
        <v>113</v>
      </c>
      <c r="AI294" t="s">
        <v>114</v>
      </c>
      <c r="AJ294" t="s">
        <v>188</v>
      </c>
      <c r="AK294" t="s">
        <v>70</v>
      </c>
      <c r="AL294" t="s">
        <v>70</v>
      </c>
      <c r="AM294" t="s">
        <v>70</v>
      </c>
      <c r="AN294" t="s">
        <v>133</v>
      </c>
      <c r="AO294" t="s">
        <v>72</v>
      </c>
      <c r="AP294" t="s">
        <v>73</v>
      </c>
      <c r="AQ294" t="s">
        <v>136</v>
      </c>
      <c r="AR294" s="1">
        <v>44112</v>
      </c>
      <c r="AS294" t="s">
        <v>198</v>
      </c>
      <c r="AT294" t="s">
        <v>71</v>
      </c>
      <c r="AU294">
        <v>-133</v>
      </c>
      <c r="AV294" t="s">
        <v>179</v>
      </c>
    </row>
    <row r="295" spans="1:48" x14ac:dyDescent="0.25">
      <c r="A295" t="s">
        <v>582</v>
      </c>
      <c r="B295" t="s">
        <v>139</v>
      </c>
      <c r="C295" t="s">
        <v>313</v>
      </c>
      <c r="D295" t="s">
        <v>122</v>
      </c>
      <c r="E295">
        <v>38</v>
      </c>
      <c r="F295" t="s">
        <v>52</v>
      </c>
      <c r="G295" t="s">
        <v>156</v>
      </c>
      <c r="H295" t="s">
        <v>157</v>
      </c>
      <c r="I295" t="s">
        <v>217</v>
      </c>
      <c r="J295" t="s">
        <v>218</v>
      </c>
      <c r="K295" t="s">
        <v>146</v>
      </c>
      <c r="L295" t="s">
        <v>106</v>
      </c>
      <c r="M295" t="s">
        <v>175</v>
      </c>
      <c r="N295" t="s">
        <v>162</v>
      </c>
      <c r="O295" t="s">
        <v>176</v>
      </c>
      <c r="P295" s="1">
        <v>38448</v>
      </c>
      <c r="Q295">
        <v>19.2</v>
      </c>
      <c r="R295" t="s">
        <v>129</v>
      </c>
      <c r="S295" t="s">
        <v>163</v>
      </c>
      <c r="T295" t="s">
        <v>164</v>
      </c>
      <c r="U295">
        <v>3</v>
      </c>
      <c r="V295">
        <v>0</v>
      </c>
      <c r="W295">
        <v>4836</v>
      </c>
      <c r="X295">
        <v>0</v>
      </c>
      <c r="Y295">
        <v>266</v>
      </c>
      <c r="Z295">
        <v>5102</v>
      </c>
      <c r="AA295">
        <v>405</v>
      </c>
      <c r="AB295" t="s">
        <v>65</v>
      </c>
      <c r="AC295">
        <v>16.7</v>
      </c>
      <c r="AD295">
        <v>62</v>
      </c>
      <c r="AE295">
        <v>62</v>
      </c>
      <c r="AF295" t="s">
        <v>66</v>
      </c>
      <c r="AG295">
        <v>34</v>
      </c>
      <c r="AH295" t="s">
        <v>67</v>
      </c>
      <c r="AI295" t="s">
        <v>68</v>
      </c>
      <c r="AJ295" t="s">
        <v>72</v>
      </c>
      <c r="AK295" t="s">
        <v>70</v>
      </c>
      <c r="AL295" t="s">
        <v>70</v>
      </c>
      <c r="AM295" t="s">
        <v>70</v>
      </c>
      <c r="AN295" t="s">
        <v>72</v>
      </c>
      <c r="AO295" t="s">
        <v>116</v>
      </c>
      <c r="AP295" t="s">
        <v>287</v>
      </c>
      <c r="AQ295" t="s">
        <v>117</v>
      </c>
      <c r="AR295" s="1">
        <v>38873</v>
      </c>
      <c r="AS295" t="s">
        <v>118</v>
      </c>
      <c r="AT295" t="s">
        <v>71</v>
      </c>
      <c r="AU295">
        <v>1701</v>
      </c>
      <c r="AV295" t="s">
        <v>76</v>
      </c>
    </row>
    <row r="296" spans="1:48" x14ac:dyDescent="0.25">
      <c r="A296" t="s">
        <v>583</v>
      </c>
      <c r="B296" t="s">
        <v>346</v>
      </c>
      <c r="C296" t="s">
        <v>375</v>
      </c>
      <c r="D296" t="s">
        <v>51</v>
      </c>
      <c r="E296">
        <v>36</v>
      </c>
      <c r="F296" t="s">
        <v>211</v>
      </c>
      <c r="G296" t="s">
        <v>156</v>
      </c>
      <c r="H296" t="s">
        <v>157</v>
      </c>
      <c r="I296" t="s">
        <v>103</v>
      </c>
      <c r="J296" t="s">
        <v>104</v>
      </c>
      <c r="K296" t="s">
        <v>105</v>
      </c>
      <c r="L296" t="s">
        <v>201</v>
      </c>
      <c r="M296" t="s">
        <v>147</v>
      </c>
      <c r="N296" t="s">
        <v>162</v>
      </c>
      <c r="O296" t="s">
        <v>89</v>
      </c>
      <c r="P296" s="1">
        <v>42603</v>
      </c>
      <c r="Q296">
        <v>7.8</v>
      </c>
      <c r="R296" t="s">
        <v>90</v>
      </c>
      <c r="S296" t="s">
        <v>196</v>
      </c>
      <c r="T296" t="s">
        <v>197</v>
      </c>
      <c r="U296">
        <v>0</v>
      </c>
      <c r="V296">
        <v>0</v>
      </c>
      <c r="W296">
        <v>4836</v>
      </c>
      <c r="X296">
        <v>0</v>
      </c>
      <c r="Y296">
        <v>266</v>
      </c>
      <c r="Z296">
        <v>5102</v>
      </c>
      <c r="AA296">
        <v>350</v>
      </c>
      <c r="AB296" t="s">
        <v>151</v>
      </c>
      <c r="AC296">
        <v>18.899999999999999</v>
      </c>
      <c r="AD296">
        <v>33</v>
      </c>
      <c r="AE296">
        <v>72</v>
      </c>
      <c r="AF296" t="s">
        <v>93</v>
      </c>
      <c r="AG296">
        <v>35</v>
      </c>
      <c r="AH296" t="s">
        <v>67</v>
      </c>
      <c r="AI296" t="s">
        <v>114</v>
      </c>
      <c r="AJ296" t="s">
        <v>96</v>
      </c>
      <c r="AK296" t="s">
        <v>71</v>
      </c>
      <c r="AL296" t="s">
        <v>71</v>
      </c>
      <c r="AM296" t="s">
        <v>70</v>
      </c>
      <c r="AN296" t="s">
        <v>270</v>
      </c>
      <c r="AO296" t="s">
        <v>72</v>
      </c>
      <c r="AP296" t="s">
        <v>72</v>
      </c>
      <c r="AQ296" t="s">
        <v>74</v>
      </c>
      <c r="AR296" s="1">
        <v>42716</v>
      </c>
      <c r="AS296" t="s">
        <v>137</v>
      </c>
      <c r="AT296" t="s">
        <v>71</v>
      </c>
      <c r="AU296">
        <v>10</v>
      </c>
      <c r="AV296" t="s">
        <v>179</v>
      </c>
    </row>
    <row r="297" spans="1:48" x14ac:dyDescent="0.25">
      <c r="A297" t="s">
        <v>584</v>
      </c>
      <c r="B297" t="s">
        <v>245</v>
      </c>
      <c r="C297" t="s">
        <v>332</v>
      </c>
      <c r="D297" t="s">
        <v>51</v>
      </c>
      <c r="E297">
        <v>22</v>
      </c>
      <c r="F297" t="s">
        <v>224</v>
      </c>
      <c r="G297" t="s">
        <v>101</v>
      </c>
      <c r="H297" t="s">
        <v>102</v>
      </c>
      <c r="I297" t="s">
        <v>253</v>
      </c>
      <c r="J297" t="s">
        <v>254</v>
      </c>
      <c r="K297" t="s">
        <v>255</v>
      </c>
      <c r="L297" t="s">
        <v>106</v>
      </c>
      <c r="M297" t="s">
        <v>296</v>
      </c>
      <c r="N297" t="s">
        <v>108</v>
      </c>
      <c r="O297" t="s">
        <v>176</v>
      </c>
      <c r="P297" s="1">
        <v>38731</v>
      </c>
      <c r="Q297">
        <v>18.399999999999999</v>
      </c>
      <c r="R297" t="s">
        <v>129</v>
      </c>
      <c r="S297" t="s">
        <v>63</v>
      </c>
      <c r="T297" t="s">
        <v>64</v>
      </c>
      <c r="U297">
        <v>0</v>
      </c>
      <c r="V297">
        <v>0</v>
      </c>
      <c r="W297">
        <v>2980</v>
      </c>
      <c r="X297">
        <v>1400</v>
      </c>
      <c r="Y297">
        <v>422</v>
      </c>
      <c r="Z297">
        <v>4802</v>
      </c>
      <c r="AA297">
        <v>450</v>
      </c>
      <c r="AB297" t="s">
        <v>65</v>
      </c>
      <c r="AC297">
        <v>13.7</v>
      </c>
      <c r="AD297">
        <v>51</v>
      </c>
      <c r="AE297">
        <v>74</v>
      </c>
      <c r="AF297" t="s">
        <v>112</v>
      </c>
      <c r="AG297">
        <v>35</v>
      </c>
      <c r="AH297" t="s">
        <v>67</v>
      </c>
      <c r="AI297" t="s">
        <v>114</v>
      </c>
      <c r="AJ297" t="s">
        <v>72</v>
      </c>
      <c r="AK297" t="s">
        <v>70</v>
      </c>
      <c r="AL297" t="s">
        <v>71</v>
      </c>
      <c r="AM297" t="s">
        <v>70</v>
      </c>
      <c r="AN297" t="s">
        <v>202</v>
      </c>
      <c r="AO297" t="s">
        <v>203</v>
      </c>
      <c r="AP297" t="s">
        <v>72</v>
      </c>
      <c r="AQ297" t="s">
        <v>136</v>
      </c>
      <c r="AR297" s="1">
        <v>43565</v>
      </c>
      <c r="AS297" t="s">
        <v>118</v>
      </c>
      <c r="AT297" t="s">
        <v>71</v>
      </c>
      <c r="AU297">
        <v>970</v>
      </c>
      <c r="AV297" t="s">
        <v>76</v>
      </c>
    </row>
    <row r="298" spans="1:48" x14ac:dyDescent="0.25">
      <c r="A298" t="s">
        <v>585</v>
      </c>
      <c r="B298" t="s">
        <v>100</v>
      </c>
      <c r="C298" t="s">
        <v>233</v>
      </c>
      <c r="D298" t="s">
        <v>51</v>
      </c>
      <c r="E298">
        <v>28</v>
      </c>
      <c r="F298" t="s">
        <v>52</v>
      </c>
      <c r="G298" t="s">
        <v>183</v>
      </c>
      <c r="H298" t="s">
        <v>184</v>
      </c>
      <c r="I298" t="s">
        <v>171</v>
      </c>
      <c r="J298" t="s">
        <v>172</v>
      </c>
      <c r="K298" t="s">
        <v>173</v>
      </c>
      <c r="L298" t="s">
        <v>201</v>
      </c>
      <c r="M298" t="s">
        <v>207</v>
      </c>
      <c r="N298" t="s">
        <v>88</v>
      </c>
      <c r="O298" t="s">
        <v>109</v>
      </c>
      <c r="P298" s="1">
        <v>43675</v>
      </c>
      <c r="Q298">
        <v>4.8</v>
      </c>
      <c r="R298" t="s">
        <v>129</v>
      </c>
      <c r="S298" t="s">
        <v>130</v>
      </c>
      <c r="T298" t="s">
        <v>131</v>
      </c>
      <c r="U298">
        <v>12</v>
      </c>
      <c r="V298">
        <v>2</v>
      </c>
      <c r="W298">
        <v>5696</v>
      </c>
      <c r="X298">
        <v>0</v>
      </c>
      <c r="Y298">
        <v>266</v>
      </c>
      <c r="Z298">
        <v>5962</v>
      </c>
      <c r="AA298">
        <v>363</v>
      </c>
      <c r="AB298" t="s">
        <v>65</v>
      </c>
      <c r="AC298">
        <v>20.5</v>
      </c>
      <c r="AD298">
        <v>63</v>
      </c>
      <c r="AE298">
        <v>57</v>
      </c>
      <c r="AF298" t="s">
        <v>93</v>
      </c>
      <c r="AG298">
        <v>18</v>
      </c>
      <c r="AH298" t="s">
        <v>113</v>
      </c>
      <c r="AI298" t="s">
        <v>95</v>
      </c>
      <c r="AJ298" t="s">
        <v>96</v>
      </c>
      <c r="AK298" t="s">
        <v>70</v>
      </c>
      <c r="AL298" t="s">
        <v>70</v>
      </c>
      <c r="AM298" t="s">
        <v>70</v>
      </c>
      <c r="AN298" t="s">
        <v>202</v>
      </c>
      <c r="AO298" t="s">
        <v>72</v>
      </c>
      <c r="AP298" t="s">
        <v>72</v>
      </c>
      <c r="AQ298" t="s">
        <v>98</v>
      </c>
      <c r="AR298" s="1">
        <v>43783</v>
      </c>
      <c r="AS298" t="s">
        <v>137</v>
      </c>
      <c r="AT298" t="s">
        <v>71</v>
      </c>
      <c r="AU298">
        <v>606</v>
      </c>
      <c r="AV298" t="s">
        <v>76</v>
      </c>
    </row>
    <row r="299" spans="1:48" x14ac:dyDescent="0.25">
      <c r="A299" t="s">
        <v>586</v>
      </c>
      <c r="B299" t="s">
        <v>210</v>
      </c>
      <c r="C299" t="s">
        <v>140</v>
      </c>
      <c r="D299" t="s">
        <v>51</v>
      </c>
      <c r="E299">
        <v>36</v>
      </c>
      <c r="F299" t="s">
        <v>141</v>
      </c>
      <c r="G299" t="s">
        <v>183</v>
      </c>
      <c r="H299" t="s">
        <v>184</v>
      </c>
      <c r="I299" t="s">
        <v>171</v>
      </c>
      <c r="J299" t="s">
        <v>172</v>
      </c>
      <c r="K299" t="s">
        <v>173</v>
      </c>
      <c r="L299" t="s">
        <v>86</v>
      </c>
      <c r="M299" t="s">
        <v>175</v>
      </c>
      <c r="N299" t="s">
        <v>60</v>
      </c>
      <c r="O299" t="s">
        <v>176</v>
      </c>
      <c r="P299" s="1">
        <v>41085</v>
      </c>
      <c r="Q299">
        <v>11.9</v>
      </c>
      <c r="R299" t="s">
        <v>90</v>
      </c>
      <c r="S299" t="s">
        <v>196</v>
      </c>
      <c r="T299" t="s">
        <v>197</v>
      </c>
      <c r="U299">
        <v>0</v>
      </c>
      <c r="V299">
        <v>0</v>
      </c>
      <c r="W299">
        <v>5696</v>
      </c>
      <c r="X299">
        <v>0</v>
      </c>
      <c r="Y299">
        <v>266</v>
      </c>
      <c r="Z299">
        <v>5962</v>
      </c>
      <c r="AA299">
        <v>295</v>
      </c>
      <c r="AB299" t="s">
        <v>151</v>
      </c>
      <c r="AC299">
        <v>19.899999999999999</v>
      </c>
      <c r="AD299">
        <v>34</v>
      </c>
      <c r="AE299">
        <v>47</v>
      </c>
      <c r="AF299" t="s">
        <v>66</v>
      </c>
      <c r="AG299">
        <v>28</v>
      </c>
      <c r="AH299" t="s">
        <v>113</v>
      </c>
      <c r="AI299" t="s">
        <v>177</v>
      </c>
      <c r="AJ299" t="s">
        <v>72</v>
      </c>
      <c r="AK299" t="s">
        <v>70</v>
      </c>
      <c r="AL299" t="s">
        <v>70</v>
      </c>
      <c r="AM299" t="s">
        <v>70</v>
      </c>
      <c r="AN299" t="s">
        <v>243</v>
      </c>
      <c r="AO299" t="s">
        <v>73</v>
      </c>
      <c r="AP299" t="s">
        <v>72</v>
      </c>
      <c r="AQ299" t="s">
        <v>136</v>
      </c>
      <c r="AR299" s="1">
        <v>45427</v>
      </c>
      <c r="AS299" t="s">
        <v>75</v>
      </c>
      <c r="AT299" t="s">
        <v>71</v>
      </c>
      <c r="AU299">
        <v>610</v>
      </c>
      <c r="AV299" t="s">
        <v>76</v>
      </c>
    </row>
    <row r="300" spans="1:48" x14ac:dyDescent="0.25">
      <c r="A300" t="s">
        <v>587</v>
      </c>
      <c r="B300" t="s">
        <v>181</v>
      </c>
      <c r="C300" t="s">
        <v>191</v>
      </c>
      <c r="D300" t="s">
        <v>51</v>
      </c>
      <c r="E300">
        <v>31</v>
      </c>
      <c r="F300" t="s">
        <v>278</v>
      </c>
      <c r="G300" t="s">
        <v>215</v>
      </c>
      <c r="H300" t="s">
        <v>216</v>
      </c>
      <c r="I300" t="s">
        <v>292</v>
      </c>
      <c r="J300" t="s">
        <v>293</v>
      </c>
      <c r="K300" t="s">
        <v>294</v>
      </c>
      <c r="L300" t="s">
        <v>126</v>
      </c>
      <c r="M300" t="s">
        <v>275</v>
      </c>
      <c r="N300" t="s">
        <v>88</v>
      </c>
      <c r="O300" t="s">
        <v>61</v>
      </c>
      <c r="P300" s="1">
        <v>42872</v>
      </c>
      <c r="Q300">
        <v>7</v>
      </c>
      <c r="R300" t="s">
        <v>150</v>
      </c>
      <c r="S300" t="s">
        <v>63</v>
      </c>
      <c r="T300" t="s">
        <v>64</v>
      </c>
      <c r="U300">
        <v>0</v>
      </c>
      <c r="V300">
        <v>0</v>
      </c>
      <c r="W300">
        <v>3637</v>
      </c>
      <c r="X300">
        <v>1624</v>
      </c>
      <c r="Y300">
        <v>266</v>
      </c>
      <c r="Z300">
        <v>5527</v>
      </c>
      <c r="AA300">
        <v>552</v>
      </c>
      <c r="AB300" t="s">
        <v>65</v>
      </c>
      <c r="AC300">
        <v>17.5</v>
      </c>
      <c r="AD300">
        <v>36</v>
      </c>
      <c r="AE300">
        <v>30</v>
      </c>
      <c r="AF300" t="s">
        <v>93</v>
      </c>
      <c r="AG300">
        <v>37</v>
      </c>
      <c r="AH300" t="s">
        <v>94</v>
      </c>
      <c r="AI300" t="s">
        <v>114</v>
      </c>
      <c r="AJ300" t="s">
        <v>96</v>
      </c>
      <c r="AK300" t="s">
        <v>70</v>
      </c>
      <c r="AL300" t="s">
        <v>70</v>
      </c>
      <c r="AM300" t="s">
        <v>70</v>
      </c>
      <c r="AN300" t="s">
        <v>231</v>
      </c>
      <c r="AO300" t="s">
        <v>178</v>
      </c>
      <c r="AP300" t="s">
        <v>72</v>
      </c>
      <c r="AQ300" t="s">
        <v>117</v>
      </c>
      <c r="AR300" s="1">
        <v>44793</v>
      </c>
      <c r="AS300" t="s">
        <v>198</v>
      </c>
      <c r="AT300" t="s">
        <v>71</v>
      </c>
      <c r="AU300">
        <v>674</v>
      </c>
      <c r="AV300" t="s">
        <v>76</v>
      </c>
    </row>
    <row r="301" spans="1:48" x14ac:dyDescent="0.25">
      <c r="A301" t="s">
        <v>588</v>
      </c>
      <c r="B301" t="s">
        <v>190</v>
      </c>
      <c r="C301" t="s">
        <v>257</v>
      </c>
      <c r="D301" t="s">
        <v>51</v>
      </c>
      <c r="E301">
        <v>41</v>
      </c>
      <c r="F301" t="s">
        <v>192</v>
      </c>
      <c r="G301" t="s">
        <v>53</v>
      </c>
      <c r="H301" t="s">
        <v>54</v>
      </c>
      <c r="I301" t="s">
        <v>217</v>
      </c>
      <c r="J301" t="s">
        <v>218</v>
      </c>
      <c r="K301" t="s">
        <v>146</v>
      </c>
      <c r="L301" t="s">
        <v>106</v>
      </c>
      <c r="M301" t="s">
        <v>127</v>
      </c>
      <c r="N301" t="s">
        <v>88</v>
      </c>
      <c r="O301" t="s">
        <v>109</v>
      </c>
      <c r="P301" s="1">
        <v>44665</v>
      </c>
      <c r="Q301">
        <v>2.1</v>
      </c>
      <c r="R301" t="s">
        <v>90</v>
      </c>
      <c r="S301" t="s">
        <v>110</v>
      </c>
      <c r="T301" t="s">
        <v>111</v>
      </c>
      <c r="U301">
        <v>2</v>
      </c>
      <c r="V301">
        <v>0</v>
      </c>
      <c r="W301">
        <v>4739</v>
      </c>
      <c r="X301">
        <v>0</v>
      </c>
      <c r="Y301">
        <v>422</v>
      </c>
      <c r="Z301">
        <v>5161</v>
      </c>
      <c r="AA301">
        <v>374</v>
      </c>
      <c r="AB301" t="s">
        <v>65</v>
      </c>
      <c r="AC301">
        <v>13.2</v>
      </c>
      <c r="AD301">
        <v>35</v>
      </c>
      <c r="AE301">
        <v>35</v>
      </c>
      <c r="AF301" t="s">
        <v>66</v>
      </c>
      <c r="AG301">
        <v>18</v>
      </c>
      <c r="AH301" t="s">
        <v>113</v>
      </c>
      <c r="AI301" t="s">
        <v>95</v>
      </c>
      <c r="AJ301" t="s">
        <v>72</v>
      </c>
      <c r="AK301" t="s">
        <v>70</v>
      </c>
      <c r="AL301" t="s">
        <v>70</v>
      </c>
      <c r="AM301" t="s">
        <v>70</v>
      </c>
      <c r="AN301" t="s">
        <v>133</v>
      </c>
      <c r="AO301" t="s">
        <v>72</v>
      </c>
      <c r="AP301" t="s">
        <v>72</v>
      </c>
      <c r="AQ301" t="s">
        <v>74</v>
      </c>
      <c r="AR301" s="1">
        <v>45652</v>
      </c>
      <c r="AS301" t="s">
        <v>198</v>
      </c>
      <c r="AT301" t="s">
        <v>71</v>
      </c>
      <c r="AU301">
        <v>10</v>
      </c>
      <c r="AV301" t="s">
        <v>179</v>
      </c>
    </row>
    <row r="302" spans="1:48" x14ac:dyDescent="0.25">
      <c r="A302" t="s">
        <v>589</v>
      </c>
      <c r="B302" t="s">
        <v>100</v>
      </c>
      <c r="C302" t="s">
        <v>501</v>
      </c>
      <c r="D302" t="s">
        <v>122</v>
      </c>
      <c r="E302">
        <v>29</v>
      </c>
      <c r="F302" t="s">
        <v>214</v>
      </c>
      <c r="G302" t="s">
        <v>169</v>
      </c>
      <c r="H302" t="s">
        <v>170</v>
      </c>
      <c r="I302" t="s">
        <v>236</v>
      </c>
      <c r="J302" t="s">
        <v>237</v>
      </c>
      <c r="K302" t="s">
        <v>238</v>
      </c>
      <c r="L302" t="s">
        <v>106</v>
      </c>
      <c r="M302" t="s">
        <v>296</v>
      </c>
      <c r="N302" t="s">
        <v>265</v>
      </c>
      <c r="O302" t="s">
        <v>109</v>
      </c>
      <c r="P302" s="1">
        <v>44108</v>
      </c>
      <c r="Q302">
        <v>3.7</v>
      </c>
      <c r="R302" t="s">
        <v>62</v>
      </c>
      <c r="S302" t="s">
        <v>63</v>
      </c>
      <c r="T302" t="s">
        <v>64</v>
      </c>
      <c r="U302">
        <v>0</v>
      </c>
      <c r="V302">
        <v>0</v>
      </c>
      <c r="W302">
        <v>3294</v>
      </c>
      <c r="X302">
        <v>0</v>
      </c>
      <c r="Y302">
        <v>422</v>
      </c>
      <c r="Z302">
        <v>3716</v>
      </c>
      <c r="AA302">
        <v>311</v>
      </c>
      <c r="AB302" t="s">
        <v>151</v>
      </c>
      <c r="AC302">
        <v>21</v>
      </c>
      <c r="AD302">
        <v>62</v>
      </c>
      <c r="AE302">
        <v>63</v>
      </c>
      <c r="AF302" t="s">
        <v>132</v>
      </c>
      <c r="AG302">
        <v>21</v>
      </c>
      <c r="AH302" t="s">
        <v>113</v>
      </c>
      <c r="AI302" t="s">
        <v>95</v>
      </c>
      <c r="AJ302" t="s">
        <v>72</v>
      </c>
      <c r="AK302" t="s">
        <v>70</v>
      </c>
      <c r="AL302" t="s">
        <v>71</v>
      </c>
      <c r="AM302" t="s">
        <v>70</v>
      </c>
      <c r="AN302" t="s">
        <v>72</v>
      </c>
      <c r="AO302" t="s">
        <v>72</v>
      </c>
      <c r="AP302" t="s">
        <v>72</v>
      </c>
      <c r="AQ302" t="s">
        <v>98</v>
      </c>
      <c r="AR302" s="1">
        <v>44595</v>
      </c>
      <c r="AS302" t="s">
        <v>198</v>
      </c>
      <c r="AT302" t="s">
        <v>71</v>
      </c>
      <c r="AU302">
        <v>-37</v>
      </c>
      <c r="AV302" t="s">
        <v>179</v>
      </c>
    </row>
    <row r="303" spans="1:48" x14ac:dyDescent="0.25">
      <c r="A303" t="s">
        <v>590</v>
      </c>
      <c r="B303" t="s">
        <v>245</v>
      </c>
      <c r="C303" t="s">
        <v>182</v>
      </c>
      <c r="D303" t="s">
        <v>51</v>
      </c>
      <c r="E303">
        <v>21</v>
      </c>
      <c r="F303" t="s">
        <v>316</v>
      </c>
      <c r="G303" t="s">
        <v>81</v>
      </c>
      <c r="H303" t="s">
        <v>82</v>
      </c>
      <c r="I303" t="s">
        <v>217</v>
      </c>
      <c r="J303" t="s">
        <v>218</v>
      </c>
      <c r="K303" t="s">
        <v>146</v>
      </c>
      <c r="L303" t="s">
        <v>86</v>
      </c>
      <c r="M303" t="s">
        <v>249</v>
      </c>
      <c r="N303" t="s">
        <v>88</v>
      </c>
      <c r="O303" t="s">
        <v>176</v>
      </c>
      <c r="P303" s="1">
        <v>40098</v>
      </c>
      <c r="Q303">
        <v>14.6</v>
      </c>
      <c r="R303" t="s">
        <v>150</v>
      </c>
      <c r="S303" t="s">
        <v>163</v>
      </c>
      <c r="T303" t="s">
        <v>164</v>
      </c>
      <c r="U303">
        <v>12</v>
      </c>
      <c r="V303">
        <v>2</v>
      </c>
      <c r="W303">
        <v>2504</v>
      </c>
      <c r="X303">
        <v>1245</v>
      </c>
      <c r="Y303">
        <v>422</v>
      </c>
      <c r="Z303">
        <v>4171</v>
      </c>
      <c r="AA303">
        <v>553</v>
      </c>
      <c r="AB303" t="s">
        <v>65</v>
      </c>
      <c r="AC303">
        <v>20.399999999999999</v>
      </c>
      <c r="AD303">
        <v>81</v>
      </c>
      <c r="AE303">
        <v>71</v>
      </c>
      <c r="AF303" t="s">
        <v>66</v>
      </c>
      <c r="AG303">
        <v>30</v>
      </c>
      <c r="AH303" t="s">
        <v>67</v>
      </c>
      <c r="AI303" t="s">
        <v>68</v>
      </c>
      <c r="AJ303" t="s">
        <v>69</v>
      </c>
      <c r="AK303" t="s">
        <v>70</v>
      </c>
      <c r="AL303" t="s">
        <v>70</v>
      </c>
      <c r="AM303" t="s">
        <v>70</v>
      </c>
      <c r="AN303" t="s">
        <v>270</v>
      </c>
      <c r="AO303" t="s">
        <v>116</v>
      </c>
      <c r="AP303" t="s">
        <v>135</v>
      </c>
      <c r="AQ303" t="s">
        <v>117</v>
      </c>
      <c r="AR303" s="1">
        <v>40644</v>
      </c>
      <c r="AS303" t="s">
        <v>118</v>
      </c>
      <c r="AT303" t="s">
        <v>71</v>
      </c>
      <c r="AU303">
        <v>1264</v>
      </c>
      <c r="AV303" t="s">
        <v>76</v>
      </c>
    </row>
    <row r="304" spans="1:48" x14ac:dyDescent="0.25">
      <c r="A304" t="s">
        <v>591</v>
      </c>
      <c r="B304" t="s">
        <v>259</v>
      </c>
      <c r="C304" t="s">
        <v>353</v>
      </c>
      <c r="D304" t="s">
        <v>122</v>
      </c>
      <c r="E304">
        <v>41</v>
      </c>
      <c r="F304" t="s">
        <v>52</v>
      </c>
      <c r="G304" t="s">
        <v>124</v>
      </c>
      <c r="H304" t="s">
        <v>125</v>
      </c>
      <c r="I304" t="s">
        <v>253</v>
      </c>
      <c r="J304" t="s">
        <v>254</v>
      </c>
      <c r="K304" t="s">
        <v>255</v>
      </c>
      <c r="L304" t="s">
        <v>174</v>
      </c>
      <c r="M304" t="s">
        <v>249</v>
      </c>
      <c r="N304" t="s">
        <v>60</v>
      </c>
      <c r="O304" t="s">
        <v>149</v>
      </c>
      <c r="P304" s="1">
        <v>44656</v>
      </c>
      <c r="Q304">
        <v>2.2000000000000002</v>
      </c>
      <c r="R304" t="s">
        <v>129</v>
      </c>
      <c r="S304" t="s">
        <v>219</v>
      </c>
      <c r="T304" t="s">
        <v>220</v>
      </c>
      <c r="U304">
        <v>0</v>
      </c>
      <c r="V304">
        <v>0</v>
      </c>
      <c r="W304">
        <v>2730</v>
      </c>
      <c r="X304">
        <v>0</v>
      </c>
      <c r="Y304">
        <v>422</v>
      </c>
      <c r="Z304">
        <v>3152</v>
      </c>
      <c r="AA304">
        <v>476</v>
      </c>
      <c r="AB304" t="s">
        <v>65</v>
      </c>
      <c r="AC304">
        <v>16.5</v>
      </c>
      <c r="AD304">
        <v>43</v>
      </c>
      <c r="AE304">
        <v>49</v>
      </c>
      <c r="AF304" t="s">
        <v>132</v>
      </c>
      <c r="AG304">
        <v>21</v>
      </c>
      <c r="AH304" t="s">
        <v>113</v>
      </c>
      <c r="AI304" t="s">
        <v>177</v>
      </c>
      <c r="AJ304" t="s">
        <v>69</v>
      </c>
      <c r="AK304" t="s">
        <v>70</v>
      </c>
      <c r="AL304" t="s">
        <v>71</v>
      </c>
      <c r="AM304" t="s">
        <v>70</v>
      </c>
      <c r="AN304" t="s">
        <v>133</v>
      </c>
      <c r="AO304" t="s">
        <v>203</v>
      </c>
      <c r="AP304" t="s">
        <v>97</v>
      </c>
      <c r="AQ304" t="s">
        <v>74</v>
      </c>
      <c r="AR304" s="1">
        <v>44968</v>
      </c>
      <c r="AS304" t="s">
        <v>75</v>
      </c>
      <c r="AT304" t="s">
        <v>71</v>
      </c>
      <c r="AU304">
        <v>-47</v>
      </c>
      <c r="AV304" t="s">
        <v>179</v>
      </c>
    </row>
    <row r="305" spans="1:48" x14ac:dyDescent="0.25">
      <c r="A305" t="s">
        <v>592</v>
      </c>
      <c r="B305" t="s">
        <v>205</v>
      </c>
      <c r="C305" t="s">
        <v>252</v>
      </c>
      <c r="D305" t="s">
        <v>51</v>
      </c>
      <c r="E305">
        <v>21</v>
      </c>
      <c r="F305" t="s">
        <v>316</v>
      </c>
      <c r="G305" t="s">
        <v>124</v>
      </c>
      <c r="H305" t="s">
        <v>125</v>
      </c>
      <c r="I305" t="s">
        <v>253</v>
      </c>
      <c r="J305" t="s">
        <v>254</v>
      </c>
      <c r="K305" t="s">
        <v>255</v>
      </c>
      <c r="L305" t="s">
        <v>126</v>
      </c>
      <c r="M305" t="s">
        <v>59</v>
      </c>
      <c r="N305" t="s">
        <v>88</v>
      </c>
      <c r="O305" t="s">
        <v>89</v>
      </c>
      <c r="P305" s="1">
        <v>39666</v>
      </c>
      <c r="Q305">
        <v>15.8</v>
      </c>
      <c r="R305" t="s">
        <v>195</v>
      </c>
      <c r="S305" t="s">
        <v>219</v>
      </c>
      <c r="T305" t="s">
        <v>220</v>
      </c>
      <c r="U305">
        <v>0</v>
      </c>
      <c r="V305">
        <v>0</v>
      </c>
      <c r="W305">
        <v>2730</v>
      </c>
      <c r="X305">
        <v>1207</v>
      </c>
      <c r="Y305">
        <v>422</v>
      </c>
      <c r="Z305">
        <v>4359</v>
      </c>
      <c r="AA305">
        <v>350</v>
      </c>
      <c r="AB305" t="s">
        <v>151</v>
      </c>
      <c r="AC305">
        <v>20.7</v>
      </c>
      <c r="AD305">
        <v>82</v>
      </c>
      <c r="AE305">
        <v>47</v>
      </c>
      <c r="AF305" t="s">
        <v>132</v>
      </c>
      <c r="AG305">
        <v>31</v>
      </c>
      <c r="AH305" t="s">
        <v>67</v>
      </c>
      <c r="AI305" t="s">
        <v>114</v>
      </c>
      <c r="AJ305" t="s">
        <v>69</v>
      </c>
      <c r="AK305" t="s">
        <v>70</v>
      </c>
      <c r="AL305" t="s">
        <v>71</v>
      </c>
      <c r="AM305" t="s">
        <v>71</v>
      </c>
      <c r="AN305" t="s">
        <v>72</v>
      </c>
      <c r="AO305" t="s">
        <v>203</v>
      </c>
      <c r="AP305" t="s">
        <v>72</v>
      </c>
      <c r="AQ305" t="s">
        <v>98</v>
      </c>
      <c r="AR305" s="1">
        <v>39559</v>
      </c>
      <c r="AS305" t="s">
        <v>118</v>
      </c>
      <c r="AT305" t="s">
        <v>71</v>
      </c>
      <c r="AU305">
        <v>468</v>
      </c>
      <c r="AV305" t="s">
        <v>76</v>
      </c>
    </row>
    <row r="306" spans="1:48" x14ac:dyDescent="0.25">
      <c r="A306" t="s">
        <v>593</v>
      </c>
      <c r="B306" t="s">
        <v>166</v>
      </c>
      <c r="C306" t="s">
        <v>360</v>
      </c>
      <c r="D306" t="s">
        <v>51</v>
      </c>
      <c r="E306">
        <v>40</v>
      </c>
      <c r="F306" t="s">
        <v>311</v>
      </c>
      <c r="G306" t="s">
        <v>234</v>
      </c>
      <c r="H306" t="s">
        <v>235</v>
      </c>
      <c r="I306" t="s">
        <v>253</v>
      </c>
      <c r="J306" t="s">
        <v>254</v>
      </c>
      <c r="K306" t="s">
        <v>255</v>
      </c>
      <c r="L306" t="s">
        <v>126</v>
      </c>
      <c r="M306" t="s">
        <v>207</v>
      </c>
      <c r="N306" t="s">
        <v>88</v>
      </c>
      <c r="O306" t="s">
        <v>109</v>
      </c>
      <c r="P306" s="1">
        <v>39029</v>
      </c>
      <c r="Q306">
        <v>17.600000000000001</v>
      </c>
      <c r="R306" t="s">
        <v>129</v>
      </c>
      <c r="S306" t="s">
        <v>196</v>
      </c>
      <c r="T306" t="s">
        <v>197</v>
      </c>
      <c r="U306">
        <v>0</v>
      </c>
      <c r="V306">
        <v>0</v>
      </c>
      <c r="W306">
        <v>1917</v>
      </c>
      <c r="X306">
        <v>0</v>
      </c>
      <c r="Y306">
        <v>422</v>
      </c>
      <c r="Z306">
        <v>2339</v>
      </c>
      <c r="AA306">
        <v>385</v>
      </c>
      <c r="AB306" t="s">
        <v>65</v>
      </c>
      <c r="AC306">
        <v>17.7</v>
      </c>
      <c r="AD306">
        <v>66</v>
      </c>
      <c r="AE306">
        <v>62</v>
      </c>
      <c r="AF306" t="s">
        <v>93</v>
      </c>
      <c r="AG306">
        <v>24</v>
      </c>
      <c r="AH306" t="s">
        <v>113</v>
      </c>
      <c r="AI306" t="s">
        <v>152</v>
      </c>
      <c r="AJ306" t="s">
        <v>188</v>
      </c>
      <c r="AK306" t="s">
        <v>70</v>
      </c>
      <c r="AL306" t="s">
        <v>71</v>
      </c>
      <c r="AM306" t="s">
        <v>70</v>
      </c>
      <c r="AN306" t="s">
        <v>72</v>
      </c>
      <c r="AO306" t="s">
        <v>72</v>
      </c>
      <c r="AP306" t="s">
        <v>72</v>
      </c>
      <c r="AQ306" t="s">
        <v>117</v>
      </c>
      <c r="AR306" s="1">
        <v>43561</v>
      </c>
      <c r="AS306" t="s">
        <v>118</v>
      </c>
      <c r="AT306" t="s">
        <v>71</v>
      </c>
      <c r="AU306">
        <v>109</v>
      </c>
      <c r="AV306" t="s">
        <v>179</v>
      </c>
    </row>
    <row r="307" spans="1:48" x14ac:dyDescent="0.25">
      <c r="A307" t="s">
        <v>594</v>
      </c>
      <c r="B307" t="s">
        <v>377</v>
      </c>
      <c r="C307" t="s">
        <v>140</v>
      </c>
      <c r="D307" t="s">
        <v>51</v>
      </c>
      <c r="E307">
        <v>38</v>
      </c>
      <c r="F307" t="s">
        <v>214</v>
      </c>
      <c r="G307" t="s">
        <v>156</v>
      </c>
      <c r="H307" t="s">
        <v>157</v>
      </c>
      <c r="I307" t="s">
        <v>268</v>
      </c>
      <c r="J307" t="s">
        <v>269</v>
      </c>
      <c r="K307" t="s">
        <v>173</v>
      </c>
      <c r="L307" t="s">
        <v>86</v>
      </c>
      <c r="M307" t="s">
        <v>107</v>
      </c>
      <c r="N307" t="s">
        <v>108</v>
      </c>
      <c r="O307" t="s">
        <v>109</v>
      </c>
      <c r="P307" s="1">
        <v>38497</v>
      </c>
      <c r="Q307">
        <v>19</v>
      </c>
      <c r="R307" t="s">
        <v>75</v>
      </c>
      <c r="S307" t="s">
        <v>63</v>
      </c>
      <c r="T307" t="s">
        <v>64</v>
      </c>
      <c r="U307">
        <v>0</v>
      </c>
      <c r="V307">
        <v>0</v>
      </c>
      <c r="W307">
        <v>4836</v>
      </c>
      <c r="X307">
        <v>0</v>
      </c>
      <c r="Y307">
        <v>266</v>
      </c>
      <c r="Z307">
        <v>5102</v>
      </c>
      <c r="AA307">
        <v>558</v>
      </c>
      <c r="AB307" t="s">
        <v>65</v>
      </c>
      <c r="AC307">
        <v>19.8</v>
      </c>
      <c r="AD307">
        <v>44</v>
      </c>
      <c r="AE307">
        <v>56</v>
      </c>
      <c r="AF307" t="s">
        <v>112</v>
      </c>
      <c r="AG307">
        <v>38</v>
      </c>
      <c r="AH307" t="s">
        <v>94</v>
      </c>
      <c r="AI307" t="s">
        <v>68</v>
      </c>
      <c r="AJ307" t="s">
        <v>69</v>
      </c>
      <c r="AK307" t="s">
        <v>71</v>
      </c>
      <c r="AL307" t="s">
        <v>70</v>
      </c>
      <c r="AM307" t="s">
        <v>70</v>
      </c>
      <c r="AN307" t="s">
        <v>72</v>
      </c>
      <c r="AO307" t="s">
        <v>72</v>
      </c>
      <c r="AP307" t="s">
        <v>73</v>
      </c>
      <c r="AQ307" t="s">
        <v>117</v>
      </c>
      <c r="AR307" s="1">
        <v>40651</v>
      </c>
      <c r="AS307" t="s">
        <v>137</v>
      </c>
      <c r="AT307" t="s">
        <v>71</v>
      </c>
      <c r="AU307">
        <v>937</v>
      </c>
      <c r="AV307" t="s">
        <v>76</v>
      </c>
    </row>
    <row r="308" spans="1:48" x14ac:dyDescent="0.25">
      <c r="A308" t="s">
        <v>595</v>
      </c>
      <c r="B308" t="s">
        <v>267</v>
      </c>
      <c r="C308" t="s">
        <v>353</v>
      </c>
      <c r="D308" t="s">
        <v>122</v>
      </c>
      <c r="E308">
        <v>41</v>
      </c>
      <c r="F308" t="s">
        <v>241</v>
      </c>
      <c r="G308" t="s">
        <v>298</v>
      </c>
      <c r="H308" t="s">
        <v>299</v>
      </c>
      <c r="I308" t="s">
        <v>273</v>
      </c>
      <c r="J308" t="s">
        <v>274</v>
      </c>
      <c r="K308" t="s">
        <v>57</v>
      </c>
      <c r="L308" t="s">
        <v>174</v>
      </c>
      <c r="M308" t="s">
        <v>296</v>
      </c>
      <c r="N308" t="s">
        <v>60</v>
      </c>
      <c r="O308" t="s">
        <v>176</v>
      </c>
      <c r="P308" s="1">
        <v>40089</v>
      </c>
      <c r="Q308">
        <v>14.7</v>
      </c>
      <c r="R308" t="s">
        <v>129</v>
      </c>
      <c r="S308" t="s">
        <v>110</v>
      </c>
      <c r="T308" t="s">
        <v>111</v>
      </c>
      <c r="U308">
        <v>15</v>
      </c>
      <c r="V308">
        <v>2</v>
      </c>
      <c r="W308">
        <v>2149</v>
      </c>
      <c r="X308">
        <v>0</v>
      </c>
      <c r="Y308">
        <v>422</v>
      </c>
      <c r="Z308">
        <v>2571</v>
      </c>
      <c r="AA308">
        <v>476</v>
      </c>
      <c r="AB308" t="s">
        <v>65</v>
      </c>
      <c r="AC308">
        <v>16.2</v>
      </c>
      <c r="AD308">
        <v>36</v>
      </c>
      <c r="AE308">
        <v>61</v>
      </c>
      <c r="AF308" t="s">
        <v>112</v>
      </c>
      <c r="AG308">
        <v>25</v>
      </c>
      <c r="AH308" t="s">
        <v>113</v>
      </c>
      <c r="AI308" t="s">
        <v>152</v>
      </c>
      <c r="AJ308" t="s">
        <v>188</v>
      </c>
      <c r="AK308" t="s">
        <v>70</v>
      </c>
      <c r="AL308" t="s">
        <v>70</v>
      </c>
      <c r="AM308" t="s">
        <v>70</v>
      </c>
      <c r="AN308" t="s">
        <v>72</v>
      </c>
      <c r="AO308" t="s">
        <v>97</v>
      </c>
      <c r="AP308" t="s">
        <v>72</v>
      </c>
      <c r="AQ308" t="s">
        <v>136</v>
      </c>
      <c r="AR308" s="1">
        <v>42074</v>
      </c>
      <c r="AS308" t="s">
        <v>75</v>
      </c>
      <c r="AT308" t="s">
        <v>71</v>
      </c>
      <c r="AU308">
        <v>360</v>
      </c>
      <c r="AV308" t="s">
        <v>76</v>
      </c>
    </row>
    <row r="309" spans="1:48" x14ac:dyDescent="0.25">
      <c r="A309" t="s">
        <v>596</v>
      </c>
      <c r="B309" t="s">
        <v>277</v>
      </c>
      <c r="C309" t="s">
        <v>223</v>
      </c>
      <c r="D309" t="s">
        <v>122</v>
      </c>
      <c r="E309">
        <v>31</v>
      </c>
      <c r="F309" t="s">
        <v>168</v>
      </c>
      <c r="G309" t="s">
        <v>124</v>
      </c>
      <c r="H309" t="s">
        <v>125</v>
      </c>
      <c r="I309" t="s">
        <v>158</v>
      </c>
      <c r="J309" t="s">
        <v>159</v>
      </c>
      <c r="K309" t="s">
        <v>160</v>
      </c>
      <c r="L309" t="s">
        <v>106</v>
      </c>
      <c r="M309" t="s">
        <v>87</v>
      </c>
      <c r="N309" t="s">
        <v>60</v>
      </c>
      <c r="O309" t="s">
        <v>89</v>
      </c>
      <c r="P309" s="1">
        <v>43158</v>
      </c>
      <c r="Q309">
        <v>6.3</v>
      </c>
      <c r="R309" t="s">
        <v>208</v>
      </c>
      <c r="S309" t="s">
        <v>219</v>
      </c>
      <c r="T309" t="s">
        <v>220</v>
      </c>
      <c r="U309">
        <v>0</v>
      </c>
      <c r="V309">
        <v>0</v>
      </c>
      <c r="W309">
        <v>2730</v>
      </c>
      <c r="X309">
        <v>0</v>
      </c>
      <c r="Y309">
        <v>422</v>
      </c>
      <c r="Z309">
        <v>3152</v>
      </c>
      <c r="AA309">
        <v>328</v>
      </c>
      <c r="AB309" t="s">
        <v>151</v>
      </c>
      <c r="AC309">
        <v>18.5</v>
      </c>
      <c r="AD309">
        <v>79</v>
      </c>
      <c r="AE309">
        <v>36</v>
      </c>
      <c r="AF309" t="s">
        <v>112</v>
      </c>
      <c r="AG309">
        <v>25</v>
      </c>
      <c r="AH309" t="s">
        <v>113</v>
      </c>
      <c r="AI309" t="s">
        <v>68</v>
      </c>
      <c r="AJ309" t="s">
        <v>188</v>
      </c>
      <c r="AK309" t="s">
        <v>71</v>
      </c>
      <c r="AL309" t="s">
        <v>71</v>
      </c>
      <c r="AM309" t="s">
        <v>70</v>
      </c>
      <c r="AN309" t="s">
        <v>231</v>
      </c>
      <c r="AO309" t="s">
        <v>72</v>
      </c>
      <c r="AP309" t="s">
        <v>72</v>
      </c>
      <c r="AQ309" t="s">
        <v>98</v>
      </c>
      <c r="AR309" s="1">
        <v>43581</v>
      </c>
      <c r="AS309" t="s">
        <v>75</v>
      </c>
      <c r="AT309" t="s">
        <v>71</v>
      </c>
      <c r="AU309">
        <v>1286</v>
      </c>
      <c r="AV309" t="s">
        <v>76</v>
      </c>
    </row>
    <row r="310" spans="1:48" x14ac:dyDescent="0.25">
      <c r="A310" t="s">
        <v>597</v>
      </c>
      <c r="B310" t="s">
        <v>166</v>
      </c>
      <c r="C310" t="s">
        <v>167</v>
      </c>
      <c r="D310" t="s">
        <v>51</v>
      </c>
      <c r="E310">
        <v>23</v>
      </c>
      <c r="F310" t="s">
        <v>241</v>
      </c>
      <c r="G310" t="s">
        <v>234</v>
      </c>
      <c r="H310" t="s">
        <v>235</v>
      </c>
      <c r="I310" t="s">
        <v>273</v>
      </c>
      <c r="J310" t="s">
        <v>274</v>
      </c>
      <c r="K310" t="s">
        <v>57</v>
      </c>
      <c r="L310" t="s">
        <v>201</v>
      </c>
      <c r="M310" t="s">
        <v>207</v>
      </c>
      <c r="N310" t="s">
        <v>265</v>
      </c>
      <c r="O310" t="s">
        <v>149</v>
      </c>
      <c r="P310" s="1">
        <v>40725</v>
      </c>
      <c r="Q310">
        <v>12.9</v>
      </c>
      <c r="R310" t="s">
        <v>75</v>
      </c>
      <c r="S310" t="s">
        <v>163</v>
      </c>
      <c r="T310" t="s">
        <v>164</v>
      </c>
      <c r="U310">
        <v>1</v>
      </c>
      <c r="V310">
        <v>0</v>
      </c>
      <c r="W310">
        <v>1917</v>
      </c>
      <c r="X310">
        <v>1189</v>
      </c>
      <c r="Y310">
        <v>422</v>
      </c>
      <c r="Z310">
        <v>3528</v>
      </c>
      <c r="AA310">
        <v>328</v>
      </c>
      <c r="AB310" t="s">
        <v>151</v>
      </c>
      <c r="AC310">
        <v>16.7</v>
      </c>
      <c r="AD310">
        <v>54</v>
      </c>
      <c r="AE310">
        <v>62</v>
      </c>
      <c r="AF310" t="s">
        <v>93</v>
      </c>
      <c r="AG310">
        <v>30</v>
      </c>
      <c r="AH310" t="s">
        <v>67</v>
      </c>
      <c r="AI310" t="s">
        <v>114</v>
      </c>
      <c r="AJ310" t="s">
        <v>96</v>
      </c>
      <c r="AK310" t="s">
        <v>70</v>
      </c>
      <c r="AL310" t="s">
        <v>71</v>
      </c>
      <c r="AM310" t="s">
        <v>71</v>
      </c>
      <c r="AN310" t="s">
        <v>115</v>
      </c>
      <c r="AO310" t="s">
        <v>72</v>
      </c>
      <c r="AP310" t="s">
        <v>203</v>
      </c>
      <c r="AQ310" t="s">
        <v>74</v>
      </c>
      <c r="AR310" s="1">
        <v>44274</v>
      </c>
      <c r="AS310" t="s">
        <v>137</v>
      </c>
      <c r="AT310" t="s">
        <v>71</v>
      </c>
      <c r="AU310">
        <v>1563</v>
      </c>
      <c r="AV310" t="s">
        <v>76</v>
      </c>
    </row>
    <row r="311" spans="1:48" x14ac:dyDescent="0.25">
      <c r="A311" t="s">
        <v>598</v>
      </c>
      <c r="B311" t="s">
        <v>120</v>
      </c>
      <c r="C311" t="s">
        <v>252</v>
      </c>
      <c r="D311" t="s">
        <v>51</v>
      </c>
      <c r="E311">
        <v>40</v>
      </c>
      <c r="F311" t="s">
        <v>168</v>
      </c>
      <c r="G311" t="s">
        <v>142</v>
      </c>
      <c r="H311" t="s">
        <v>143</v>
      </c>
      <c r="I311" t="s">
        <v>260</v>
      </c>
      <c r="J311" t="s">
        <v>261</v>
      </c>
      <c r="K311" t="s">
        <v>173</v>
      </c>
      <c r="L311" t="s">
        <v>86</v>
      </c>
      <c r="M311" t="s">
        <v>147</v>
      </c>
      <c r="N311" t="s">
        <v>60</v>
      </c>
      <c r="O311" t="s">
        <v>149</v>
      </c>
      <c r="P311" s="1">
        <v>40187</v>
      </c>
      <c r="Q311">
        <v>14.4</v>
      </c>
      <c r="R311" t="s">
        <v>150</v>
      </c>
      <c r="S311" t="s">
        <v>163</v>
      </c>
      <c r="T311" t="s">
        <v>164</v>
      </c>
      <c r="U311">
        <v>7</v>
      </c>
      <c r="V311">
        <v>1</v>
      </c>
      <c r="W311">
        <v>5473</v>
      </c>
      <c r="X311">
        <v>0</v>
      </c>
      <c r="Y311">
        <v>422</v>
      </c>
      <c r="Z311">
        <v>5895</v>
      </c>
      <c r="AA311">
        <v>358</v>
      </c>
      <c r="AB311" t="s">
        <v>151</v>
      </c>
      <c r="AC311">
        <v>17.899999999999999</v>
      </c>
      <c r="AD311">
        <v>80</v>
      </c>
      <c r="AE311">
        <v>47</v>
      </c>
      <c r="AF311" t="s">
        <v>112</v>
      </c>
      <c r="AG311">
        <v>17</v>
      </c>
      <c r="AH311" t="s">
        <v>113</v>
      </c>
      <c r="AI311" t="s">
        <v>68</v>
      </c>
      <c r="AJ311" t="s">
        <v>96</v>
      </c>
      <c r="AK311" t="s">
        <v>70</v>
      </c>
      <c r="AL311" t="s">
        <v>70</v>
      </c>
      <c r="AM311" t="s">
        <v>71</v>
      </c>
      <c r="AN311" t="s">
        <v>115</v>
      </c>
      <c r="AO311" t="s">
        <v>72</v>
      </c>
      <c r="AP311" t="s">
        <v>73</v>
      </c>
      <c r="AQ311" t="s">
        <v>136</v>
      </c>
      <c r="AR311" s="1">
        <v>42594</v>
      </c>
      <c r="AS311" t="s">
        <v>118</v>
      </c>
      <c r="AT311" t="s">
        <v>71</v>
      </c>
      <c r="AU311">
        <v>829</v>
      </c>
      <c r="AV311" t="s">
        <v>76</v>
      </c>
    </row>
    <row r="312" spans="1:48" x14ac:dyDescent="0.25">
      <c r="A312" t="s">
        <v>599</v>
      </c>
      <c r="B312" t="s">
        <v>282</v>
      </c>
      <c r="C312" t="s">
        <v>50</v>
      </c>
      <c r="D312" t="s">
        <v>51</v>
      </c>
      <c r="E312">
        <v>41</v>
      </c>
      <c r="F312" t="s">
        <v>52</v>
      </c>
      <c r="G312" t="s">
        <v>53</v>
      </c>
      <c r="H312" t="s">
        <v>54</v>
      </c>
      <c r="I312" t="s">
        <v>260</v>
      </c>
      <c r="J312" t="s">
        <v>261</v>
      </c>
      <c r="K312" t="s">
        <v>173</v>
      </c>
      <c r="L312" t="s">
        <v>86</v>
      </c>
      <c r="M312" t="s">
        <v>275</v>
      </c>
      <c r="N312" t="s">
        <v>88</v>
      </c>
      <c r="O312" t="s">
        <v>89</v>
      </c>
      <c r="P312" s="1">
        <v>42755</v>
      </c>
      <c r="Q312">
        <v>7.4</v>
      </c>
      <c r="R312" t="s">
        <v>208</v>
      </c>
      <c r="S312" t="s">
        <v>219</v>
      </c>
      <c r="T312" t="s">
        <v>220</v>
      </c>
      <c r="U312">
        <v>0</v>
      </c>
      <c r="V312">
        <v>0</v>
      </c>
      <c r="W312">
        <v>4739</v>
      </c>
      <c r="X312">
        <v>0</v>
      </c>
      <c r="Y312">
        <v>422</v>
      </c>
      <c r="Z312">
        <v>5161</v>
      </c>
      <c r="AA312">
        <v>421</v>
      </c>
      <c r="AB312" t="s">
        <v>65</v>
      </c>
      <c r="AC312">
        <v>18.600000000000001</v>
      </c>
      <c r="AD312">
        <v>64</v>
      </c>
      <c r="AE312">
        <v>54</v>
      </c>
      <c r="AF312" t="s">
        <v>93</v>
      </c>
      <c r="AG312">
        <v>30</v>
      </c>
      <c r="AH312" t="s">
        <v>67</v>
      </c>
      <c r="AI312" t="s">
        <v>68</v>
      </c>
      <c r="AJ312" t="s">
        <v>69</v>
      </c>
      <c r="AK312" t="s">
        <v>70</v>
      </c>
      <c r="AL312" t="s">
        <v>70</v>
      </c>
      <c r="AM312" t="s">
        <v>70</v>
      </c>
      <c r="AN312" t="s">
        <v>270</v>
      </c>
      <c r="AO312" t="s">
        <v>73</v>
      </c>
      <c r="AP312" t="s">
        <v>72</v>
      </c>
      <c r="AQ312" t="s">
        <v>98</v>
      </c>
      <c r="AR312" s="1">
        <v>44767</v>
      </c>
      <c r="AS312" t="s">
        <v>118</v>
      </c>
      <c r="AT312" t="s">
        <v>71</v>
      </c>
      <c r="AU312">
        <v>243</v>
      </c>
      <c r="AV312" t="s">
        <v>76</v>
      </c>
    </row>
    <row r="313" spans="1:48" x14ac:dyDescent="0.25">
      <c r="A313" t="s">
        <v>600</v>
      </c>
      <c r="B313" t="s">
        <v>181</v>
      </c>
      <c r="C313" t="s">
        <v>334</v>
      </c>
      <c r="D313" t="s">
        <v>122</v>
      </c>
      <c r="E313">
        <v>30</v>
      </c>
      <c r="F313" t="s">
        <v>291</v>
      </c>
      <c r="G313" t="s">
        <v>169</v>
      </c>
      <c r="H313" t="s">
        <v>170</v>
      </c>
      <c r="I313" t="s">
        <v>225</v>
      </c>
      <c r="J313" t="s">
        <v>226</v>
      </c>
      <c r="K313" t="s">
        <v>105</v>
      </c>
      <c r="L313" t="s">
        <v>126</v>
      </c>
      <c r="M313" t="s">
        <v>59</v>
      </c>
      <c r="N313" t="s">
        <v>108</v>
      </c>
      <c r="O313" t="s">
        <v>176</v>
      </c>
      <c r="P313" s="1">
        <v>38525</v>
      </c>
      <c r="Q313">
        <v>18.899999999999999</v>
      </c>
      <c r="R313" t="s">
        <v>150</v>
      </c>
      <c r="S313" t="s">
        <v>110</v>
      </c>
      <c r="T313" t="s">
        <v>111</v>
      </c>
      <c r="U313">
        <v>5</v>
      </c>
      <c r="V313">
        <v>0</v>
      </c>
      <c r="W313">
        <v>3294</v>
      </c>
      <c r="X313">
        <v>1163</v>
      </c>
      <c r="Y313">
        <v>422</v>
      </c>
      <c r="Z313">
        <v>4879</v>
      </c>
      <c r="AA313">
        <v>363</v>
      </c>
      <c r="AB313" t="s">
        <v>65</v>
      </c>
      <c r="AC313">
        <v>18.3</v>
      </c>
      <c r="AD313">
        <v>32</v>
      </c>
      <c r="AE313">
        <v>34</v>
      </c>
      <c r="AF313" t="s">
        <v>66</v>
      </c>
      <c r="AG313">
        <v>29</v>
      </c>
      <c r="AH313" t="s">
        <v>113</v>
      </c>
      <c r="AI313" t="s">
        <v>177</v>
      </c>
      <c r="AJ313" t="s">
        <v>188</v>
      </c>
      <c r="AK313" t="s">
        <v>71</v>
      </c>
      <c r="AL313" t="s">
        <v>70</v>
      </c>
      <c r="AM313" t="s">
        <v>71</v>
      </c>
      <c r="AN313" t="s">
        <v>133</v>
      </c>
      <c r="AO313" t="s">
        <v>73</v>
      </c>
      <c r="AP313" t="s">
        <v>72</v>
      </c>
      <c r="AQ313" t="s">
        <v>74</v>
      </c>
      <c r="AR313" s="1">
        <v>38711</v>
      </c>
      <c r="AS313" t="s">
        <v>137</v>
      </c>
      <c r="AT313" t="s">
        <v>71</v>
      </c>
      <c r="AU313">
        <v>41</v>
      </c>
      <c r="AV313" t="s">
        <v>179</v>
      </c>
    </row>
    <row r="314" spans="1:48" x14ac:dyDescent="0.25">
      <c r="A314" t="s">
        <v>601</v>
      </c>
      <c r="B314" t="s">
        <v>49</v>
      </c>
      <c r="C314" t="s">
        <v>79</v>
      </c>
      <c r="D314" t="s">
        <v>51</v>
      </c>
      <c r="E314">
        <v>21</v>
      </c>
      <c r="F314" t="s">
        <v>168</v>
      </c>
      <c r="G314" t="s">
        <v>124</v>
      </c>
      <c r="H314" t="s">
        <v>125</v>
      </c>
      <c r="I314" t="s">
        <v>158</v>
      </c>
      <c r="J314" t="s">
        <v>159</v>
      </c>
      <c r="K314" t="s">
        <v>160</v>
      </c>
      <c r="L314" t="s">
        <v>201</v>
      </c>
      <c r="M314" t="s">
        <v>296</v>
      </c>
      <c r="N314" t="s">
        <v>128</v>
      </c>
      <c r="O314" t="s">
        <v>89</v>
      </c>
      <c r="P314" s="1">
        <v>44838</v>
      </c>
      <c r="Q314">
        <v>1.7</v>
      </c>
      <c r="R314" t="s">
        <v>150</v>
      </c>
      <c r="S314" t="s">
        <v>163</v>
      </c>
      <c r="T314" t="s">
        <v>164</v>
      </c>
      <c r="U314">
        <v>10</v>
      </c>
      <c r="V314">
        <v>1</v>
      </c>
      <c r="W314">
        <v>2730</v>
      </c>
      <c r="X314">
        <v>0</v>
      </c>
      <c r="Y314">
        <v>422</v>
      </c>
      <c r="Z314">
        <v>3152</v>
      </c>
      <c r="AA314">
        <v>517</v>
      </c>
      <c r="AB314" t="s">
        <v>65</v>
      </c>
      <c r="AC314">
        <v>13.7</v>
      </c>
      <c r="AD314">
        <v>68</v>
      </c>
      <c r="AE314">
        <v>66</v>
      </c>
      <c r="AF314" t="s">
        <v>93</v>
      </c>
      <c r="AG314">
        <v>25</v>
      </c>
      <c r="AH314" t="s">
        <v>113</v>
      </c>
      <c r="AI314" t="s">
        <v>68</v>
      </c>
      <c r="AJ314" t="s">
        <v>96</v>
      </c>
      <c r="AK314" t="s">
        <v>71</v>
      </c>
      <c r="AL314" t="s">
        <v>71</v>
      </c>
      <c r="AM314" t="s">
        <v>71</v>
      </c>
      <c r="AN314" t="s">
        <v>231</v>
      </c>
      <c r="AO314" t="s">
        <v>221</v>
      </c>
      <c r="AP314" t="s">
        <v>72</v>
      </c>
      <c r="AQ314" t="s">
        <v>98</v>
      </c>
      <c r="AR314" s="1">
        <v>44852</v>
      </c>
      <c r="AS314" t="s">
        <v>137</v>
      </c>
      <c r="AT314" t="s">
        <v>70</v>
      </c>
      <c r="AU314">
        <v>-496</v>
      </c>
      <c r="AV314" t="s">
        <v>179</v>
      </c>
    </row>
    <row r="315" spans="1:48" x14ac:dyDescent="0.25">
      <c r="A315" t="s">
        <v>602</v>
      </c>
      <c r="B315" t="s">
        <v>120</v>
      </c>
      <c r="C315" t="s">
        <v>50</v>
      </c>
      <c r="D315" t="s">
        <v>51</v>
      </c>
      <c r="E315">
        <v>34</v>
      </c>
      <c r="F315" t="s">
        <v>382</v>
      </c>
      <c r="G315" t="s">
        <v>183</v>
      </c>
      <c r="H315" t="s">
        <v>184</v>
      </c>
      <c r="I315" t="s">
        <v>253</v>
      </c>
      <c r="J315" t="s">
        <v>254</v>
      </c>
      <c r="K315" t="s">
        <v>255</v>
      </c>
      <c r="L315" t="s">
        <v>58</v>
      </c>
      <c r="M315" t="s">
        <v>161</v>
      </c>
      <c r="N315" t="s">
        <v>265</v>
      </c>
      <c r="O315" t="s">
        <v>176</v>
      </c>
      <c r="P315" s="1">
        <v>40203</v>
      </c>
      <c r="Q315">
        <v>14.3</v>
      </c>
      <c r="R315" t="s">
        <v>150</v>
      </c>
      <c r="S315" t="s">
        <v>219</v>
      </c>
      <c r="T315" t="s">
        <v>220</v>
      </c>
      <c r="U315">
        <v>0</v>
      </c>
      <c r="V315">
        <v>0</v>
      </c>
      <c r="W315">
        <v>5696</v>
      </c>
      <c r="X315">
        <v>0</v>
      </c>
      <c r="Y315">
        <v>266</v>
      </c>
      <c r="Z315">
        <v>5962</v>
      </c>
      <c r="AA315">
        <v>342</v>
      </c>
      <c r="AB315" t="s">
        <v>151</v>
      </c>
      <c r="AC315">
        <v>16.7</v>
      </c>
      <c r="AD315">
        <v>27</v>
      </c>
      <c r="AE315">
        <v>44</v>
      </c>
      <c r="AF315" t="s">
        <v>112</v>
      </c>
      <c r="AG315">
        <v>27</v>
      </c>
      <c r="AH315" t="s">
        <v>113</v>
      </c>
      <c r="AI315" t="s">
        <v>152</v>
      </c>
      <c r="AJ315" t="s">
        <v>72</v>
      </c>
      <c r="AK315" t="s">
        <v>70</v>
      </c>
      <c r="AL315" t="s">
        <v>71</v>
      </c>
      <c r="AM315" t="s">
        <v>70</v>
      </c>
      <c r="AN315" t="s">
        <v>202</v>
      </c>
      <c r="AO315" t="s">
        <v>97</v>
      </c>
      <c r="AP315" t="s">
        <v>97</v>
      </c>
      <c r="AQ315" t="s">
        <v>117</v>
      </c>
      <c r="AR315" s="1">
        <v>45645</v>
      </c>
      <c r="AS315" t="s">
        <v>118</v>
      </c>
      <c r="AT315" t="s">
        <v>71</v>
      </c>
      <c r="AU315">
        <v>735</v>
      </c>
      <c r="AV315" t="s">
        <v>76</v>
      </c>
    </row>
    <row r="316" spans="1:48" x14ac:dyDescent="0.25">
      <c r="A316" t="s">
        <v>603</v>
      </c>
      <c r="B316" t="s">
        <v>277</v>
      </c>
      <c r="C316" t="s">
        <v>332</v>
      </c>
      <c r="D316" t="s">
        <v>51</v>
      </c>
      <c r="E316">
        <v>41</v>
      </c>
      <c r="F316" t="s">
        <v>80</v>
      </c>
      <c r="G316" t="s">
        <v>242</v>
      </c>
      <c r="H316" t="s">
        <v>54</v>
      </c>
      <c r="I316" t="s">
        <v>236</v>
      </c>
      <c r="J316" t="s">
        <v>237</v>
      </c>
      <c r="K316" t="s">
        <v>238</v>
      </c>
      <c r="L316" t="s">
        <v>126</v>
      </c>
      <c r="M316" t="s">
        <v>175</v>
      </c>
      <c r="N316" t="s">
        <v>88</v>
      </c>
      <c r="O316" t="s">
        <v>176</v>
      </c>
      <c r="P316" s="1">
        <v>44180</v>
      </c>
      <c r="Q316">
        <v>3.5</v>
      </c>
      <c r="R316" t="s">
        <v>90</v>
      </c>
      <c r="S316" t="s">
        <v>196</v>
      </c>
      <c r="T316" t="s">
        <v>197</v>
      </c>
      <c r="U316">
        <v>0</v>
      </c>
      <c r="V316">
        <v>0</v>
      </c>
      <c r="W316">
        <v>4739</v>
      </c>
      <c r="X316">
        <v>0</v>
      </c>
      <c r="Y316">
        <v>422</v>
      </c>
      <c r="Z316">
        <v>5161</v>
      </c>
      <c r="AA316">
        <v>365</v>
      </c>
      <c r="AB316" t="s">
        <v>65</v>
      </c>
      <c r="AC316">
        <v>19.8</v>
      </c>
      <c r="AD316">
        <v>82</v>
      </c>
      <c r="AE316">
        <v>39</v>
      </c>
      <c r="AF316" t="s">
        <v>112</v>
      </c>
      <c r="AG316">
        <v>20</v>
      </c>
      <c r="AH316" t="s">
        <v>113</v>
      </c>
      <c r="AI316" t="s">
        <v>114</v>
      </c>
      <c r="AJ316" t="s">
        <v>72</v>
      </c>
      <c r="AK316" t="s">
        <v>71</v>
      </c>
      <c r="AL316" t="s">
        <v>70</v>
      </c>
      <c r="AM316" t="s">
        <v>70</v>
      </c>
      <c r="AN316" t="s">
        <v>72</v>
      </c>
      <c r="AO316" t="s">
        <v>227</v>
      </c>
      <c r="AP316" t="s">
        <v>72</v>
      </c>
      <c r="AQ316" t="s">
        <v>74</v>
      </c>
      <c r="AR316" s="1">
        <v>44092</v>
      </c>
      <c r="AS316" t="s">
        <v>137</v>
      </c>
      <c r="AT316" t="s">
        <v>71</v>
      </c>
      <c r="AU316">
        <v>244</v>
      </c>
      <c r="AV316" t="s">
        <v>76</v>
      </c>
    </row>
    <row r="317" spans="1:48" x14ac:dyDescent="0.25">
      <c r="A317" t="s">
        <v>604</v>
      </c>
      <c r="B317" t="s">
        <v>267</v>
      </c>
      <c r="C317" t="s">
        <v>121</v>
      </c>
      <c r="D317" t="s">
        <v>122</v>
      </c>
      <c r="E317">
        <v>42</v>
      </c>
      <c r="F317" t="s">
        <v>322</v>
      </c>
      <c r="G317" t="s">
        <v>285</v>
      </c>
      <c r="H317" t="s">
        <v>286</v>
      </c>
      <c r="I317" t="s">
        <v>253</v>
      </c>
      <c r="J317" t="s">
        <v>254</v>
      </c>
      <c r="K317" t="s">
        <v>255</v>
      </c>
      <c r="L317" t="s">
        <v>126</v>
      </c>
      <c r="M317" t="s">
        <v>59</v>
      </c>
      <c r="N317" t="s">
        <v>162</v>
      </c>
      <c r="O317" t="s">
        <v>61</v>
      </c>
      <c r="P317" s="1">
        <v>44853</v>
      </c>
      <c r="Q317">
        <v>1.6</v>
      </c>
      <c r="R317" t="s">
        <v>75</v>
      </c>
      <c r="S317" t="s">
        <v>219</v>
      </c>
      <c r="T317" t="s">
        <v>220</v>
      </c>
      <c r="U317">
        <v>0</v>
      </c>
      <c r="V317">
        <v>0</v>
      </c>
      <c r="W317">
        <v>7668</v>
      </c>
      <c r="X317">
        <v>0</v>
      </c>
      <c r="Y317">
        <v>266</v>
      </c>
      <c r="Z317">
        <v>7934</v>
      </c>
      <c r="AA317">
        <v>486</v>
      </c>
      <c r="AB317" t="s">
        <v>65</v>
      </c>
      <c r="AC317">
        <v>19.3</v>
      </c>
      <c r="AD317">
        <v>61</v>
      </c>
      <c r="AE317">
        <v>45</v>
      </c>
      <c r="AF317" t="s">
        <v>132</v>
      </c>
      <c r="AG317">
        <v>33</v>
      </c>
      <c r="AH317" t="s">
        <v>67</v>
      </c>
      <c r="AI317" t="s">
        <v>177</v>
      </c>
      <c r="AJ317" t="s">
        <v>72</v>
      </c>
      <c r="AK317" t="s">
        <v>70</v>
      </c>
      <c r="AL317" t="s">
        <v>70</v>
      </c>
      <c r="AM317" t="s">
        <v>70</v>
      </c>
      <c r="AN317" t="s">
        <v>72</v>
      </c>
      <c r="AO317" t="s">
        <v>287</v>
      </c>
      <c r="AP317" t="s">
        <v>287</v>
      </c>
      <c r="AQ317" t="s">
        <v>98</v>
      </c>
      <c r="AR317" s="1">
        <v>44978</v>
      </c>
      <c r="AS317" t="s">
        <v>118</v>
      </c>
      <c r="AT317" t="s">
        <v>70</v>
      </c>
      <c r="AU317">
        <v>-430</v>
      </c>
      <c r="AV317" t="s">
        <v>179</v>
      </c>
    </row>
    <row r="318" spans="1:48" x14ac:dyDescent="0.25">
      <c r="A318" t="s">
        <v>605</v>
      </c>
      <c r="B318" t="s">
        <v>377</v>
      </c>
      <c r="C318" t="s">
        <v>167</v>
      </c>
      <c r="D318" t="s">
        <v>51</v>
      </c>
      <c r="E318">
        <v>39</v>
      </c>
      <c r="F318" t="s">
        <v>241</v>
      </c>
      <c r="G318" t="s">
        <v>81</v>
      </c>
      <c r="H318" t="s">
        <v>82</v>
      </c>
      <c r="I318" t="s">
        <v>268</v>
      </c>
      <c r="J318" t="s">
        <v>269</v>
      </c>
      <c r="K318" t="s">
        <v>173</v>
      </c>
      <c r="L318" t="s">
        <v>86</v>
      </c>
      <c r="M318" t="s">
        <v>161</v>
      </c>
      <c r="N318" t="s">
        <v>128</v>
      </c>
      <c r="O318" t="s">
        <v>149</v>
      </c>
      <c r="P318" s="1">
        <v>40767</v>
      </c>
      <c r="Q318">
        <v>12.8</v>
      </c>
      <c r="R318" t="s">
        <v>129</v>
      </c>
      <c r="S318" t="s">
        <v>91</v>
      </c>
      <c r="T318" t="s">
        <v>92</v>
      </c>
      <c r="U318">
        <v>4</v>
      </c>
      <c r="V318">
        <v>0</v>
      </c>
      <c r="W318">
        <v>2504</v>
      </c>
      <c r="X318">
        <v>1929</v>
      </c>
      <c r="Y318">
        <v>422</v>
      </c>
      <c r="Z318">
        <v>4855</v>
      </c>
      <c r="AA318">
        <v>318</v>
      </c>
      <c r="AB318" t="s">
        <v>151</v>
      </c>
      <c r="AC318">
        <v>14.6</v>
      </c>
      <c r="AD318">
        <v>72</v>
      </c>
      <c r="AE318">
        <v>44</v>
      </c>
      <c r="AF318" t="s">
        <v>93</v>
      </c>
      <c r="AG318">
        <v>19</v>
      </c>
      <c r="AH318" t="s">
        <v>113</v>
      </c>
      <c r="AI318" t="s">
        <v>177</v>
      </c>
      <c r="AJ318" t="s">
        <v>69</v>
      </c>
      <c r="AK318" t="s">
        <v>70</v>
      </c>
      <c r="AL318" t="s">
        <v>71</v>
      </c>
      <c r="AM318" t="s">
        <v>71</v>
      </c>
      <c r="AN318" t="s">
        <v>202</v>
      </c>
      <c r="AO318" t="s">
        <v>72</v>
      </c>
      <c r="AP318" t="s">
        <v>227</v>
      </c>
      <c r="AQ318" t="s">
        <v>136</v>
      </c>
      <c r="AR318" s="1">
        <v>40791</v>
      </c>
      <c r="AS318" t="s">
        <v>198</v>
      </c>
      <c r="AT318" t="s">
        <v>71</v>
      </c>
      <c r="AU318">
        <v>101</v>
      </c>
      <c r="AV318" t="s">
        <v>179</v>
      </c>
    </row>
    <row r="319" spans="1:48" x14ac:dyDescent="0.25">
      <c r="A319" t="s">
        <v>606</v>
      </c>
      <c r="B319" t="s">
        <v>259</v>
      </c>
      <c r="C319" t="s">
        <v>233</v>
      </c>
      <c r="D319" t="s">
        <v>51</v>
      </c>
      <c r="E319">
        <v>37</v>
      </c>
      <c r="F319" t="s">
        <v>123</v>
      </c>
      <c r="G319" t="s">
        <v>53</v>
      </c>
      <c r="H319" t="s">
        <v>54</v>
      </c>
      <c r="I319" t="s">
        <v>171</v>
      </c>
      <c r="J319" t="s">
        <v>172</v>
      </c>
      <c r="K319" t="s">
        <v>173</v>
      </c>
      <c r="L319" t="s">
        <v>174</v>
      </c>
      <c r="M319" t="s">
        <v>87</v>
      </c>
      <c r="N319" t="s">
        <v>128</v>
      </c>
      <c r="O319" t="s">
        <v>109</v>
      </c>
      <c r="P319" s="1">
        <v>39579</v>
      </c>
      <c r="Q319">
        <v>16.100000000000001</v>
      </c>
      <c r="R319" t="s">
        <v>195</v>
      </c>
      <c r="S319" t="s">
        <v>196</v>
      </c>
      <c r="T319" t="s">
        <v>197</v>
      </c>
      <c r="U319">
        <v>0</v>
      </c>
      <c r="V319">
        <v>0</v>
      </c>
      <c r="W319">
        <v>4739</v>
      </c>
      <c r="X319">
        <v>1173</v>
      </c>
      <c r="Y319">
        <v>422</v>
      </c>
      <c r="Z319">
        <v>6334</v>
      </c>
      <c r="AA319">
        <v>443</v>
      </c>
      <c r="AB319" t="s">
        <v>65</v>
      </c>
      <c r="AC319">
        <v>18.8</v>
      </c>
      <c r="AD319">
        <v>67</v>
      </c>
      <c r="AE319">
        <v>63</v>
      </c>
      <c r="AF319" t="s">
        <v>132</v>
      </c>
      <c r="AG319">
        <v>29</v>
      </c>
      <c r="AH319" t="s">
        <v>113</v>
      </c>
      <c r="AI319" t="s">
        <v>152</v>
      </c>
      <c r="AJ319" t="s">
        <v>72</v>
      </c>
      <c r="AK319" t="s">
        <v>70</v>
      </c>
      <c r="AL319" t="s">
        <v>71</v>
      </c>
      <c r="AM319" t="s">
        <v>71</v>
      </c>
      <c r="AN319" t="s">
        <v>72</v>
      </c>
      <c r="AO319" t="s">
        <v>72</v>
      </c>
      <c r="AP319" t="s">
        <v>72</v>
      </c>
      <c r="AQ319" t="s">
        <v>136</v>
      </c>
      <c r="AR319" s="1">
        <v>42918</v>
      </c>
      <c r="AS319" t="s">
        <v>118</v>
      </c>
      <c r="AT319" t="s">
        <v>71</v>
      </c>
      <c r="AU319">
        <v>1360</v>
      </c>
      <c r="AV319" t="s">
        <v>76</v>
      </c>
    </row>
    <row r="320" spans="1:48" x14ac:dyDescent="0.25">
      <c r="A320" t="s">
        <v>607</v>
      </c>
      <c r="B320" t="s">
        <v>120</v>
      </c>
      <c r="C320" t="s">
        <v>252</v>
      </c>
      <c r="D320" t="s">
        <v>51</v>
      </c>
      <c r="E320">
        <v>38</v>
      </c>
      <c r="F320" t="s">
        <v>52</v>
      </c>
      <c r="G320" t="s">
        <v>183</v>
      </c>
      <c r="H320" t="s">
        <v>184</v>
      </c>
      <c r="I320" t="s">
        <v>236</v>
      </c>
      <c r="J320" t="s">
        <v>237</v>
      </c>
      <c r="K320" t="s">
        <v>238</v>
      </c>
      <c r="L320" t="s">
        <v>58</v>
      </c>
      <c r="M320" t="s">
        <v>207</v>
      </c>
      <c r="N320" t="s">
        <v>60</v>
      </c>
      <c r="O320" t="s">
        <v>61</v>
      </c>
      <c r="P320" s="1">
        <v>41445</v>
      </c>
      <c r="Q320">
        <v>10.9</v>
      </c>
      <c r="R320" t="s">
        <v>90</v>
      </c>
      <c r="S320" t="s">
        <v>130</v>
      </c>
      <c r="T320" t="s">
        <v>131</v>
      </c>
      <c r="U320">
        <v>6</v>
      </c>
      <c r="V320">
        <v>1</v>
      </c>
      <c r="W320">
        <v>5696</v>
      </c>
      <c r="X320">
        <v>0</v>
      </c>
      <c r="Y320">
        <v>266</v>
      </c>
      <c r="Z320">
        <v>5962</v>
      </c>
      <c r="AA320">
        <v>576</v>
      </c>
      <c r="AB320" t="s">
        <v>65</v>
      </c>
      <c r="AC320">
        <v>14.4</v>
      </c>
      <c r="AD320">
        <v>31</v>
      </c>
      <c r="AE320">
        <v>77</v>
      </c>
      <c r="AF320" t="s">
        <v>66</v>
      </c>
      <c r="AG320">
        <v>38</v>
      </c>
      <c r="AH320" t="s">
        <v>94</v>
      </c>
      <c r="AI320" t="s">
        <v>114</v>
      </c>
      <c r="AJ320" t="s">
        <v>69</v>
      </c>
      <c r="AK320" t="s">
        <v>70</v>
      </c>
      <c r="AL320" t="s">
        <v>71</v>
      </c>
      <c r="AM320" t="s">
        <v>70</v>
      </c>
      <c r="AN320" t="s">
        <v>72</v>
      </c>
      <c r="AO320" t="s">
        <v>287</v>
      </c>
      <c r="AP320" t="s">
        <v>72</v>
      </c>
      <c r="AQ320" t="s">
        <v>74</v>
      </c>
      <c r="AR320" s="1">
        <v>41912</v>
      </c>
      <c r="AS320" t="s">
        <v>75</v>
      </c>
      <c r="AT320" t="s">
        <v>71</v>
      </c>
      <c r="AU320">
        <v>985</v>
      </c>
      <c r="AV320" t="s">
        <v>76</v>
      </c>
    </row>
    <row r="321" spans="1:48" x14ac:dyDescent="0.25">
      <c r="A321" t="s">
        <v>608</v>
      </c>
      <c r="B321" t="s">
        <v>120</v>
      </c>
      <c r="C321" t="s">
        <v>50</v>
      </c>
      <c r="D321" t="s">
        <v>51</v>
      </c>
      <c r="E321">
        <v>18</v>
      </c>
      <c r="F321" t="s">
        <v>248</v>
      </c>
      <c r="G321" t="s">
        <v>142</v>
      </c>
      <c r="H321" t="s">
        <v>143</v>
      </c>
      <c r="I321" t="s">
        <v>273</v>
      </c>
      <c r="J321" t="s">
        <v>274</v>
      </c>
      <c r="K321" t="s">
        <v>57</v>
      </c>
      <c r="L321" t="s">
        <v>201</v>
      </c>
      <c r="M321" t="s">
        <v>127</v>
      </c>
      <c r="N321" t="s">
        <v>60</v>
      </c>
      <c r="O321" t="s">
        <v>149</v>
      </c>
      <c r="P321" s="1">
        <v>43244</v>
      </c>
      <c r="Q321">
        <v>6</v>
      </c>
      <c r="R321" t="s">
        <v>150</v>
      </c>
      <c r="S321" t="s">
        <v>163</v>
      </c>
      <c r="T321" t="s">
        <v>164</v>
      </c>
      <c r="U321">
        <v>9</v>
      </c>
      <c r="V321">
        <v>1</v>
      </c>
      <c r="W321">
        <v>5473</v>
      </c>
      <c r="X321">
        <v>0</v>
      </c>
      <c r="Y321">
        <v>422</v>
      </c>
      <c r="Z321">
        <v>5895</v>
      </c>
      <c r="AA321">
        <v>427</v>
      </c>
      <c r="AB321" t="s">
        <v>65</v>
      </c>
      <c r="AC321">
        <v>17.899999999999999</v>
      </c>
      <c r="AD321">
        <v>22</v>
      </c>
      <c r="AE321">
        <v>45</v>
      </c>
      <c r="AF321" t="s">
        <v>66</v>
      </c>
      <c r="AG321">
        <v>34</v>
      </c>
      <c r="AH321" t="s">
        <v>67</v>
      </c>
      <c r="AI321" t="s">
        <v>68</v>
      </c>
      <c r="AJ321" t="s">
        <v>72</v>
      </c>
      <c r="AK321" t="s">
        <v>70</v>
      </c>
      <c r="AL321" t="s">
        <v>71</v>
      </c>
      <c r="AM321" t="s">
        <v>70</v>
      </c>
      <c r="AN321" t="s">
        <v>243</v>
      </c>
      <c r="AO321" t="s">
        <v>116</v>
      </c>
      <c r="AP321" t="s">
        <v>72</v>
      </c>
      <c r="AQ321" t="s">
        <v>74</v>
      </c>
      <c r="AR321" s="1">
        <v>44701</v>
      </c>
      <c r="AS321" t="s">
        <v>198</v>
      </c>
      <c r="AT321" t="s">
        <v>71</v>
      </c>
      <c r="AU321">
        <v>957</v>
      </c>
      <c r="AV321" t="s">
        <v>76</v>
      </c>
    </row>
    <row r="322" spans="1:48" x14ac:dyDescent="0.25">
      <c r="A322" t="s">
        <v>609</v>
      </c>
      <c r="B322" t="s">
        <v>267</v>
      </c>
      <c r="C322" t="s">
        <v>140</v>
      </c>
      <c r="D322" t="s">
        <v>51</v>
      </c>
      <c r="E322">
        <v>42</v>
      </c>
      <c r="F322" t="s">
        <v>123</v>
      </c>
      <c r="G322" t="s">
        <v>183</v>
      </c>
      <c r="H322" t="s">
        <v>184</v>
      </c>
      <c r="I322" t="s">
        <v>236</v>
      </c>
      <c r="J322" t="s">
        <v>237</v>
      </c>
      <c r="K322" t="s">
        <v>238</v>
      </c>
      <c r="L322" t="s">
        <v>106</v>
      </c>
      <c r="M322" t="s">
        <v>147</v>
      </c>
      <c r="N322" t="s">
        <v>60</v>
      </c>
      <c r="O322" t="s">
        <v>61</v>
      </c>
      <c r="P322" s="1">
        <v>44702</v>
      </c>
      <c r="Q322">
        <v>2</v>
      </c>
      <c r="R322" t="s">
        <v>129</v>
      </c>
      <c r="S322" t="s">
        <v>130</v>
      </c>
      <c r="T322" t="s">
        <v>131</v>
      </c>
      <c r="U322">
        <v>0</v>
      </c>
      <c r="V322">
        <v>0</v>
      </c>
      <c r="W322">
        <v>5696</v>
      </c>
      <c r="X322">
        <v>2002</v>
      </c>
      <c r="Y322">
        <v>266</v>
      </c>
      <c r="Z322">
        <v>7964</v>
      </c>
      <c r="AA322">
        <v>438</v>
      </c>
      <c r="AB322" t="s">
        <v>65</v>
      </c>
      <c r="AC322">
        <v>16.600000000000001</v>
      </c>
      <c r="AD322">
        <v>75</v>
      </c>
      <c r="AE322">
        <v>32</v>
      </c>
      <c r="AF322" t="s">
        <v>93</v>
      </c>
      <c r="AG322">
        <v>20</v>
      </c>
      <c r="AH322" t="s">
        <v>113</v>
      </c>
      <c r="AI322" t="s">
        <v>152</v>
      </c>
      <c r="AJ322" t="s">
        <v>188</v>
      </c>
      <c r="AK322" t="s">
        <v>70</v>
      </c>
      <c r="AL322" t="s">
        <v>70</v>
      </c>
      <c r="AM322" t="s">
        <v>70</v>
      </c>
      <c r="AN322" t="s">
        <v>202</v>
      </c>
      <c r="AO322" t="s">
        <v>72</v>
      </c>
      <c r="AP322" t="s">
        <v>72</v>
      </c>
      <c r="AQ322" t="s">
        <v>136</v>
      </c>
      <c r="AR322" s="1">
        <v>45256</v>
      </c>
      <c r="AS322" t="s">
        <v>75</v>
      </c>
      <c r="AT322" t="s">
        <v>71</v>
      </c>
      <c r="AU322">
        <v>691</v>
      </c>
      <c r="AV322" t="s">
        <v>76</v>
      </c>
    </row>
    <row r="323" spans="1:48" x14ac:dyDescent="0.25">
      <c r="A323" t="s">
        <v>610</v>
      </c>
      <c r="B323" t="s">
        <v>205</v>
      </c>
      <c r="C323" t="s">
        <v>257</v>
      </c>
      <c r="D323" t="s">
        <v>51</v>
      </c>
      <c r="E323">
        <v>29</v>
      </c>
      <c r="F323" t="s">
        <v>248</v>
      </c>
      <c r="G323" t="s">
        <v>156</v>
      </c>
      <c r="H323" t="s">
        <v>157</v>
      </c>
      <c r="I323" t="s">
        <v>55</v>
      </c>
      <c r="J323" t="s">
        <v>56</v>
      </c>
      <c r="K323" t="s">
        <v>57</v>
      </c>
      <c r="L323" t="s">
        <v>58</v>
      </c>
      <c r="M323" t="s">
        <v>87</v>
      </c>
      <c r="N323" t="s">
        <v>148</v>
      </c>
      <c r="O323" t="s">
        <v>89</v>
      </c>
      <c r="P323" s="1">
        <v>39601</v>
      </c>
      <c r="Q323">
        <v>16</v>
      </c>
      <c r="R323" t="s">
        <v>195</v>
      </c>
      <c r="S323" t="s">
        <v>63</v>
      </c>
      <c r="T323" t="s">
        <v>64</v>
      </c>
      <c r="U323">
        <v>0</v>
      </c>
      <c r="V323">
        <v>0</v>
      </c>
      <c r="W323">
        <v>4836</v>
      </c>
      <c r="X323">
        <v>2085</v>
      </c>
      <c r="Y323">
        <v>266</v>
      </c>
      <c r="Z323">
        <v>7187</v>
      </c>
      <c r="AA323">
        <v>448</v>
      </c>
      <c r="AB323" t="s">
        <v>65</v>
      </c>
      <c r="AC323">
        <v>13.3</v>
      </c>
      <c r="AD323">
        <v>20</v>
      </c>
      <c r="AE323">
        <v>39</v>
      </c>
      <c r="AF323" t="s">
        <v>66</v>
      </c>
      <c r="AG323">
        <v>31</v>
      </c>
      <c r="AH323" t="s">
        <v>67</v>
      </c>
      <c r="AI323" t="s">
        <v>177</v>
      </c>
      <c r="AJ323" t="s">
        <v>188</v>
      </c>
      <c r="AK323" t="s">
        <v>71</v>
      </c>
      <c r="AL323" t="s">
        <v>70</v>
      </c>
      <c r="AM323" t="s">
        <v>70</v>
      </c>
      <c r="AN323" t="s">
        <v>72</v>
      </c>
      <c r="AO323" t="s">
        <v>97</v>
      </c>
      <c r="AP323" t="s">
        <v>72</v>
      </c>
      <c r="AQ323" t="s">
        <v>98</v>
      </c>
      <c r="AR323" s="1">
        <v>43222</v>
      </c>
      <c r="AS323" t="s">
        <v>137</v>
      </c>
      <c r="AT323" t="s">
        <v>71</v>
      </c>
      <c r="AU323">
        <v>556</v>
      </c>
      <c r="AV323" t="s">
        <v>76</v>
      </c>
    </row>
    <row r="324" spans="1:48" x14ac:dyDescent="0.25">
      <c r="A324" t="s">
        <v>611</v>
      </c>
      <c r="B324" t="s">
        <v>229</v>
      </c>
      <c r="C324" t="s">
        <v>206</v>
      </c>
      <c r="D324" t="s">
        <v>122</v>
      </c>
      <c r="E324">
        <v>40</v>
      </c>
      <c r="F324" t="s">
        <v>168</v>
      </c>
      <c r="G324" t="s">
        <v>124</v>
      </c>
      <c r="H324" t="s">
        <v>125</v>
      </c>
      <c r="I324" t="s">
        <v>171</v>
      </c>
      <c r="J324" t="s">
        <v>172</v>
      </c>
      <c r="K324" t="s">
        <v>173</v>
      </c>
      <c r="L324" t="s">
        <v>201</v>
      </c>
      <c r="M324" t="s">
        <v>249</v>
      </c>
      <c r="N324" t="s">
        <v>60</v>
      </c>
      <c r="O324" t="s">
        <v>176</v>
      </c>
      <c r="P324" s="1">
        <v>40701</v>
      </c>
      <c r="Q324">
        <v>13</v>
      </c>
      <c r="R324" t="s">
        <v>195</v>
      </c>
      <c r="S324" t="s">
        <v>91</v>
      </c>
      <c r="T324" t="s">
        <v>92</v>
      </c>
      <c r="U324">
        <v>13</v>
      </c>
      <c r="V324">
        <v>2</v>
      </c>
      <c r="W324">
        <v>2730</v>
      </c>
      <c r="X324">
        <v>0</v>
      </c>
      <c r="Y324">
        <v>422</v>
      </c>
      <c r="Z324">
        <v>3152</v>
      </c>
      <c r="AA324">
        <v>450</v>
      </c>
      <c r="AB324" t="s">
        <v>65</v>
      </c>
      <c r="AC324">
        <v>16.2</v>
      </c>
      <c r="AD324">
        <v>52</v>
      </c>
      <c r="AE324">
        <v>69</v>
      </c>
      <c r="AF324" t="s">
        <v>112</v>
      </c>
      <c r="AG324">
        <v>18</v>
      </c>
      <c r="AH324" t="s">
        <v>113</v>
      </c>
      <c r="AI324" t="s">
        <v>177</v>
      </c>
      <c r="AJ324" t="s">
        <v>72</v>
      </c>
      <c r="AK324" t="s">
        <v>71</v>
      </c>
      <c r="AL324" t="s">
        <v>70</v>
      </c>
      <c r="AM324" t="s">
        <v>70</v>
      </c>
      <c r="AN324" t="s">
        <v>243</v>
      </c>
      <c r="AO324" t="s">
        <v>72</v>
      </c>
      <c r="AP324" t="s">
        <v>72</v>
      </c>
      <c r="AQ324" t="s">
        <v>74</v>
      </c>
      <c r="AR324" s="1">
        <v>43622</v>
      </c>
      <c r="AS324" t="s">
        <v>118</v>
      </c>
      <c r="AT324" t="s">
        <v>71</v>
      </c>
      <c r="AU324">
        <v>148</v>
      </c>
      <c r="AV324" t="s">
        <v>179</v>
      </c>
    </row>
    <row r="325" spans="1:48" x14ac:dyDescent="0.25">
      <c r="A325" t="s">
        <v>612</v>
      </c>
      <c r="B325" t="s">
        <v>259</v>
      </c>
      <c r="C325" t="s">
        <v>313</v>
      </c>
      <c r="D325" t="s">
        <v>122</v>
      </c>
      <c r="E325">
        <v>21</v>
      </c>
      <c r="F325" t="s">
        <v>80</v>
      </c>
      <c r="G325" t="s">
        <v>53</v>
      </c>
      <c r="H325" t="s">
        <v>54</v>
      </c>
      <c r="I325" t="s">
        <v>253</v>
      </c>
      <c r="J325" t="s">
        <v>254</v>
      </c>
      <c r="K325" t="s">
        <v>255</v>
      </c>
      <c r="L325" t="s">
        <v>126</v>
      </c>
      <c r="M325" t="s">
        <v>175</v>
      </c>
      <c r="N325" t="s">
        <v>60</v>
      </c>
      <c r="O325" t="s">
        <v>176</v>
      </c>
      <c r="P325" s="1">
        <v>42169</v>
      </c>
      <c r="Q325">
        <v>9</v>
      </c>
      <c r="R325" t="s">
        <v>208</v>
      </c>
      <c r="S325" t="s">
        <v>91</v>
      </c>
      <c r="T325" t="s">
        <v>92</v>
      </c>
      <c r="U325">
        <v>14</v>
      </c>
      <c r="V325">
        <v>2</v>
      </c>
      <c r="W325">
        <v>4739</v>
      </c>
      <c r="X325">
        <v>0</v>
      </c>
      <c r="Y325">
        <v>422</v>
      </c>
      <c r="Z325">
        <v>5161</v>
      </c>
      <c r="AA325">
        <v>511</v>
      </c>
      <c r="AB325" t="s">
        <v>65</v>
      </c>
      <c r="AC325">
        <v>14</v>
      </c>
      <c r="AD325">
        <v>26</v>
      </c>
      <c r="AE325">
        <v>55</v>
      </c>
      <c r="AF325" t="s">
        <v>93</v>
      </c>
      <c r="AG325">
        <v>28</v>
      </c>
      <c r="AH325" t="s">
        <v>113</v>
      </c>
      <c r="AI325" t="s">
        <v>95</v>
      </c>
      <c r="AJ325" t="s">
        <v>69</v>
      </c>
      <c r="AK325" t="s">
        <v>70</v>
      </c>
      <c r="AL325" t="s">
        <v>70</v>
      </c>
      <c r="AM325" t="s">
        <v>70</v>
      </c>
      <c r="AN325" t="s">
        <v>231</v>
      </c>
      <c r="AO325" t="s">
        <v>221</v>
      </c>
      <c r="AP325" t="s">
        <v>72</v>
      </c>
      <c r="AQ325" t="s">
        <v>117</v>
      </c>
      <c r="AR325" s="1">
        <v>42601</v>
      </c>
      <c r="AS325" t="s">
        <v>137</v>
      </c>
      <c r="AT325" t="s">
        <v>71</v>
      </c>
      <c r="AU325">
        <v>374</v>
      </c>
      <c r="AV325" t="s">
        <v>76</v>
      </c>
    </row>
    <row r="326" spans="1:48" x14ac:dyDescent="0.25">
      <c r="A326" t="s">
        <v>613</v>
      </c>
      <c r="B326" t="s">
        <v>100</v>
      </c>
      <c r="C326" t="s">
        <v>191</v>
      </c>
      <c r="D326" t="s">
        <v>51</v>
      </c>
      <c r="E326">
        <v>39</v>
      </c>
      <c r="F326" t="s">
        <v>80</v>
      </c>
      <c r="G326" t="s">
        <v>156</v>
      </c>
      <c r="H326" t="s">
        <v>157</v>
      </c>
      <c r="I326" t="s">
        <v>268</v>
      </c>
      <c r="J326" t="s">
        <v>269</v>
      </c>
      <c r="K326" t="s">
        <v>173</v>
      </c>
      <c r="L326" t="s">
        <v>86</v>
      </c>
      <c r="M326" t="s">
        <v>212</v>
      </c>
      <c r="N326" t="s">
        <v>162</v>
      </c>
      <c r="O326" t="s">
        <v>149</v>
      </c>
      <c r="P326" s="1">
        <v>38796</v>
      </c>
      <c r="Q326">
        <v>18.2</v>
      </c>
      <c r="R326" t="s">
        <v>90</v>
      </c>
      <c r="S326" t="s">
        <v>130</v>
      </c>
      <c r="T326" t="s">
        <v>131</v>
      </c>
      <c r="U326">
        <v>0</v>
      </c>
      <c r="V326">
        <v>0</v>
      </c>
      <c r="W326">
        <v>4836</v>
      </c>
      <c r="X326">
        <v>2200</v>
      </c>
      <c r="Y326">
        <v>266</v>
      </c>
      <c r="Z326">
        <v>7302</v>
      </c>
      <c r="AA326">
        <v>332</v>
      </c>
      <c r="AB326" t="s">
        <v>151</v>
      </c>
      <c r="AC326">
        <v>14.8</v>
      </c>
      <c r="AD326">
        <v>60</v>
      </c>
      <c r="AE326">
        <v>41</v>
      </c>
      <c r="AF326" t="s">
        <v>93</v>
      </c>
      <c r="AG326">
        <v>18</v>
      </c>
      <c r="AH326" t="s">
        <v>113</v>
      </c>
      <c r="AI326" t="s">
        <v>114</v>
      </c>
      <c r="AJ326" t="s">
        <v>69</v>
      </c>
      <c r="AK326" t="s">
        <v>70</v>
      </c>
      <c r="AL326" t="s">
        <v>70</v>
      </c>
      <c r="AM326" t="s">
        <v>70</v>
      </c>
      <c r="AN326" t="s">
        <v>72</v>
      </c>
      <c r="AO326" t="s">
        <v>134</v>
      </c>
      <c r="AP326" t="s">
        <v>72</v>
      </c>
      <c r="AQ326" t="s">
        <v>117</v>
      </c>
      <c r="AR326" s="1">
        <v>42228</v>
      </c>
      <c r="AS326" t="s">
        <v>137</v>
      </c>
      <c r="AT326" t="s">
        <v>71</v>
      </c>
      <c r="AU326">
        <v>900</v>
      </c>
      <c r="AV326" t="s">
        <v>76</v>
      </c>
    </row>
    <row r="327" spans="1:48" x14ac:dyDescent="0.25">
      <c r="A327" t="s">
        <v>614</v>
      </c>
      <c r="B327" t="s">
        <v>263</v>
      </c>
      <c r="C327" t="s">
        <v>264</v>
      </c>
      <c r="D327" t="s">
        <v>51</v>
      </c>
      <c r="E327">
        <v>22</v>
      </c>
      <c r="F327" t="s">
        <v>141</v>
      </c>
      <c r="G327" t="s">
        <v>301</v>
      </c>
      <c r="H327" t="s">
        <v>302</v>
      </c>
      <c r="I327" t="s">
        <v>253</v>
      </c>
      <c r="J327" t="s">
        <v>254</v>
      </c>
      <c r="K327" t="s">
        <v>255</v>
      </c>
      <c r="L327" t="s">
        <v>126</v>
      </c>
      <c r="M327" t="s">
        <v>249</v>
      </c>
      <c r="N327" t="s">
        <v>148</v>
      </c>
      <c r="O327" t="s">
        <v>149</v>
      </c>
      <c r="P327" s="1">
        <v>44060</v>
      </c>
      <c r="Q327">
        <v>3.8</v>
      </c>
      <c r="R327" t="s">
        <v>195</v>
      </c>
      <c r="S327" t="s">
        <v>91</v>
      </c>
      <c r="T327" t="s">
        <v>92</v>
      </c>
      <c r="U327">
        <v>11</v>
      </c>
      <c r="V327">
        <v>1</v>
      </c>
      <c r="W327">
        <v>4188</v>
      </c>
      <c r="X327">
        <v>1968</v>
      </c>
      <c r="Y327">
        <v>266</v>
      </c>
      <c r="Z327">
        <v>6422</v>
      </c>
      <c r="AA327">
        <v>595</v>
      </c>
      <c r="AB327" t="s">
        <v>65</v>
      </c>
      <c r="AC327">
        <v>19.5</v>
      </c>
      <c r="AD327">
        <v>55</v>
      </c>
      <c r="AE327">
        <v>80</v>
      </c>
      <c r="AF327" t="s">
        <v>93</v>
      </c>
      <c r="AG327">
        <v>18</v>
      </c>
      <c r="AH327" t="s">
        <v>113</v>
      </c>
      <c r="AI327" t="s">
        <v>68</v>
      </c>
      <c r="AJ327" t="s">
        <v>96</v>
      </c>
      <c r="AK327" t="s">
        <v>71</v>
      </c>
      <c r="AL327" t="s">
        <v>71</v>
      </c>
      <c r="AM327" t="s">
        <v>70</v>
      </c>
      <c r="AN327" t="s">
        <v>133</v>
      </c>
      <c r="AO327" t="s">
        <v>72</v>
      </c>
      <c r="AP327" t="s">
        <v>116</v>
      </c>
      <c r="AQ327" t="s">
        <v>98</v>
      </c>
      <c r="AR327" s="1">
        <v>44663</v>
      </c>
      <c r="AS327" t="s">
        <v>137</v>
      </c>
      <c r="AT327" t="s">
        <v>71</v>
      </c>
      <c r="AU327">
        <v>576</v>
      </c>
      <c r="AV327" t="s">
        <v>76</v>
      </c>
    </row>
    <row r="328" spans="1:48" x14ac:dyDescent="0.25">
      <c r="A328" t="s">
        <v>615</v>
      </c>
      <c r="B328" t="s">
        <v>377</v>
      </c>
      <c r="C328" t="s">
        <v>200</v>
      </c>
      <c r="D328" t="s">
        <v>51</v>
      </c>
      <c r="E328">
        <v>40</v>
      </c>
      <c r="F328" t="s">
        <v>141</v>
      </c>
      <c r="G328" t="s">
        <v>279</v>
      </c>
      <c r="H328" t="s">
        <v>280</v>
      </c>
      <c r="I328" t="s">
        <v>158</v>
      </c>
      <c r="J328" t="s">
        <v>159</v>
      </c>
      <c r="K328" t="s">
        <v>160</v>
      </c>
      <c r="L328" t="s">
        <v>201</v>
      </c>
      <c r="M328" t="s">
        <v>127</v>
      </c>
      <c r="N328" t="s">
        <v>60</v>
      </c>
      <c r="O328" t="s">
        <v>149</v>
      </c>
      <c r="P328" s="1">
        <v>44461</v>
      </c>
      <c r="Q328">
        <v>2.7</v>
      </c>
      <c r="R328" t="s">
        <v>150</v>
      </c>
      <c r="S328" t="s">
        <v>130</v>
      </c>
      <c r="T328" t="s">
        <v>131</v>
      </c>
      <c r="U328">
        <v>13</v>
      </c>
      <c r="V328">
        <v>2</v>
      </c>
      <c r="W328">
        <v>6618</v>
      </c>
      <c r="X328">
        <v>0</v>
      </c>
      <c r="Y328">
        <v>266</v>
      </c>
      <c r="Z328">
        <v>6884</v>
      </c>
      <c r="AA328">
        <v>397</v>
      </c>
      <c r="AB328" t="s">
        <v>65</v>
      </c>
      <c r="AC328">
        <v>17.600000000000001</v>
      </c>
      <c r="AD328">
        <v>33</v>
      </c>
      <c r="AE328">
        <v>52</v>
      </c>
      <c r="AF328" t="s">
        <v>93</v>
      </c>
      <c r="AG328">
        <v>37</v>
      </c>
      <c r="AH328" t="s">
        <v>94</v>
      </c>
      <c r="AI328" t="s">
        <v>95</v>
      </c>
      <c r="AJ328" t="s">
        <v>96</v>
      </c>
      <c r="AK328" t="s">
        <v>70</v>
      </c>
      <c r="AL328" t="s">
        <v>70</v>
      </c>
      <c r="AM328" t="s">
        <v>71</v>
      </c>
      <c r="AN328" t="s">
        <v>243</v>
      </c>
      <c r="AO328" t="s">
        <v>116</v>
      </c>
      <c r="AP328" t="s">
        <v>221</v>
      </c>
      <c r="AQ328" t="s">
        <v>117</v>
      </c>
      <c r="AR328" s="1">
        <v>45307</v>
      </c>
      <c r="AS328" t="s">
        <v>198</v>
      </c>
      <c r="AT328" t="s">
        <v>71</v>
      </c>
      <c r="AU328">
        <v>1244</v>
      </c>
      <c r="AV328" t="s">
        <v>76</v>
      </c>
    </row>
    <row r="329" spans="1:48" x14ac:dyDescent="0.25">
      <c r="A329" t="s">
        <v>616</v>
      </c>
      <c r="B329" t="s">
        <v>181</v>
      </c>
      <c r="C329" t="s">
        <v>140</v>
      </c>
      <c r="D329" t="s">
        <v>51</v>
      </c>
      <c r="E329">
        <v>37</v>
      </c>
      <c r="F329" t="s">
        <v>52</v>
      </c>
      <c r="G329" t="s">
        <v>279</v>
      </c>
      <c r="H329" t="s">
        <v>280</v>
      </c>
      <c r="I329" t="s">
        <v>253</v>
      </c>
      <c r="J329" t="s">
        <v>254</v>
      </c>
      <c r="K329" t="s">
        <v>255</v>
      </c>
      <c r="L329" t="s">
        <v>86</v>
      </c>
      <c r="M329" t="s">
        <v>275</v>
      </c>
      <c r="N329" t="s">
        <v>148</v>
      </c>
      <c r="O329" t="s">
        <v>61</v>
      </c>
      <c r="P329" s="1">
        <v>39685</v>
      </c>
      <c r="Q329">
        <v>15.8</v>
      </c>
      <c r="R329" t="s">
        <v>90</v>
      </c>
      <c r="S329" t="s">
        <v>63</v>
      </c>
      <c r="T329" t="s">
        <v>64</v>
      </c>
      <c r="U329">
        <v>0</v>
      </c>
      <c r="V329">
        <v>0</v>
      </c>
      <c r="W329">
        <v>6618</v>
      </c>
      <c r="X329">
        <v>1692</v>
      </c>
      <c r="Y329">
        <v>266</v>
      </c>
      <c r="Z329">
        <v>8576</v>
      </c>
      <c r="AA329">
        <v>513</v>
      </c>
      <c r="AB329" t="s">
        <v>65</v>
      </c>
      <c r="AC329">
        <v>14.9</v>
      </c>
      <c r="AD329">
        <v>62</v>
      </c>
      <c r="AE329">
        <v>74</v>
      </c>
      <c r="AF329" t="s">
        <v>112</v>
      </c>
      <c r="AG329">
        <v>38</v>
      </c>
      <c r="AH329" t="s">
        <v>94</v>
      </c>
      <c r="AI329" t="s">
        <v>177</v>
      </c>
      <c r="AJ329" t="s">
        <v>72</v>
      </c>
      <c r="AK329" t="s">
        <v>71</v>
      </c>
      <c r="AL329" t="s">
        <v>70</v>
      </c>
      <c r="AM329" t="s">
        <v>71</v>
      </c>
      <c r="AN329" t="s">
        <v>115</v>
      </c>
      <c r="AO329" t="s">
        <v>116</v>
      </c>
      <c r="AP329" t="s">
        <v>97</v>
      </c>
      <c r="AQ329" t="s">
        <v>136</v>
      </c>
      <c r="AR329" s="1">
        <v>43910</v>
      </c>
      <c r="AS329" t="s">
        <v>198</v>
      </c>
      <c r="AT329" t="s">
        <v>71</v>
      </c>
      <c r="AU329">
        <v>-92</v>
      </c>
      <c r="AV329" t="s">
        <v>179</v>
      </c>
    </row>
    <row r="330" spans="1:48" x14ac:dyDescent="0.25">
      <c r="A330" t="s">
        <v>617</v>
      </c>
      <c r="B330" t="s">
        <v>251</v>
      </c>
      <c r="C330" t="s">
        <v>246</v>
      </c>
      <c r="D330" t="s">
        <v>122</v>
      </c>
      <c r="E330">
        <v>26</v>
      </c>
      <c r="F330" t="s">
        <v>80</v>
      </c>
      <c r="G330" t="s">
        <v>298</v>
      </c>
      <c r="H330" t="s">
        <v>299</v>
      </c>
      <c r="I330" t="s">
        <v>158</v>
      </c>
      <c r="J330" t="s">
        <v>159</v>
      </c>
      <c r="K330" t="s">
        <v>160</v>
      </c>
      <c r="L330" t="s">
        <v>86</v>
      </c>
      <c r="M330" t="s">
        <v>212</v>
      </c>
      <c r="N330" t="s">
        <v>108</v>
      </c>
      <c r="O330" t="s">
        <v>149</v>
      </c>
      <c r="P330" s="1">
        <v>44717</v>
      </c>
      <c r="Q330">
        <v>2</v>
      </c>
      <c r="R330" t="s">
        <v>150</v>
      </c>
      <c r="S330" t="s">
        <v>91</v>
      </c>
      <c r="T330" t="s">
        <v>92</v>
      </c>
      <c r="U330">
        <v>12</v>
      </c>
      <c r="V330">
        <v>2</v>
      </c>
      <c r="W330">
        <v>2149</v>
      </c>
      <c r="X330">
        <v>0</v>
      </c>
      <c r="Y330">
        <v>422</v>
      </c>
      <c r="Z330">
        <v>2571</v>
      </c>
      <c r="AA330">
        <v>469</v>
      </c>
      <c r="AB330" t="s">
        <v>65</v>
      </c>
      <c r="AC330">
        <v>19.8</v>
      </c>
      <c r="AD330">
        <v>80</v>
      </c>
      <c r="AE330">
        <v>37</v>
      </c>
      <c r="AF330" t="s">
        <v>132</v>
      </c>
      <c r="AG330">
        <v>29</v>
      </c>
      <c r="AH330" t="s">
        <v>113</v>
      </c>
      <c r="AI330" t="s">
        <v>68</v>
      </c>
      <c r="AJ330" t="s">
        <v>96</v>
      </c>
      <c r="AK330" t="s">
        <v>70</v>
      </c>
      <c r="AL330" t="s">
        <v>70</v>
      </c>
      <c r="AM330" t="s">
        <v>70</v>
      </c>
      <c r="AN330" t="s">
        <v>270</v>
      </c>
      <c r="AO330" t="s">
        <v>72</v>
      </c>
      <c r="AP330" t="s">
        <v>72</v>
      </c>
      <c r="AQ330" t="s">
        <v>74</v>
      </c>
      <c r="AR330" s="1">
        <v>45411</v>
      </c>
      <c r="AS330" t="s">
        <v>198</v>
      </c>
      <c r="AT330" t="s">
        <v>71</v>
      </c>
      <c r="AU330">
        <v>-367</v>
      </c>
      <c r="AV330" t="s">
        <v>179</v>
      </c>
    </row>
    <row r="331" spans="1:48" x14ac:dyDescent="0.25">
      <c r="A331" t="s">
        <v>618</v>
      </c>
      <c r="B331" t="s">
        <v>377</v>
      </c>
      <c r="C331" t="s">
        <v>50</v>
      </c>
      <c r="D331" t="s">
        <v>51</v>
      </c>
      <c r="E331">
        <v>21</v>
      </c>
      <c r="F331" t="s">
        <v>192</v>
      </c>
      <c r="G331" t="s">
        <v>301</v>
      </c>
      <c r="H331" t="s">
        <v>302</v>
      </c>
      <c r="I331" t="s">
        <v>144</v>
      </c>
      <c r="J331" t="s">
        <v>145</v>
      </c>
      <c r="K331" t="s">
        <v>146</v>
      </c>
      <c r="L331" t="s">
        <v>201</v>
      </c>
      <c r="M331" t="s">
        <v>59</v>
      </c>
      <c r="N331" t="s">
        <v>148</v>
      </c>
      <c r="O331" t="s">
        <v>176</v>
      </c>
      <c r="P331" s="1">
        <v>41098</v>
      </c>
      <c r="Q331">
        <v>11.9</v>
      </c>
      <c r="R331" t="s">
        <v>75</v>
      </c>
      <c r="S331" t="s">
        <v>130</v>
      </c>
      <c r="T331" t="s">
        <v>131</v>
      </c>
      <c r="U331">
        <v>13</v>
      </c>
      <c r="V331">
        <v>2</v>
      </c>
      <c r="W331">
        <v>4188</v>
      </c>
      <c r="X331">
        <v>1295</v>
      </c>
      <c r="Y331">
        <v>266</v>
      </c>
      <c r="Z331">
        <v>5749</v>
      </c>
      <c r="AA331">
        <v>316</v>
      </c>
      <c r="AB331" t="s">
        <v>151</v>
      </c>
      <c r="AC331">
        <v>14.1</v>
      </c>
      <c r="AD331">
        <v>61</v>
      </c>
      <c r="AE331">
        <v>55</v>
      </c>
      <c r="AF331" t="s">
        <v>132</v>
      </c>
      <c r="AG331">
        <v>20</v>
      </c>
      <c r="AH331" t="s">
        <v>113</v>
      </c>
      <c r="AI331" t="s">
        <v>152</v>
      </c>
      <c r="AJ331" t="s">
        <v>96</v>
      </c>
      <c r="AK331" t="s">
        <v>70</v>
      </c>
      <c r="AL331" t="s">
        <v>70</v>
      </c>
      <c r="AM331" t="s">
        <v>70</v>
      </c>
      <c r="AN331" t="s">
        <v>231</v>
      </c>
      <c r="AO331" t="s">
        <v>72</v>
      </c>
      <c r="AP331" t="s">
        <v>72</v>
      </c>
      <c r="AQ331" t="s">
        <v>98</v>
      </c>
      <c r="AR331" s="1">
        <v>43040</v>
      </c>
      <c r="AS331" t="s">
        <v>137</v>
      </c>
      <c r="AT331" t="s">
        <v>71</v>
      </c>
      <c r="AU331">
        <v>1764</v>
      </c>
      <c r="AV331" t="s">
        <v>76</v>
      </c>
    </row>
    <row r="332" spans="1:48" x14ac:dyDescent="0.25">
      <c r="A332" t="s">
        <v>619</v>
      </c>
      <c r="B332" t="s">
        <v>263</v>
      </c>
      <c r="C332" t="s">
        <v>360</v>
      </c>
      <c r="D332" t="s">
        <v>51</v>
      </c>
      <c r="E332">
        <v>26</v>
      </c>
      <c r="F332" t="s">
        <v>325</v>
      </c>
      <c r="G332" t="s">
        <v>193</v>
      </c>
      <c r="H332" t="s">
        <v>194</v>
      </c>
      <c r="I332" t="s">
        <v>171</v>
      </c>
      <c r="J332" t="s">
        <v>172</v>
      </c>
      <c r="K332" t="s">
        <v>173</v>
      </c>
      <c r="L332" t="s">
        <v>174</v>
      </c>
      <c r="M332" t="s">
        <v>212</v>
      </c>
      <c r="N332" t="s">
        <v>60</v>
      </c>
      <c r="O332" t="s">
        <v>61</v>
      </c>
      <c r="P332" s="1">
        <v>39606</v>
      </c>
      <c r="Q332">
        <v>16</v>
      </c>
      <c r="R332" t="s">
        <v>62</v>
      </c>
      <c r="S332" t="s">
        <v>163</v>
      </c>
      <c r="T332" t="s">
        <v>164</v>
      </c>
      <c r="U332">
        <v>2</v>
      </c>
      <c r="V332">
        <v>0</v>
      </c>
      <c r="W332">
        <v>2259</v>
      </c>
      <c r="X332">
        <v>1971</v>
      </c>
      <c r="Y332">
        <v>422</v>
      </c>
      <c r="Z332">
        <v>4652</v>
      </c>
      <c r="AA332">
        <v>522</v>
      </c>
      <c r="AB332" t="s">
        <v>65</v>
      </c>
      <c r="AC332">
        <v>12.7</v>
      </c>
      <c r="AD332">
        <v>66</v>
      </c>
      <c r="AE332">
        <v>38</v>
      </c>
      <c r="AF332" t="s">
        <v>112</v>
      </c>
      <c r="AG332">
        <v>21</v>
      </c>
      <c r="AH332" t="s">
        <v>113</v>
      </c>
      <c r="AI332" t="s">
        <v>114</v>
      </c>
      <c r="AJ332" t="s">
        <v>188</v>
      </c>
      <c r="AK332" t="s">
        <v>70</v>
      </c>
      <c r="AL332" t="s">
        <v>70</v>
      </c>
      <c r="AM332" t="s">
        <v>71</v>
      </c>
      <c r="AN332" t="s">
        <v>115</v>
      </c>
      <c r="AO332" t="s">
        <v>73</v>
      </c>
      <c r="AP332" t="s">
        <v>73</v>
      </c>
      <c r="AQ332" t="s">
        <v>117</v>
      </c>
      <c r="AR332" s="1">
        <v>40295</v>
      </c>
      <c r="AS332" t="s">
        <v>137</v>
      </c>
      <c r="AT332" t="s">
        <v>71</v>
      </c>
      <c r="AU332">
        <v>-46</v>
      </c>
      <c r="AV332" t="s">
        <v>179</v>
      </c>
    </row>
    <row r="333" spans="1:48" x14ac:dyDescent="0.25">
      <c r="A333" t="s">
        <v>620</v>
      </c>
      <c r="B333" t="s">
        <v>277</v>
      </c>
      <c r="C333" t="s">
        <v>330</v>
      </c>
      <c r="D333" t="s">
        <v>122</v>
      </c>
      <c r="E333">
        <v>27</v>
      </c>
      <c r="F333" t="s">
        <v>316</v>
      </c>
      <c r="G333" t="s">
        <v>81</v>
      </c>
      <c r="H333" t="s">
        <v>82</v>
      </c>
      <c r="I333" t="s">
        <v>273</v>
      </c>
      <c r="J333" t="s">
        <v>274</v>
      </c>
      <c r="K333" t="s">
        <v>57</v>
      </c>
      <c r="L333" t="s">
        <v>86</v>
      </c>
      <c r="M333" t="s">
        <v>207</v>
      </c>
      <c r="N333" t="s">
        <v>108</v>
      </c>
      <c r="O333" t="s">
        <v>89</v>
      </c>
      <c r="P333" s="1">
        <v>38986</v>
      </c>
      <c r="Q333">
        <v>17.7</v>
      </c>
      <c r="R333" t="s">
        <v>75</v>
      </c>
      <c r="S333" t="s">
        <v>91</v>
      </c>
      <c r="T333" t="s">
        <v>92</v>
      </c>
      <c r="U333">
        <v>11</v>
      </c>
      <c r="V333">
        <v>1</v>
      </c>
      <c r="W333">
        <v>2504</v>
      </c>
      <c r="X333">
        <v>1225</v>
      </c>
      <c r="Y333">
        <v>422</v>
      </c>
      <c r="Z333">
        <v>4151</v>
      </c>
      <c r="AA333">
        <v>501</v>
      </c>
      <c r="AB333" t="s">
        <v>65</v>
      </c>
      <c r="AC333">
        <v>13.4</v>
      </c>
      <c r="AD333">
        <v>70</v>
      </c>
      <c r="AE333">
        <v>31</v>
      </c>
      <c r="AF333" t="s">
        <v>66</v>
      </c>
      <c r="AG333">
        <v>31</v>
      </c>
      <c r="AH333" t="s">
        <v>67</v>
      </c>
      <c r="AI333" t="s">
        <v>114</v>
      </c>
      <c r="AJ333" t="s">
        <v>96</v>
      </c>
      <c r="AK333" t="s">
        <v>70</v>
      </c>
      <c r="AL333" t="s">
        <v>71</v>
      </c>
      <c r="AM333" t="s">
        <v>70</v>
      </c>
      <c r="AN333" t="s">
        <v>72</v>
      </c>
      <c r="AO333" t="s">
        <v>72</v>
      </c>
      <c r="AP333" t="s">
        <v>72</v>
      </c>
      <c r="AQ333" t="s">
        <v>74</v>
      </c>
      <c r="AR333" s="1">
        <v>41526</v>
      </c>
      <c r="AS333" t="s">
        <v>137</v>
      </c>
      <c r="AT333" t="s">
        <v>71</v>
      </c>
      <c r="AU333">
        <v>920</v>
      </c>
      <c r="AV333" t="s">
        <v>76</v>
      </c>
    </row>
    <row r="334" spans="1:48" x14ac:dyDescent="0.25">
      <c r="A334" t="s">
        <v>621</v>
      </c>
      <c r="B334" t="s">
        <v>100</v>
      </c>
      <c r="C334" t="s">
        <v>330</v>
      </c>
      <c r="D334" t="s">
        <v>122</v>
      </c>
      <c r="E334">
        <v>33</v>
      </c>
      <c r="F334" t="s">
        <v>211</v>
      </c>
      <c r="G334" t="s">
        <v>234</v>
      </c>
      <c r="H334" t="s">
        <v>235</v>
      </c>
      <c r="I334" t="s">
        <v>273</v>
      </c>
      <c r="J334" t="s">
        <v>274</v>
      </c>
      <c r="K334" t="s">
        <v>57</v>
      </c>
      <c r="L334" t="s">
        <v>201</v>
      </c>
      <c r="M334" t="s">
        <v>59</v>
      </c>
      <c r="N334" t="s">
        <v>88</v>
      </c>
      <c r="O334" t="s">
        <v>89</v>
      </c>
      <c r="P334" s="1">
        <v>39932</v>
      </c>
      <c r="Q334">
        <v>15.1</v>
      </c>
      <c r="R334" t="s">
        <v>62</v>
      </c>
      <c r="S334" t="s">
        <v>63</v>
      </c>
      <c r="T334" t="s">
        <v>64</v>
      </c>
      <c r="U334">
        <v>0</v>
      </c>
      <c r="V334">
        <v>0</v>
      </c>
      <c r="W334">
        <v>1917</v>
      </c>
      <c r="X334">
        <v>0</v>
      </c>
      <c r="Y334">
        <v>422</v>
      </c>
      <c r="Z334">
        <v>2339</v>
      </c>
      <c r="AA334">
        <v>400</v>
      </c>
      <c r="AB334" t="s">
        <v>65</v>
      </c>
      <c r="AC334">
        <v>16.899999999999999</v>
      </c>
      <c r="AD334">
        <v>68</v>
      </c>
      <c r="AE334">
        <v>39</v>
      </c>
      <c r="AF334" t="s">
        <v>112</v>
      </c>
      <c r="AG334">
        <v>19</v>
      </c>
      <c r="AH334" t="s">
        <v>113</v>
      </c>
      <c r="AI334" t="s">
        <v>177</v>
      </c>
      <c r="AJ334" t="s">
        <v>72</v>
      </c>
      <c r="AK334" t="s">
        <v>70</v>
      </c>
      <c r="AL334" t="s">
        <v>70</v>
      </c>
      <c r="AM334" t="s">
        <v>70</v>
      </c>
      <c r="AN334" t="s">
        <v>133</v>
      </c>
      <c r="AO334" t="s">
        <v>73</v>
      </c>
      <c r="AP334" t="s">
        <v>72</v>
      </c>
      <c r="AQ334" t="s">
        <v>98</v>
      </c>
      <c r="AR334" s="1">
        <v>42225</v>
      </c>
      <c r="AS334" t="s">
        <v>75</v>
      </c>
      <c r="AT334" t="s">
        <v>71</v>
      </c>
      <c r="AU334">
        <v>1413</v>
      </c>
      <c r="AV334" t="s">
        <v>76</v>
      </c>
    </row>
    <row r="335" spans="1:48" x14ac:dyDescent="0.25">
      <c r="A335" t="s">
        <v>622</v>
      </c>
      <c r="B335" t="s">
        <v>190</v>
      </c>
      <c r="C335" t="s">
        <v>369</v>
      </c>
      <c r="D335" t="s">
        <v>122</v>
      </c>
      <c r="E335">
        <v>44</v>
      </c>
      <c r="F335" t="s">
        <v>382</v>
      </c>
      <c r="G335" t="s">
        <v>156</v>
      </c>
      <c r="H335" t="s">
        <v>157</v>
      </c>
      <c r="I335" t="s">
        <v>236</v>
      </c>
      <c r="J335" t="s">
        <v>237</v>
      </c>
      <c r="K335" t="s">
        <v>238</v>
      </c>
      <c r="L335" t="s">
        <v>58</v>
      </c>
      <c r="M335" t="s">
        <v>207</v>
      </c>
      <c r="N335" t="s">
        <v>108</v>
      </c>
      <c r="O335" t="s">
        <v>149</v>
      </c>
      <c r="P335" s="1">
        <v>43981</v>
      </c>
      <c r="Q335">
        <v>4</v>
      </c>
      <c r="R335" t="s">
        <v>75</v>
      </c>
      <c r="S335" t="s">
        <v>196</v>
      </c>
      <c r="T335" t="s">
        <v>197</v>
      </c>
      <c r="U335">
        <v>0</v>
      </c>
      <c r="V335">
        <v>0</v>
      </c>
      <c r="W335">
        <v>4836</v>
      </c>
      <c r="X335">
        <v>1375</v>
      </c>
      <c r="Y335">
        <v>266</v>
      </c>
      <c r="Z335">
        <v>6477</v>
      </c>
      <c r="AA335">
        <v>590</v>
      </c>
      <c r="AB335" t="s">
        <v>65</v>
      </c>
      <c r="AC335">
        <v>13.4</v>
      </c>
      <c r="AD335">
        <v>70</v>
      </c>
      <c r="AE335">
        <v>79</v>
      </c>
      <c r="AF335" t="s">
        <v>112</v>
      </c>
      <c r="AG335">
        <v>21</v>
      </c>
      <c r="AH335" t="s">
        <v>113</v>
      </c>
      <c r="AI335" t="s">
        <v>152</v>
      </c>
      <c r="AJ335" t="s">
        <v>69</v>
      </c>
      <c r="AK335" t="s">
        <v>70</v>
      </c>
      <c r="AL335" t="s">
        <v>70</v>
      </c>
      <c r="AM335" t="s">
        <v>70</v>
      </c>
      <c r="AN335" t="s">
        <v>231</v>
      </c>
      <c r="AO335" t="s">
        <v>72</v>
      </c>
      <c r="AP335" t="s">
        <v>72</v>
      </c>
      <c r="AQ335" t="s">
        <v>74</v>
      </c>
      <c r="AR335" s="1">
        <v>44240</v>
      </c>
      <c r="AS335" t="s">
        <v>137</v>
      </c>
      <c r="AT335" t="s">
        <v>71</v>
      </c>
      <c r="AU335">
        <v>945</v>
      </c>
      <c r="AV335" t="s">
        <v>76</v>
      </c>
    </row>
    <row r="336" spans="1:48" x14ac:dyDescent="0.25">
      <c r="A336" t="s">
        <v>623</v>
      </c>
      <c r="B336" t="s">
        <v>229</v>
      </c>
      <c r="C336" t="s">
        <v>79</v>
      </c>
      <c r="D336" t="s">
        <v>51</v>
      </c>
      <c r="E336">
        <v>28</v>
      </c>
      <c r="F336" t="s">
        <v>316</v>
      </c>
      <c r="G336" t="s">
        <v>101</v>
      </c>
      <c r="H336" t="s">
        <v>102</v>
      </c>
      <c r="I336" t="s">
        <v>236</v>
      </c>
      <c r="J336" t="s">
        <v>237</v>
      </c>
      <c r="K336" t="s">
        <v>238</v>
      </c>
      <c r="L336" t="s">
        <v>174</v>
      </c>
      <c r="M336" t="s">
        <v>147</v>
      </c>
      <c r="N336" t="s">
        <v>88</v>
      </c>
      <c r="O336" t="s">
        <v>61</v>
      </c>
      <c r="P336" s="1">
        <v>41710</v>
      </c>
      <c r="Q336">
        <v>10.199999999999999</v>
      </c>
      <c r="R336" t="s">
        <v>195</v>
      </c>
      <c r="S336" t="s">
        <v>110</v>
      </c>
      <c r="T336" t="s">
        <v>111</v>
      </c>
      <c r="U336">
        <v>11</v>
      </c>
      <c r="V336">
        <v>1</v>
      </c>
      <c r="W336">
        <v>2980</v>
      </c>
      <c r="X336">
        <v>0</v>
      </c>
      <c r="Y336">
        <v>422</v>
      </c>
      <c r="Z336">
        <v>3402</v>
      </c>
      <c r="AA336">
        <v>509</v>
      </c>
      <c r="AB336" t="s">
        <v>65</v>
      </c>
      <c r="AC336">
        <v>13.5</v>
      </c>
      <c r="AD336">
        <v>71</v>
      </c>
      <c r="AE336">
        <v>50</v>
      </c>
      <c r="AF336" t="s">
        <v>93</v>
      </c>
      <c r="AG336">
        <v>27</v>
      </c>
      <c r="AH336" t="s">
        <v>113</v>
      </c>
      <c r="AI336" t="s">
        <v>68</v>
      </c>
      <c r="AJ336" t="s">
        <v>188</v>
      </c>
      <c r="AK336" t="s">
        <v>70</v>
      </c>
      <c r="AL336" t="s">
        <v>71</v>
      </c>
      <c r="AM336" t="s">
        <v>71</v>
      </c>
      <c r="AN336" t="s">
        <v>243</v>
      </c>
      <c r="AO336" t="s">
        <v>73</v>
      </c>
      <c r="AP336" t="s">
        <v>72</v>
      </c>
      <c r="AQ336" t="s">
        <v>117</v>
      </c>
      <c r="AR336" s="1">
        <v>45321</v>
      </c>
      <c r="AS336" t="s">
        <v>118</v>
      </c>
      <c r="AT336" t="s">
        <v>71</v>
      </c>
      <c r="AU336">
        <v>452</v>
      </c>
      <c r="AV336" t="s">
        <v>76</v>
      </c>
    </row>
    <row r="337" spans="1:48" x14ac:dyDescent="0.25">
      <c r="A337" t="s">
        <v>624</v>
      </c>
      <c r="B337" t="s">
        <v>154</v>
      </c>
      <c r="C337" t="s">
        <v>375</v>
      </c>
      <c r="D337" t="s">
        <v>51</v>
      </c>
      <c r="E337">
        <v>21</v>
      </c>
      <c r="F337" t="s">
        <v>278</v>
      </c>
      <c r="G337" t="s">
        <v>169</v>
      </c>
      <c r="H337" t="s">
        <v>170</v>
      </c>
      <c r="I337" t="s">
        <v>103</v>
      </c>
      <c r="J337" t="s">
        <v>104</v>
      </c>
      <c r="K337" t="s">
        <v>105</v>
      </c>
      <c r="L337" t="s">
        <v>58</v>
      </c>
      <c r="M337" t="s">
        <v>127</v>
      </c>
      <c r="N337" t="s">
        <v>148</v>
      </c>
      <c r="O337" t="s">
        <v>176</v>
      </c>
      <c r="P337" s="1">
        <v>44220</v>
      </c>
      <c r="Q337">
        <v>3.4</v>
      </c>
      <c r="R337" t="s">
        <v>75</v>
      </c>
      <c r="S337" t="s">
        <v>63</v>
      </c>
      <c r="T337" t="s">
        <v>64</v>
      </c>
      <c r="U337">
        <v>0</v>
      </c>
      <c r="V337">
        <v>0</v>
      </c>
      <c r="W337">
        <v>3294</v>
      </c>
      <c r="X337">
        <v>0</v>
      </c>
      <c r="Y337">
        <v>422</v>
      </c>
      <c r="Z337">
        <v>3716</v>
      </c>
      <c r="AA337">
        <v>512</v>
      </c>
      <c r="AB337" t="s">
        <v>65</v>
      </c>
      <c r="AC337">
        <v>17.399999999999999</v>
      </c>
      <c r="AD337">
        <v>61</v>
      </c>
      <c r="AE337">
        <v>56</v>
      </c>
      <c r="AF337" t="s">
        <v>112</v>
      </c>
      <c r="AG337">
        <v>26</v>
      </c>
      <c r="AH337" t="s">
        <v>113</v>
      </c>
      <c r="AI337" t="s">
        <v>114</v>
      </c>
      <c r="AJ337" t="s">
        <v>72</v>
      </c>
      <c r="AK337" t="s">
        <v>70</v>
      </c>
      <c r="AL337" t="s">
        <v>70</v>
      </c>
      <c r="AM337" t="s">
        <v>71</v>
      </c>
      <c r="AN337" t="s">
        <v>202</v>
      </c>
      <c r="AO337" t="s">
        <v>73</v>
      </c>
      <c r="AP337" t="s">
        <v>72</v>
      </c>
      <c r="AQ337" t="s">
        <v>74</v>
      </c>
      <c r="AR337" s="1">
        <v>45377</v>
      </c>
      <c r="AS337" t="s">
        <v>75</v>
      </c>
      <c r="AT337" t="s">
        <v>71</v>
      </c>
      <c r="AU337">
        <v>-413</v>
      </c>
      <c r="AV337" t="s">
        <v>179</v>
      </c>
    </row>
    <row r="338" spans="1:48" x14ac:dyDescent="0.25">
      <c r="A338" t="s">
        <v>625</v>
      </c>
      <c r="B338" t="s">
        <v>139</v>
      </c>
      <c r="C338" t="s">
        <v>50</v>
      </c>
      <c r="D338" t="s">
        <v>51</v>
      </c>
      <c r="E338">
        <v>42</v>
      </c>
      <c r="F338" t="s">
        <v>382</v>
      </c>
      <c r="G338" t="s">
        <v>234</v>
      </c>
      <c r="H338" t="s">
        <v>235</v>
      </c>
      <c r="I338" t="s">
        <v>236</v>
      </c>
      <c r="J338" t="s">
        <v>237</v>
      </c>
      <c r="K338" t="s">
        <v>238</v>
      </c>
      <c r="L338" t="s">
        <v>126</v>
      </c>
      <c r="M338" t="s">
        <v>207</v>
      </c>
      <c r="N338" t="s">
        <v>108</v>
      </c>
      <c r="O338" t="s">
        <v>109</v>
      </c>
      <c r="P338" s="1">
        <v>38656</v>
      </c>
      <c r="Q338">
        <v>18.600000000000001</v>
      </c>
      <c r="R338" t="s">
        <v>90</v>
      </c>
      <c r="S338" t="s">
        <v>63</v>
      </c>
      <c r="T338" t="s">
        <v>64</v>
      </c>
      <c r="U338">
        <v>0</v>
      </c>
      <c r="V338">
        <v>0</v>
      </c>
      <c r="W338">
        <v>1917</v>
      </c>
      <c r="X338">
        <v>0</v>
      </c>
      <c r="Y338">
        <v>422</v>
      </c>
      <c r="Z338">
        <v>2339</v>
      </c>
      <c r="AA338">
        <v>530</v>
      </c>
      <c r="AB338" t="s">
        <v>65</v>
      </c>
      <c r="AC338">
        <v>15.4</v>
      </c>
      <c r="AD338">
        <v>21</v>
      </c>
      <c r="AE338">
        <v>34</v>
      </c>
      <c r="AF338" t="s">
        <v>66</v>
      </c>
      <c r="AG338">
        <v>29</v>
      </c>
      <c r="AH338" t="s">
        <v>113</v>
      </c>
      <c r="AI338" t="s">
        <v>95</v>
      </c>
      <c r="AJ338" t="s">
        <v>96</v>
      </c>
      <c r="AK338" t="s">
        <v>70</v>
      </c>
      <c r="AL338" t="s">
        <v>71</v>
      </c>
      <c r="AM338" t="s">
        <v>70</v>
      </c>
      <c r="AN338" t="s">
        <v>72</v>
      </c>
      <c r="AO338" t="s">
        <v>72</v>
      </c>
      <c r="AP338" t="s">
        <v>72</v>
      </c>
      <c r="AQ338" t="s">
        <v>117</v>
      </c>
      <c r="AR338" s="1">
        <v>44058</v>
      </c>
      <c r="AS338" t="s">
        <v>137</v>
      </c>
      <c r="AT338" t="s">
        <v>71</v>
      </c>
      <c r="AU338">
        <v>1361</v>
      </c>
      <c r="AV338" t="s">
        <v>76</v>
      </c>
    </row>
    <row r="339" spans="1:48" x14ac:dyDescent="0.25">
      <c r="A339" t="s">
        <v>626</v>
      </c>
      <c r="B339" t="s">
        <v>139</v>
      </c>
      <c r="C339" t="s">
        <v>313</v>
      </c>
      <c r="D339" t="s">
        <v>122</v>
      </c>
      <c r="E339">
        <v>21</v>
      </c>
      <c r="F339" t="s">
        <v>214</v>
      </c>
      <c r="G339" t="s">
        <v>81</v>
      </c>
      <c r="H339" t="s">
        <v>82</v>
      </c>
      <c r="I339" t="s">
        <v>144</v>
      </c>
      <c r="J339" t="s">
        <v>145</v>
      </c>
      <c r="K339" t="s">
        <v>146</v>
      </c>
      <c r="L339" t="s">
        <v>86</v>
      </c>
      <c r="M339" t="s">
        <v>87</v>
      </c>
      <c r="N339" t="s">
        <v>60</v>
      </c>
      <c r="O339" t="s">
        <v>89</v>
      </c>
      <c r="P339" s="1">
        <v>40188</v>
      </c>
      <c r="Q339">
        <v>14.4</v>
      </c>
      <c r="R339" t="s">
        <v>90</v>
      </c>
      <c r="S339" t="s">
        <v>163</v>
      </c>
      <c r="T339" t="s">
        <v>164</v>
      </c>
      <c r="U339">
        <v>0</v>
      </c>
      <c r="V339">
        <v>0</v>
      </c>
      <c r="W339">
        <v>2504</v>
      </c>
      <c r="X339">
        <v>0</v>
      </c>
      <c r="Y339">
        <v>422</v>
      </c>
      <c r="Z339">
        <v>2926</v>
      </c>
      <c r="AA339">
        <v>513</v>
      </c>
      <c r="AB339" t="s">
        <v>65</v>
      </c>
      <c r="AC339">
        <v>20.9</v>
      </c>
      <c r="AD339">
        <v>75</v>
      </c>
      <c r="AE339">
        <v>74</v>
      </c>
      <c r="AF339" t="s">
        <v>93</v>
      </c>
      <c r="AG339">
        <v>21</v>
      </c>
      <c r="AH339" t="s">
        <v>113</v>
      </c>
      <c r="AI339" t="s">
        <v>68</v>
      </c>
      <c r="AJ339" t="s">
        <v>72</v>
      </c>
      <c r="AK339" t="s">
        <v>71</v>
      </c>
      <c r="AL339" t="s">
        <v>70</v>
      </c>
      <c r="AM339" t="s">
        <v>71</v>
      </c>
      <c r="AN339" t="s">
        <v>72</v>
      </c>
      <c r="AO339" t="s">
        <v>97</v>
      </c>
      <c r="AP339" t="s">
        <v>72</v>
      </c>
      <c r="AQ339" t="s">
        <v>117</v>
      </c>
      <c r="AR339" s="1">
        <v>45198</v>
      </c>
      <c r="AS339" t="s">
        <v>137</v>
      </c>
      <c r="AT339" t="s">
        <v>71</v>
      </c>
      <c r="AU339">
        <v>1054</v>
      </c>
      <c r="AV339" t="s">
        <v>76</v>
      </c>
    </row>
    <row r="340" spans="1:48" x14ac:dyDescent="0.25">
      <c r="A340" t="s">
        <v>627</v>
      </c>
      <c r="B340" t="s">
        <v>377</v>
      </c>
      <c r="C340" t="s">
        <v>264</v>
      </c>
      <c r="D340" t="s">
        <v>51</v>
      </c>
      <c r="E340">
        <v>29</v>
      </c>
      <c r="F340" t="s">
        <v>168</v>
      </c>
      <c r="G340" t="s">
        <v>279</v>
      </c>
      <c r="H340" t="s">
        <v>280</v>
      </c>
      <c r="I340" t="s">
        <v>171</v>
      </c>
      <c r="J340" t="s">
        <v>172</v>
      </c>
      <c r="K340" t="s">
        <v>173</v>
      </c>
      <c r="L340" t="s">
        <v>58</v>
      </c>
      <c r="M340" t="s">
        <v>161</v>
      </c>
      <c r="N340" t="s">
        <v>128</v>
      </c>
      <c r="O340" t="s">
        <v>149</v>
      </c>
      <c r="P340" s="1">
        <v>44521</v>
      </c>
      <c r="Q340">
        <v>2.5</v>
      </c>
      <c r="R340" t="s">
        <v>62</v>
      </c>
      <c r="S340" t="s">
        <v>63</v>
      </c>
      <c r="T340" t="s">
        <v>64</v>
      </c>
      <c r="U340">
        <v>0</v>
      </c>
      <c r="V340">
        <v>0</v>
      </c>
      <c r="W340">
        <v>6618</v>
      </c>
      <c r="X340">
        <v>1646</v>
      </c>
      <c r="Y340">
        <v>266</v>
      </c>
      <c r="Z340">
        <v>8530</v>
      </c>
      <c r="AA340">
        <v>413</v>
      </c>
      <c r="AB340" t="s">
        <v>65</v>
      </c>
      <c r="AC340">
        <v>18.2</v>
      </c>
      <c r="AD340">
        <v>53</v>
      </c>
      <c r="AE340">
        <v>63</v>
      </c>
      <c r="AF340" t="s">
        <v>132</v>
      </c>
      <c r="AG340">
        <v>37</v>
      </c>
      <c r="AH340" t="s">
        <v>94</v>
      </c>
      <c r="AI340" t="s">
        <v>114</v>
      </c>
      <c r="AJ340" t="s">
        <v>72</v>
      </c>
      <c r="AK340" t="s">
        <v>70</v>
      </c>
      <c r="AL340" t="s">
        <v>70</v>
      </c>
      <c r="AM340" t="s">
        <v>71</v>
      </c>
      <c r="AN340" t="s">
        <v>270</v>
      </c>
      <c r="AO340" t="s">
        <v>287</v>
      </c>
      <c r="AP340" t="s">
        <v>221</v>
      </c>
      <c r="AQ340" t="s">
        <v>74</v>
      </c>
      <c r="AR340" s="1">
        <v>45209</v>
      </c>
      <c r="AS340" t="s">
        <v>118</v>
      </c>
      <c r="AT340" t="s">
        <v>71</v>
      </c>
      <c r="AU340">
        <v>-254</v>
      </c>
      <c r="AV340" t="s">
        <v>179</v>
      </c>
    </row>
    <row r="341" spans="1:48" x14ac:dyDescent="0.25">
      <c r="A341" t="s">
        <v>628</v>
      </c>
      <c r="B341" t="s">
        <v>210</v>
      </c>
      <c r="C341" t="s">
        <v>50</v>
      </c>
      <c r="D341" t="s">
        <v>51</v>
      </c>
      <c r="E341">
        <v>26</v>
      </c>
      <c r="F341" t="s">
        <v>52</v>
      </c>
      <c r="G341" t="s">
        <v>169</v>
      </c>
      <c r="H341" t="s">
        <v>170</v>
      </c>
      <c r="I341" t="s">
        <v>185</v>
      </c>
      <c r="J341" t="s">
        <v>186</v>
      </c>
      <c r="K341" t="s">
        <v>187</v>
      </c>
      <c r="L341" t="s">
        <v>126</v>
      </c>
      <c r="M341" t="s">
        <v>107</v>
      </c>
      <c r="N341" t="s">
        <v>162</v>
      </c>
      <c r="O341" t="s">
        <v>89</v>
      </c>
      <c r="P341" s="1">
        <v>41141</v>
      </c>
      <c r="Q341">
        <v>11.8</v>
      </c>
      <c r="R341" t="s">
        <v>90</v>
      </c>
      <c r="S341" t="s">
        <v>130</v>
      </c>
      <c r="T341" t="s">
        <v>131</v>
      </c>
      <c r="U341">
        <v>10</v>
      </c>
      <c r="V341">
        <v>1</v>
      </c>
      <c r="W341">
        <v>3294</v>
      </c>
      <c r="X341">
        <v>1438</v>
      </c>
      <c r="Y341">
        <v>422</v>
      </c>
      <c r="Z341">
        <v>5154</v>
      </c>
      <c r="AA341">
        <v>344</v>
      </c>
      <c r="AB341" t="s">
        <v>151</v>
      </c>
      <c r="AC341">
        <v>18.100000000000001</v>
      </c>
      <c r="AD341">
        <v>74</v>
      </c>
      <c r="AE341">
        <v>62</v>
      </c>
      <c r="AF341" t="s">
        <v>93</v>
      </c>
      <c r="AG341">
        <v>23</v>
      </c>
      <c r="AH341" t="s">
        <v>113</v>
      </c>
      <c r="AI341" t="s">
        <v>114</v>
      </c>
      <c r="AJ341" t="s">
        <v>188</v>
      </c>
      <c r="AK341" t="s">
        <v>70</v>
      </c>
      <c r="AL341" t="s">
        <v>71</v>
      </c>
      <c r="AM341" t="s">
        <v>71</v>
      </c>
      <c r="AN341" t="s">
        <v>115</v>
      </c>
      <c r="AO341" t="s">
        <v>221</v>
      </c>
      <c r="AP341" t="s">
        <v>72</v>
      </c>
      <c r="AQ341" t="s">
        <v>74</v>
      </c>
      <c r="AR341" s="1">
        <v>41745</v>
      </c>
      <c r="AS341" t="s">
        <v>75</v>
      </c>
      <c r="AT341" t="s">
        <v>71</v>
      </c>
      <c r="AU341">
        <v>103</v>
      </c>
      <c r="AV341" t="s">
        <v>179</v>
      </c>
    </row>
    <row r="342" spans="1:48" x14ac:dyDescent="0.25">
      <c r="A342" t="s">
        <v>629</v>
      </c>
      <c r="B342" t="s">
        <v>277</v>
      </c>
      <c r="C342" t="s">
        <v>223</v>
      </c>
      <c r="D342" t="s">
        <v>122</v>
      </c>
      <c r="E342">
        <v>29</v>
      </c>
      <c r="F342" t="s">
        <v>311</v>
      </c>
      <c r="G342" t="s">
        <v>53</v>
      </c>
      <c r="H342" t="s">
        <v>54</v>
      </c>
      <c r="I342" t="s">
        <v>268</v>
      </c>
      <c r="J342" t="s">
        <v>269</v>
      </c>
      <c r="K342" t="s">
        <v>173</v>
      </c>
      <c r="L342" t="s">
        <v>126</v>
      </c>
      <c r="M342" t="s">
        <v>275</v>
      </c>
      <c r="N342" t="s">
        <v>88</v>
      </c>
      <c r="O342" t="s">
        <v>89</v>
      </c>
      <c r="P342" s="1">
        <v>42254</v>
      </c>
      <c r="Q342">
        <v>8.6999999999999993</v>
      </c>
      <c r="R342" t="s">
        <v>208</v>
      </c>
      <c r="S342" t="s">
        <v>219</v>
      </c>
      <c r="T342" t="s">
        <v>220</v>
      </c>
      <c r="U342">
        <v>0</v>
      </c>
      <c r="V342">
        <v>0</v>
      </c>
      <c r="W342">
        <v>4739</v>
      </c>
      <c r="X342">
        <v>1887</v>
      </c>
      <c r="Y342">
        <v>422</v>
      </c>
      <c r="Z342">
        <v>7048</v>
      </c>
      <c r="AA342">
        <v>333</v>
      </c>
      <c r="AB342" t="s">
        <v>151</v>
      </c>
      <c r="AC342">
        <v>15.5</v>
      </c>
      <c r="AD342">
        <v>27</v>
      </c>
      <c r="AE342">
        <v>65</v>
      </c>
      <c r="AF342" t="s">
        <v>112</v>
      </c>
      <c r="AG342">
        <v>29</v>
      </c>
      <c r="AH342" t="s">
        <v>113</v>
      </c>
      <c r="AI342" t="s">
        <v>177</v>
      </c>
      <c r="AJ342" t="s">
        <v>96</v>
      </c>
      <c r="AK342" t="s">
        <v>71</v>
      </c>
      <c r="AL342" t="s">
        <v>70</v>
      </c>
      <c r="AM342" t="s">
        <v>70</v>
      </c>
      <c r="AN342" t="s">
        <v>231</v>
      </c>
      <c r="AO342" t="s">
        <v>73</v>
      </c>
      <c r="AP342" t="s">
        <v>72</v>
      </c>
      <c r="AQ342" t="s">
        <v>74</v>
      </c>
      <c r="AR342" s="1">
        <v>42799</v>
      </c>
      <c r="AS342" t="s">
        <v>198</v>
      </c>
      <c r="AT342" t="s">
        <v>71</v>
      </c>
      <c r="AU342">
        <v>704</v>
      </c>
      <c r="AV342" t="s">
        <v>76</v>
      </c>
    </row>
    <row r="343" spans="1:48" x14ac:dyDescent="0.25">
      <c r="A343" t="s">
        <v>630</v>
      </c>
      <c r="B343" t="s">
        <v>181</v>
      </c>
      <c r="C343" t="s">
        <v>375</v>
      </c>
      <c r="D343" t="s">
        <v>51</v>
      </c>
      <c r="E343">
        <v>21</v>
      </c>
      <c r="F343" t="s">
        <v>322</v>
      </c>
      <c r="G343" t="s">
        <v>242</v>
      </c>
      <c r="H343" t="s">
        <v>54</v>
      </c>
      <c r="I343" t="s">
        <v>103</v>
      </c>
      <c r="J343" t="s">
        <v>104</v>
      </c>
      <c r="K343" t="s">
        <v>105</v>
      </c>
      <c r="L343" t="s">
        <v>201</v>
      </c>
      <c r="M343" t="s">
        <v>249</v>
      </c>
      <c r="N343" t="s">
        <v>148</v>
      </c>
      <c r="O343" t="s">
        <v>109</v>
      </c>
      <c r="P343" s="1">
        <v>39247</v>
      </c>
      <c r="Q343">
        <v>17</v>
      </c>
      <c r="R343" t="s">
        <v>195</v>
      </c>
      <c r="S343" t="s">
        <v>219</v>
      </c>
      <c r="T343" t="s">
        <v>220</v>
      </c>
      <c r="U343">
        <v>0</v>
      </c>
      <c r="V343">
        <v>0</v>
      </c>
      <c r="W343">
        <v>4739</v>
      </c>
      <c r="X343">
        <v>0</v>
      </c>
      <c r="Y343">
        <v>422</v>
      </c>
      <c r="Z343">
        <v>5161</v>
      </c>
      <c r="AA343">
        <v>317</v>
      </c>
      <c r="AB343" t="s">
        <v>151</v>
      </c>
      <c r="AC343">
        <v>20.7</v>
      </c>
      <c r="AD343">
        <v>34</v>
      </c>
      <c r="AE343">
        <v>37</v>
      </c>
      <c r="AF343" t="s">
        <v>66</v>
      </c>
      <c r="AG343">
        <v>34</v>
      </c>
      <c r="AH343" t="s">
        <v>67</v>
      </c>
      <c r="AI343" t="s">
        <v>68</v>
      </c>
      <c r="AJ343" t="s">
        <v>188</v>
      </c>
      <c r="AK343" t="s">
        <v>70</v>
      </c>
      <c r="AL343" t="s">
        <v>70</v>
      </c>
      <c r="AM343" t="s">
        <v>70</v>
      </c>
      <c r="AN343" t="s">
        <v>72</v>
      </c>
      <c r="AO343" t="s">
        <v>134</v>
      </c>
      <c r="AP343" t="s">
        <v>72</v>
      </c>
      <c r="AQ343" t="s">
        <v>136</v>
      </c>
      <c r="AR343" s="1">
        <v>45519</v>
      </c>
      <c r="AS343" t="s">
        <v>198</v>
      </c>
      <c r="AT343" t="s">
        <v>71</v>
      </c>
      <c r="AU343">
        <v>333</v>
      </c>
      <c r="AV343" t="s">
        <v>76</v>
      </c>
    </row>
    <row r="344" spans="1:48" x14ac:dyDescent="0.25">
      <c r="A344" t="s">
        <v>631</v>
      </c>
      <c r="B344" t="s">
        <v>100</v>
      </c>
      <c r="C344" t="s">
        <v>252</v>
      </c>
      <c r="D344" t="s">
        <v>51</v>
      </c>
      <c r="E344">
        <v>31</v>
      </c>
      <c r="F344" t="s">
        <v>382</v>
      </c>
      <c r="G344" t="s">
        <v>142</v>
      </c>
      <c r="H344" t="s">
        <v>143</v>
      </c>
      <c r="I344" t="s">
        <v>260</v>
      </c>
      <c r="J344" t="s">
        <v>261</v>
      </c>
      <c r="K344" t="s">
        <v>173</v>
      </c>
      <c r="L344" t="s">
        <v>174</v>
      </c>
      <c r="M344" t="s">
        <v>127</v>
      </c>
      <c r="N344" t="s">
        <v>108</v>
      </c>
      <c r="O344" t="s">
        <v>61</v>
      </c>
      <c r="P344" s="1">
        <v>44091</v>
      </c>
      <c r="Q344">
        <v>3.7</v>
      </c>
      <c r="R344" t="s">
        <v>75</v>
      </c>
      <c r="S344" t="s">
        <v>63</v>
      </c>
      <c r="T344" t="s">
        <v>64</v>
      </c>
      <c r="U344">
        <v>0</v>
      </c>
      <c r="V344">
        <v>0</v>
      </c>
      <c r="W344">
        <v>5473</v>
      </c>
      <c r="X344">
        <v>1776</v>
      </c>
      <c r="Y344">
        <v>422</v>
      </c>
      <c r="Z344">
        <v>7671</v>
      </c>
      <c r="AA344">
        <v>377</v>
      </c>
      <c r="AB344" t="s">
        <v>65</v>
      </c>
      <c r="AC344">
        <v>19.7</v>
      </c>
      <c r="AD344">
        <v>64</v>
      </c>
      <c r="AE344">
        <v>45</v>
      </c>
      <c r="AF344" t="s">
        <v>112</v>
      </c>
      <c r="AG344">
        <v>37</v>
      </c>
      <c r="AH344" t="s">
        <v>94</v>
      </c>
      <c r="AI344" t="s">
        <v>177</v>
      </c>
      <c r="AJ344" t="s">
        <v>188</v>
      </c>
      <c r="AK344" t="s">
        <v>71</v>
      </c>
      <c r="AL344" t="s">
        <v>70</v>
      </c>
      <c r="AM344" t="s">
        <v>70</v>
      </c>
      <c r="AN344" t="s">
        <v>270</v>
      </c>
      <c r="AO344" t="s">
        <v>97</v>
      </c>
      <c r="AP344" t="s">
        <v>72</v>
      </c>
      <c r="AQ344" t="s">
        <v>117</v>
      </c>
      <c r="AR344" s="1">
        <v>44180</v>
      </c>
      <c r="AS344" t="s">
        <v>118</v>
      </c>
      <c r="AT344" t="s">
        <v>71</v>
      </c>
      <c r="AU344">
        <v>-461</v>
      </c>
      <c r="AV344" t="s">
        <v>179</v>
      </c>
    </row>
    <row r="345" spans="1:48" x14ac:dyDescent="0.25">
      <c r="A345" t="s">
        <v>632</v>
      </c>
      <c r="B345" t="s">
        <v>251</v>
      </c>
      <c r="C345" t="s">
        <v>167</v>
      </c>
      <c r="D345" t="s">
        <v>51</v>
      </c>
      <c r="E345">
        <v>39</v>
      </c>
      <c r="F345" t="s">
        <v>141</v>
      </c>
      <c r="G345" t="s">
        <v>234</v>
      </c>
      <c r="H345" t="s">
        <v>235</v>
      </c>
      <c r="I345" t="s">
        <v>185</v>
      </c>
      <c r="J345" t="s">
        <v>186</v>
      </c>
      <c r="K345" t="s">
        <v>187</v>
      </c>
      <c r="L345" t="s">
        <v>58</v>
      </c>
      <c r="M345" t="s">
        <v>249</v>
      </c>
      <c r="N345" t="s">
        <v>60</v>
      </c>
      <c r="O345" t="s">
        <v>89</v>
      </c>
      <c r="P345" s="1">
        <v>38495</v>
      </c>
      <c r="Q345">
        <v>19</v>
      </c>
      <c r="R345" t="s">
        <v>75</v>
      </c>
      <c r="S345" t="s">
        <v>63</v>
      </c>
      <c r="T345" t="s">
        <v>64</v>
      </c>
      <c r="U345">
        <v>0</v>
      </c>
      <c r="V345">
        <v>0</v>
      </c>
      <c r="W345">
        <v>1917</v>
      </c>
      <c r="X345">
        <v>2192</v>
      </c>
      <c r="Y345">
        <v>422</v>
      </c>
      <c r="Z345">
        <v>4531</v>
      </c>
      <c r="AA345">
        <v>375</v>
      </c>
      <c r="AB345" t="s">
        <v>65</v>
      </c>
      <c r="AC345">
        <v>19.600000000000001</v>
      </c>
      <c r="AD345">
        <v>53</v>
      </c>
      <c r="AE345">
        <v>62</v>
      </c>
      <c r="AF345" t="s">
        <v>93</v>
      </c>
      <c r="AG345">
        <v>40</v>
      </c>
      <c r="AH345" t="s">
        <v>94</v>
      </c>
      <c r="AI345" t="s">
        <v>68</v>
      </c>
      <c r="AJ345" t="s">
        <v>69</v>
      </c>
      <c r="AK345" t="s">
        <v>70</v>
      </c>
      <c r="AL345" t="s">
        <v>70</v>
      </c>
      <c r="AM345" t="s">
        <v>70</v>
      </c>
      <c r="AN345" t="s">
        <v>243</v>
      </c>
      <c r="AO345" t="s">
        <v>97</v>
      </c>
      <c r="AP345" t="s">
        <v>72</v>
      </c>
      <c r="AQ345" t="s">
        <v>117</v>
      </c>
      <c r="AR345" s="1">
        <v>40819</v>
      </c>
      <c r="AS345" t="s">
        <v>75</v>
      </c>
      <c r="AT345" t="s">
        <v>71</v>
      </c>
      <c r="AU345">
        <v>866</v>
      </c>
      <c r="AV345" t="s">
        <v>76</v>
      </c>
    </row>
    <row r="346" spans="1:48" x14ac:dyDescent="0.25">
      <c r="A346" t="s">
        <v>633</v>
      </c>
      <c r="B346" t="s">
        <v>49</v>
      </c>
      <c r="C346" t="s">
        <v>223</v>
      </c>
      <c r="D346" t="s">
        <v>122</v>
      </c>
      <c r="E346">
        <v>28</v>
      </c>
      <c r="F346" t="s">
        <v>291</v>
      </c>
      <c r="G346" t="s">
        <v>234</v>
      </c>
      <c r="H346" t="s">
        <v>235</v>
      </c>
      <c r="I346" t="s">
        <v>273</v>
      </c>
      <c r="J346" t="s">
        <v>274</v>
      </c>
      <c r="K346" t="s">
        <v>57</v>
      </c>
      <c r="L346" t="s">
        <v>126</v>
      </c>
      <c r="M346" t="s">
        <v>107</v>
      </c>
      <c r="N346" t="s">
        <v>265</v>
      </c>
      <c r="O346" t="s">
        <v>149</v>
      </c>
      <c r="P346" s="1">
        <v>41279</v>
      </c>
      <c r="Q346">
        <v>11.4</v>
      </c>
      <c r="R346" t="s">
        <v>208</v>
      </c>
      <c r="S346" t="s">
        <v>91</v>
      </c>
      <c r="T346" t="s">
        <v>92</v>
      </c>
      <c r="U346">
        <v>0</v>
      </c>
      <c r="V346">
        <v>0</v>
      </c>
      <c r="W346">
        <v>1917</v>
      </c>
      <c r="X346">
        <v>1300</v>
      </c>
      <c r="Y346">
        <v>422</v>
      </c>
      <c r="Z346">
        <v>3639</v>
      </c>
      <c r="AA346">
        <v>389</v>
      </c>
      <c r="AB346" t="s">
        <v>65</v>
      </c>
      <c r="AC346">
        <v>15.6</v>
      </c>
      <c r="AD346">
        <v>67</v>
      </c>
      <c r="AE346">
        <v>35</v>
      </c>
      <c r="AF346" t="s">
        <v>132</v>
      </c>
      <c r="AG346">
        <v>36</v>
      </c>
      <c r="AH346" t="s">
        <v>94</v>
      </c>
      <c r="AI346" t="s">
        <v>152</v>
      </c>
      <c r="AJ346" t="s">
        <v>188</v>
      </c>
      <c r="AK346" t="s">
        <v>70</v>
      </c>
      <c r="AL346" t="s">
        <v>70</v>
      </c>
      <c r="AM346" t="s">
        <v>70</v>
      </c>
      <c r="AN346" t="s">
        <v>243</v>
      </c>
      <c r="AO346" t="s">
        <v>97</v>
      </c>
      <c r="AP346" t="s">
        <v>72</v>
      </c>
      <c r="AQ346" t="s">
        <v>74</v>
      </c>
      <c r="AR346" s="1">
        <v>43808</v>
      </c>
      <c r="AS346" t="s">
        <v>198</v>
      </c>
      <c r="AT346" t="s">
        <v>71</v>
      </c>
      <c r="AU346">
        <v>280</v>
      </c>
      <c r="AV346" t="s">
        <v>76</v>
      </c>
    </row>
    <row r="347" spans="1:48" x14ac:dyDescent="0.25">
      <c r="A347" t="s">
        <v>634</v>
      </c>
      <c r="B347" t="s">
        <v>100</v>
      </c>
      <c r="C347" t="s">
        <v>360</v>
      </c>
      <c r="D347" t="s">
        <v>51</v>
      </c>
      <c r="E347">
        <v>44</v>
      </c>
      <c r="F347" t="s">
        <v>241</v>
      </c>
      <c r="G347" t="s">
        <v>81</v>
      </c>
      <c r="H347" t="s">
        <v>82</v>
      </c>
      <c r="I347" t="s">
        <v>253</v>
      </c>
      <c r="J347" t="s">
        <v>254</v>
      </c>
      <c r="K347" t="s">
        <v>255</v>
      </c>
      <c r="L347" t="s">
        <v>126</v>
      </c>
      <c r="M347" t="s">
        <v>87</v>
      </c>
      <c r="N347" t="s">
        <v>128</v>
      </c>
      <c r="O347" t="s">
        <v>176</v>
      </c>
      <c r="P347" s="1">
        <v>40715</v>
      </c>
      <c r="Q347">
        <v>12.9</v>
      </c>
      <c r="R347" t="s">
        <v>150</v>
      </c>
      <c r="S347" t="s">
        <v>163</v>
      </c>
      <c r="T347" t="s">
        <v>164</v>
      </c>
      <c r="U347">
        <v>0</v>
      </c>
      <c r="V347">
        <v>0</v>
      </c>
      <c r="W347">
        <v>2504</v>
      </c>
      <c r="X347">
        <v>0</v>
      </c>
      <c r="Y347">
        <v>422</v>
      </c>
      <c r="Z347">
        <v>2926</v>
      </c>
      <c r="AA347">
        <v>438</v>
      </c>
      <c r="AB347" t="s">
        <v>65</v>
      </c>
      <c r="AC347">
        <v>16.5</v>
      </c>
      <c r="AD347">
        <v>29</v>
      </c>
      <c r="AE347">
        <v>63</v>
      </c>
      <c r="AF347" t="s">
        <v>93</v>
      </c>
      <c r="AG347">
        <v>25</v>
      </c>
      <c r="AH347" t="s">
        <v>113</v>
      </c>
      <c r="AI347" t="s">
        <v>177</v>
      </c>
      <c r="AJ347" t="s">
        <v>69</v>
      </c>
      <c r="AK347" t="s">
        <v>71</v>
      </c>
      <c r="AL347" t="s">
        <v>71</v>
      </c>
      <c r="AM347" t="s">
        <v>70</v>
      </c>
      <c r="AN347" t="s">
        <v>270</v>
      </c>
      <c r="AO347" t="s">
        <v>287</v>
      </c>
      <c r="AP347" t="s">
        <v>72</v>
      </c>
      <c r="AQ347" t="s">
        <v>117</v>
      </c>
      <c r="AR347" s="1">
        <v>44069</v>
      </c>
      <c r="AS347" t="s">
        <v>137</v>
      </c>
      <c r="AT347" t="s">
        <v>71</v>
      </c>
      <c r="AU347">
        <v>942</v>
      </c>
      <c r="AV347" t="s">
        <v>76</v>
      </c>
    </row>
    <row r="348" spans="1:48" x14ac:dyDescent="0.25">
      <c r="A348" t="s">
        <v>635</v>
      </c>
      <c r="B348" t="s">
        <v>49</v>
      </c>
      <c r="C348" t="s">
        <v>191</v>
      </c>
      <c r="D348" t="s">
        <v>51</v>
      </c>
      <c r="E348">
        <v>37</v>
      </c>
      <c r="F348" t="s">
        <v>224</v>
      </c>
      <c r="G348" t="s">
        <v>124</v>
      </c>
      <c r="H348" t="s">
        <v>125</v>
      </c>
      <c r="I348" t="s">
        <v>83</v>
      </c>
      <c r="J348" t="s">
        <v>84</v>
      </c>
      <c r="K348" t="s">
        <v>85</v>
      </c>
      <c r="L348" t="s">
        <v>86</v>
      </c>
      <c r="M348" t="s">
        <v>147</v>
      </c>
      <c r="N348" t="s">
        <v>265</v>
      </c>
      <c r="O348" t="s">
        <v>61</v>
      </c>
      <c r="P348" s="1">
        <v>39623</v>
      </c>
      <c r="Q348">
        <v>15.9</v>
      </c>
      <c r="R348" t="s">
        <v>75</v>
      </c>
      <c r="S348" t="s">
        <v>163</v>
      </c>
      <c r="T348" t="s">
        <v>164</v>
      </c>
      <c r="U348">
        <v>8</v>
      </c>
      <c r="V348">
        <v>1</v>
      </c>
      <c r="W348">
        <v>2730</v>
      </c>
      <c r="X348">
        <v>0</v>
      </c>
      <c r="Y348">
        <v>422</v>
      </c>
      <c r="Z348">
        <v>3152</v>
      </c>
      <c r="AA348">
        <v>438</v>
      </c>
      <c r="AB348" t="s">
        <v>65</v>
      </c>
      <c r="AC348">
        <v>16.2</v>
      </c>
      <c r="AD348">
        <v>78</v>
      </c>
      <c r="AE348">
        <v>35</v>
      </c>
      <c r="AF348" t="s">
        <v>93</v>
      </c>
      <c r="AG348">
        <v>17</v>
      </c>
      <c r="AH348" t="s">
        <v>113</v>
      </c>
      <c r="AI348" t="s">
        <v>114</v>
      </c>
      <c r="AJ348" t="s">
        <v>69</v>
      </c>
      <c r="AK348" t="s">
        <v>71</v>
      </c>
      <c r="AL348" t="s">
        <v>70</v>
      </c>
      <c r="AM348" t="s">
        <v>70</v>
      </c>
      <c r="AN348" t="s">
        <v>243</v>
      </c>
      <c r="AO348" t="s">
        <v>287</v>
      </c>
      <c r="AP348" t="s">
        <v>73</v>
      </c>
      <c r="AQ348" t="s">
        <v>74</v>
      </c>
      <c r="AR348" s="1">
        <v>44184</v>
      </c>
      <c r="AS348" t="s">
        <v>198</v>
      </c>
      <c r="AT348" t="s">
        <v>71</v>
      </c>
      <c r="AU348">
        <v>70</v>
      </c>
      <c r="AV348" t="s">
        <v>179</v>
      </c>
    </row>
    <row r="349" spans="1:48" x14ac:dyDescent="0.25">
      <c r="A349" t="s">
        <v>636</v>
      </c>
      <c r="B349" t="s">
        <v>377</v>
      </c>
      <c r="C349" t="s">
        <v>272</v>
      </c>
      <c r="D349" t="s">
        <v>51</v>
      </c>
      <c r="E349">
        <v>32</v>
      </c>
      <c r="F349" t="s">
        <v>52</v>
      </c>
      <c r="G349" t="s">
        <v>183</v>
      </c>
      <c r="H349" t="s">
        <v>184</v>
      </c>
      <c r="I349" t="s">
        <v>103</v>
      </c>
      <c r="J349" t="s">
        <v>104</v>
      </c>
      <c r="K349" t="s">
        <v>105</v>
      </c>
      <c r="L349" t="s">
        <v>58</v>
      </c>
      <c r="M349" t="s">
        <v>207</v>
      </c>
      <c r="N349" t="s">
        <v>88</v>
      </c>
      <c r="O349" t="s">
        <v>89</v>
      </c>
      <c r="P349" s="1">
        <v>40788</v>
      </c>
      <c r="Q349">
        <v>12.7</v>
      </c>
      <c r="R349" t="s">
        <v>208</v>
      </c>
      <c r="S349" t="s">
        <v>63</v>
      </c>
      <c r="T349" t="s">
        <v>64</v>
      </c>
      <c r="U349">
        <v>0</v>
      </c>
      <c r="V349">
        <v>0</v>
      </c>
      <c r="W349">
        <v>5696</v>
      </c>
      <c r="X349">
        <v>2086</v>
      </c>
      <c r="Y349">
        <v>266</v>
      </c>
      <c r="Z349">
        <v>8048</v>
      </c>
      <c r="AA349">
        <v>513</v>
      </c>
      <c r="AB349" t="s">
        <v>65</v>
      </c>
      <c r="AC349">
        <v>17.100000000000001</v>
      </c>
      <c r="AD349">
        <v>44</v>
      </c>
      <c r="AE349">
        <v>80</v>
      </c>
      <c r="AF349" t="s">
        <v>66</v>
      </c>
      <c r="AG349">
        <v>20</v>
      </c>
      <c r="AH349" t="s">
        <v>113</v>
      </c>
      <c r="AI349" t="s">
        <v>95</v>
      </c>
      <c r="AJ349" t="s">
        <v>96</v>
      </c>
      <c r="AK349" t="s">
        <v>70</v>
      </c>
      <c r="AL349" t="s">
        <v>70</v>
      </c>
      <c r="AM349" t="s">
        <v>70</v>
      </c>
      <c r="AN349" t="s">
        <v>72</v>
      </c>
      <c r="AO349" t="s">
        <v>203</v>
      </c>
      <c r="AP349" t="s">
        <v>72</v>
      </c>
      <c r="AQ349" t="s">
        <v>117</v>
      </c>
      <c r="AR349" s="1">
        <v>45122</v>
      </c>
      <c r="AS349" t="s">
        <v>198</v>
      </c>
      <c r="AT349" t="s">
        <v>71</v>
      </c>
      <c r="AU349">
        <v>-392</v>
      </c>
      <c r="AV349" t="s">
        <v>179</v>
      </c>
    </row>
    <row r="350" spans="1:48" x14ac:dyDescent="0.25">
      <c r="A350" t="s">
        <v>637</v>
      </c>
      <c r="B350" t="s">
        <v>377</v>
      </c>
      <c r="C350" t="s">
        <v>223</v>
      </c>
      <c r="D350" t="s">
        <v>122</v>
      </c>
      <c r="E350">
        <v>44</v>
      </c>
      <c r="F350" t="s">
        <v>311</v>
      </c>
      <c r="G350" t="s">
        <v>142</v>
      </c>
      <c r="H350" t="s">
        <v>143</v>
      </c>
      <c r="I350" t="s">
        <v>292</v>
      </c>
      <c r="J350" t="s">
        <v>293</v>
      </c>
      <c r="K350" t="s">
        <v>294</v>
      </c>
      <c r="L350" t="s">
        <v>58</v>
      </c>
      <c r="M350" t="s">
        <v>87</v>
      </c>
      <c r="N350" t="s">
        <v>148</v>
      </c>
      <c r="O350" t="s">
        <v>176</v>
      </c>
      <c r="P350" s="1">
        <v>39395</v>
      </c>
      <c r="Q350">
        <v>16.600000000000001</v>
      </c>
      <c r="R350" t="s">
        <v>90</v>
      </c>
      <c r="S350" t="s">
        <v>63</v>
      </c>
      <c r="T350" t="s">
        <v>64</v>
      </c>
      <c r="U350">
        <v>0</v>
      </c>
      <c r="V350">
        <v>0</v>
      </c>
      <c r="W350">
        <v>5473</v>
      </c>
      <c r="X350">
        <v>1912</v>
      </c>
      <c r="Y350">
        <v>422</v>
      </c>
      <c r="Z350">
        <v>7807</v>
      </c>
      <c r="AA350">
        <v>354</v>
      </c>
      <c r="AB350" t="s">
        <v>151</v>
      </c>
      <c r="AC350">
        <v>13</v>
      </c>
      <c r="AD350">
        <v>74</v>
      </c>
      <c r="AE350">
        <v>55</v>
      </c>
      <c r="AF350" t="s">
        <v>132</v>
      </c>
      <c r="AG350">
        <v>37</v>
      </c>
      <c r="AH350" t="s">
        <v>94</v>
      </c>
      <c r="AI350" t="s">
        <v>68</v>
      </c>
      <c r="AJ350" t="s">
        <v>72</v>
      </c>
      <c r="AK350" t="s">
        <v>71</v>
      </c>
      <c r="AL350" t="s">
        <v>71</v>
      </c>
      <c r="AM350" t="s">
        <v>70</v>
      </c>
      <c r="AN350" t="s">
        <v>115</v>
      </c>
      <c r="AO350" t="s">
        <v>135</v>
      </c>
      <c r="AP350" t="s">
        <v>72</v>
      </c>
      <c r="AQ350" t="s">
        <v>74</v>
      </c>
      <c r="AR350" s="1">
        <v>43027</v>
      </c>
      <c r="AS350" t="s">
        <v>137</v>
      </c>
      <c r="AT350" t="s">
        <v>71</v>
      </c>
      <c r="AU350">
        <v>857</v>
      </c>
      <c r="AV350" t="s">
        <v>76</v>
      </c>
    </row>
    <row r="351" spans="1:48" x14ac:dyDescent="0.25">
      <c r="A351" t="s">
        <v>638</v>
      </c>
      <c r="B351" t="s">
        <v>251</v>
      </c>
      <c r="C351" t="s">
        <v>140</v>
      </c>
      <c r="D351" t="s">
        <v>51</v>
      </c>
      <c r="E351">
        <v>25</v>
      </c>
      <c r="F351" t="s">
        <v>211</v>
      </c>
      <c r="G351" t="s">
        <v>298</v>
      </c>
      <c r="H351" t="s">
        <v>299</v>
      </c>
      <c r="I351" t="s">
        <v>260</v>
      </c>
      <c r="J351" t="s">
        <v>261</v>
      </c>
      <c r="K351" t="s">
        <v>173</v>
      </c>
      <c r="L351" t="s">
        <v>58</v>
      </c>
      <c r="M351" t="s">
        <v>147</v>
      </c>
      <c r="N351" t="s">
        <v>108</v>
      </c>
      <c r="O351" t="s">
        <v>61</v>
      </c>
      <c r="P351" s="1">
        <v>44418</v>
      </c>
      <c r="Q351">
        <v>2.8</v>
      </c>
      <c r="R351" t="s">
        <v>150</v>
      </c>
      <c r="S351" t="s">
        <v>91</v>
      </c>
      <c r="T351" t="s">
        <v>92</v>
      </c>
      <c r="U351">
        <v>4</v>
      </c>
      <c r="V351">
        <v>0</v>
      </c>
      <c r="W351">
        <v>2149</v>
      </c>
      <c r="X351">
        <v>0</v>
      </c>
      <c r="Y351">
        <v>422</v>
      </c>
      <c r="Z351">
        <v>2571</v>
      </c>
      <c r="AA351">
        <v>293</v>
      </c>
      <c r="AB351" t="s">
        <v>151</v>
      </c>
      <c r="AC351">
        <v>15.1</v>
      </c>
      <c r="AD351">
        <v>39</v>
      </c>
      <c r="AE351">
        <v>76</v>
      </c>
      <c r="AF351" t="s">
        <v>132</v>
      </c>
      <c r="AG351">
        <v>35</v>
      </c>
      <c r="AH351" t="s">
        <v>67</v>
      </c>
      <c r="AI351" t="s">
        <v>177</v>
      </c>
      <c r="AJ351" t="s">
        <v>188</v>
      </c>
      <c r="AK351" t="s">
        <v>71</v>
      </c>
      <c r="AL351" t="s">
        <v>70</v>
      </c>
      <c r="AM351" t="s">
        <v>71</v>
      </c>
      <c r="AN351" t="s">
        <v>72</v>
      </c>
      <c r="AO351" t="s">
        <v>72</v>
      </c>
      <c r="AP351" t="s">
        <v>72</v>
      </c>
      <c r="AQ351" t="s">
        <v>136</v>
      </c>
      <c r="AR351" s="1">
        <v>45232</v>
      </c>
      <c r="AS351" t="s">
        <v>198</v>
      </c>
      <c r="AT351" t="s">
        <v>71</v>
      </c>
      <c r="AU351">
        <v>1317</v>
      </c>
      <c r="AV351" t="s">
        <v>76</v>
      </c>
    </row>
    <row r="352" spans="1:48" x14ac:dyDescent="0.25">
      <c r="A352" t="s">
        <v>639</v>
      </c>
      <c r="B352" t="s">
        <v>277</v>
      </c>
      <c r="C352" t="s">
        <v>501</v>
      </c>
      <c r="D352" t="s">
        <v>122</v>
      </c>
      <c r="E352">
        <v>36</v>
      </c>
      <c r="F352" t="s">
        <v>141</v>
      </c>
      <c r="G352" t="s">
        <v>142</v>
      </c>
      <c r="H352" t="s">
        <v>143</v>
      </c>
      <c r="I352" t="s">
        <v>253</v>
      </c>
      <c r="J352" t="s">
        <v>254</v>
      </c>
      <c r="K352" t="s">
        <v>255</v>
      </c>
      <c r="L352" t="s">
        <v>126</v>
      </c>
      <c r="M352" t="s">
        <v>275</v>
      </c>
      <c r="N352" t="s">
        <v>128</v>
      </c>
      <c r="O352" t="s">
        <v>149</v>
      </c>
      <c r="P352" s="1">
        <v>42831</v>
      </c>
      <c r="Q352">
        <v>7.2</v>
      </c>
      <c r="R352" t="s">
        <v>75</v>
      </c>
      <c r="S352" t="s">
        <v>110</v>
      </c>
      <c r="T352" t="s">
        <v>111</v>
      </c>
      <c r="U352">
        <v>14</v>
      </c>
      <c r="V352">
        <v>2</v>
      </c>
      <c r="W352">
        <v>5473</v>
      </c>
      <c r="X352">
        <v>0</v>
      </c>
      <c r="Y352">
        <v>422</v>
      </c>
      <c r="Z352">
        <v>5895</v>
      </c>
      <c r="AA352">
        <v>384</v>
      </c>
      <c r="AB352" t="s">
        <v>65</v>
      </c>
      <c r="AC352">
        <v>16.2</v>
      </c>
      <c r="AD352">
        <v>60</v>
      </c>
      <c r="AE352">
        <v>31</v>
      </c>
      <c r="AF352" t="s">
        <v>93</v>
      </c>
      <c r="AG352">
        <v>39</v>
      </c>
      <c r="AH352" t="s">
        <v>94</v>
      </c>
      <c r="AI352" t="s">
        <v>68</v>
      </c>
      <c r="AJ352" t="s">
        <v>69</v>
      </c>
      <c r="AK352" t="s">
        <v>70</v>
      </c>
      <c r="AL352" t="s">
        <v>70</v>
      </c>
      <c r="AM352" t="s">
        <v>71</v>
      </c>
      <c r="AN352" t="s">
        <v>72</v>
      </c>
      <c r="AO352" t="s">
        <v>72</v>
      </c>
      <c r="AP352" t="s">
        <v>72</v>
      </c>
      <c r="AQ352" t="s">
        <v>98</v>
      </c>
      <c r="AR352" s="1">
        <v>45593</v>
      </c>
      <c r="AS352" t="s">
        <v>75</v>
      </c>
      <c r="AT352" t="s">
        <v>71</v>
      </c>
      <c r="AU352">
        <v>-61</v>
      </c>
      <c r="AV352" t="s">
        <v>179</v>
      </c>
    </row>
    <row r="353" spans="1:48" x14ac:dyDescent="0.25">
      <c r="A353" t="s">
        <v>640</v>
      </c>
      <c r="B353" t="s">
        <v>166</v>
      </c>
      <c r="C353" t="s">
        <v>369</v>
      </c>
      <c r="D353" t="s">
        <v>122</v>
      </c>
      <c r="E353">
        <v>30</v>
      </c>
      <c r="F353" t="s">
        <v>283</v>
      </c>
      <c r="G353" t="s">
        <v>124</v>
      </c>
      <c r="H353" t="s">
        <v>125</v>
      </c>
      <c r="I353" t="s">
        <v>268</v>
      </c>
      <c r="J353" t="s">
        <v>269</v>
      </c>
      <c r="K353" t="s">
        <v>173</v>
      </c>
      <c r="L353" t="s">
        <v>86</v>
      </c>
      <c r="M353" t="s">
        <v>249</v>
      </c>
      <c r="N353" t="s">
        <v>60</v>
      </c>
      <c r="O353" t="s">
        <v>61</v>
      </c>
      <c r="P353" s="1">
        <v>41543</v>
      </c>
      <c r="Q353">
        <v>10.7</v>
      </c>
      <c r="R353" t="s">
        <v>195</v>
      </c>
      <c r="S353" t="s">
        <v>163</v>
      </c>
      <c r="T353" t="s">
        <v>164</v>
      </c>
      <c r="U353">
        <v>9</v>
      </c>
      <c r="V353">
        <v>1</v>
      </c>
      <c r="W353">
        <v>2730</v>
      </c>
      <c r="X353">
        <v>869</v>
      </c>
      <c r="Y353">
        <v>422</v>
      </c>
      <c r="Z353">
        <v>4021</v>
      </c>
      <c r="AA353">
        <v>361</v>
      </c>
      <c r="AB353" t="s">
        <v>65</v>
      </c>
      <c r="AC353">
        <v>12.9</v>
      </c>
      <c r="AD353">
        <v>78</v>
      </c>
      <c r="AE353">
        <v>52</v>
      </c>
      <c r="AF353" t="s">
        <v>132</v>
      </c>
      <c r="AG353">
        <v>39</v>
      </c>
      <c r="AH353" t="s">
        <v>94</v>
      </c>
      <c r="AI353" t="s">
        <v>177</v>
      </c>
      <c r="AJ353" t="s">
        <v>188</v>
      </c>
      <c r="AK353" t="s">
        <v>70</v>
      </c>
      <c r="AL353" t="s">
        <v>70</v>
      </c>
      <c r="AM353" t="s">
        <v>70</v>
      </c>
      <c r="AN353" t="s">
        <v>243</v>
      </c>
      <c r="AO353" t="s">
        <v>287</v>
      </c>
      <c r="AP353" t="s">
        <v>72</v>
      </c>
      <c r="AQ353" t="s">
        <v>98</v>
      </c>
      <c r="AR353" s="1">
        <v>44054</v>
      </c>
      <c r="AS353" t="s">
        <v>118</v>
      </c>
      <c r="AT353" t="s">
        <v>71</v>
      </c>
      <c r="AU353">
        <v>1382</v>
      </c>
      <c r="AV353" t="s">
        <v>76</v>
      </c>
    </row>
    <row r="354" spans="1:48" x14ac:dyDescent="0.25">
      <c r="A354" t="s">
        <v>641</v>
      </c>
      <c r="B354" t="s">
        <v>210</v>
      </c>
      <c r="C354" t="s">
        <v>272</v>
      </c>
      <c r="D354" t="s">
        <v>51</v>
      </c>
      <c r="E354">
        <v>33</v>
      </c>
      <c r="F354" t="s">
        <v>141</v>
      </c>
      <c r="G354" t="s">
        <v>142</v>
      </c>
      <c r="H354" t="s">
        <v>143</v>
      </c>
      <c r="I354" t="s">
        <v>236</v>
      </c>
      <c r="J354" t="s">
        <v>237</v>
      </c>
      <c r="K354" t="s">
        <v>238</v>
      </c>
      <c r="L354" t="s">
        <v>126</v>
      </c>
      <c r="M354" t="s">
        <v>127</v>
      </c>
      <c r="N354" t="s">
        <v>128</v>
      </c>
      <c r="O354" t="s">
        <v>109</v>
      </c>
      <c r="P354" s="1">
        <v>41437</v>
      </c>
      <c r="Q354">
        <v>11</v>
      </c>
      <c r="R354" t="s">
        <v>150</v>
      </c>
      <c r="S354" t="s">
        <v>91</v>
      </c>
      <c r="T354" t="s">
        <v>92</v>
      </c>
      <c r="U354">
        <v>5</v>
      </c>
      <c r="V354">
        <v>0</v>
      </c>
      <c r="W354">
        <v>5473</v>
      </c>
      <c r="X354">
        <v>1979</v>
      </c>
      <c r="Y354">
        <v>422</v>
      </c>
      <c r="Z354">
        <v>7874</v>
      </c>
      <c r="AA354">
        <v>587</v>
      </c>
      <c r="AB354" t="s">
        <v>65</v>
      </c>
      <c r="AC354">
        <v>13.6</v>
      </c>
      <c r="AD354">
        <v>40</v>
      </c>
      <c r="AE354">
        <v>67</v>
      </c>
      <c r="AF354" t="s">
        <v>112</v>
      </c>
      <c r="AG354">
        <v>34</v>
      </c>
      <c r="AH354" t="s">
        <v>67</v>
      </c>
      <c r="AI354" t="s">
        <v>68</v>
      </c>
      <c r="AJ354" t="s">
        <v>188</v>
      </c>
      <c r="AK354" t="s">
        <v>70</v>
      </c>
      <c r="AL354" t="s">
        <v>71</v>
      </c>
      <c r="AM354" t="s">
        <v>71</v>
      </c>
      <c r="AN354" t="s">
        <v>133</v>
      </c>
      <c r="AO354" t="s">
        <v>116</v>
      </c>
      <c r="AP354" t="s">
        <v>97</v>
      </c>
      <c r="AQ354" t="s">
        <v>136</v>
      </c>
      <c r="AR354" s="1">
        <v>43213</v>
      </c>
      <c r="AS354" t="s">
        <v>118</v>
      </c>
      <c r="AT354" t="s">
        <v>71</v>
      </c>
      <c r="AU354">
        <v>-69</v>
      </c>
      <c r="AV354" t="s">
        <v>179</v>
      </c>
    </row>
    <row r="355" spans="1:48" x14ac:dyDescent="0.25">
      <c r="A355" t="s">
        <v>642</v>
      </c>
      <c r="B355" t="s">
        <v>166</v>
      </c>
      <c r="C355" t="s">
        <v>375</v>
      </c>
      <c r="D355" t="s">
        <v>51</v>
      </c>
      <c r="E355">
        <v>25</v>
      </c>
      <c r="F355" t="s">
        <v>211</v>
      </c>
      <c r="G355" t="s">
        <v>193</v>
      </c>
      <c r="H355" t="s">
        <v>194</v>
      </c>
      <c r="I355" t="s">
        <v>268</v>
      </c>
      <c r="J355" t="s">
        <v>269</v>
      </c>
      <c r="K355" t="s">
        <v>173</v>
      </c>
      <c r="L355" t="s">
        <v>201</v>
      </c>
      <c r="M355" t="s">
        <v>207</v>
      </c>
      <c r="N355" t="s">
        <v>60</v>
      </c>
      <c r="O355" t="s">
        <v>89</v>
      </c>
      <c r="P355" s="1">
        <v>44496</v>
      </c>
      <c r="Q355">
        <v>2.6</v>
      </c>
      <c r="R355" t="s">
        <v>195</v>
      </c>
      <c r="S355" t="s">
        <v>163</v>
      </c>
      <c r="T355" t="s">
        <v>164</v>
      </c>
      <c r="U355">
        <v>14</v>
      </c>
      <c r="V355">
        <v>2</v>
      </c>
      <c r="W355">
        <v>2259</v>
      </c>
      <c r="X355">
        <v>0</v>
      </c>
      <c r="Y355">
        <v>422</v>
      </c>
      <c r="Z355">
        <v>2681</v>
      </c>
      <c r="AA355">
        <v>520</v>
      </c>
      <c r="AB355" t="s">
        <v>65</v>
      </c>
      <c r="AC355">
        <v>20.399999999999999</v>
      </c>
      <c r="AD355">
        <v>40</v>
      </c>
      <c r="AE355">
        <v>36</v>
      </c>
      <c r="AF355" t="s">
        <v>132</v>
      </c>
      <c r="AG355">
        <v>20</v>
      </c>
      <c r="AH355" t="s">
        <v>113</v>
      </c>
      <c r="AI355" t="s">
        <v>114</v>
      </c>
      <c r="AJ355" t="s">
        <v>69</v>
      </c>
      <c r="AK355" t="s">
        <v>70</v>
      </c>
      <c r="AL355" t="s">
        <v>70</v>
      </c>
      <c r="AM355" t="s">
        <v>70</v>
      </c>
      <c r="AN355" t="s">
        <v>202</v>
      </c>
      <c r="AO355" t="s">
        <v>72</v>
      </c>
      <c r="AP355" t="s">
        <v>73</v>
      </c>
      <c r="AQ355" t="s">
        <v>98</v>
      </c>
      <c r="AR355" s="1">
        <v>44373</v>
      </c>
      <c r="AS355" t="s">
        <v>198</v>
      </c>
      <c r="AT355" t="s">
        <v>71</v>
      </c>
      <c r="AU355">
        <v>-401</v>
      </c>
      <c r="AV355" t="s">
        <v>179</v>
      </c>
    </row>
    <row r="356" spans="1:48" x14ac:dyDescent="0.25">
      <c r="A356" t="s">
        <v>643</v>
      </c>
      <c r="B356" t="s">
        <v>205</v>
      </c>
      <c r="C356" t="s">
        <v>155</v>
      </c>
      <c r="D356" t="s">
        <v>51</v>
      </c>
      <c r="E356">
        <v>38</v>
      </c>
      <c r="F356" t="s">
        <v>291</v>
      </c>
      <c r="G356" t="s">
        <v>124</v>
      </c>
      <c r="H356" t="s">
        <v>125</v>
      </c>
      <c r="I356" t="s">
        <v>236</v>
      </c>
      <c r="J356" t="s">
        <v>237</v>
      </c>
      <c r="K356" t="s">
        <v>238</v>
      </c>
      <c r="L356" t="s">
        <v>174</v>
      </c>
      <c r="M356" t="s">
        <v>161</v>
      </c>
      <c r="N356" t="s">
        <v>128</v>
      </c>
      <c r="O356" t="s">
        <v>109</v>
      </c>
      <c r="P356" s="1">
        <v>43008</v>
      </c>
      <c r="Q356">
        <v>6.7</v>
      </c>
      <c r="R356" t="s">
        <v>195</v>
      </c>
      <c r="S356" t="s">
        <v>63</v>
      </c>
      <c r="T356" t="s">
        <v>64</v>
      </c>
      <c r="U356">
        <v>0</v>
      </c>
      <c r="V356">
        <v>0</v>
      </c>
      <c r="W356">
        <v>2730</v>
      </c>
      <c r="X356">
        <v>947</v>
      </c>
      <c r="Y356">
        <v>422</v>
      </c>
      <c r="Z356">
        <v>4099</v>
      </c>
      <c r="AA356">
        <v>560</v>
      </c>
      <c r="AB356" t="s">
        <v>65</v>
      </c>
      <c r="AC356">
        <v>14.1</v>
      </c>
      <c r="AD356">
        <v>66</v>
      </c>
      <c r="AE356">
        <v>76</v>
      </c>
      <c r="AF356" t="s">
        <v>132</v>
      </c>
      <c r="AG356">
        <v>22</v>
      </c>
      <c r="AH356" t="s">
        <v>113</v>
      </c>
      <c r="AI356" t="s">
        <v>177</v>
      </c>
      <c r="AJ356" t="s">
        <v>188</v>
      </c>
      <c r="AK356" t="s">
        <v>71</v>
      </c>
      <c r="AL356" t="s">
        <v>70</v>
      </c>
      <c r="AM356" t="s">
        <v>70</v>
      </c>
      <c r="AN356" t="s">
        <v>72</v>
      </c>
      <c r="AO356" t="s">
        <v>73</v>
      </c>
      <c r="AP356" t="s">
        <v>287</v>
      </c>
      <c r="AQ356" t="s">
        <v>117</v>
      </c>
      <c r="AR356" s="1">
        <v>44854</v>
      </c>
      <c r="AS356" t="s">
        <v>137</v>
      </c>
      <c r="AT356" t="s">
        <v>71</v>
      </c>
      <c r="AU356">
        <v>721</v>
      </c>
      <c r="AV356" t="s">
        <v>76</v>
      </c>
    </row>
    <row r="357" spans="1:48" x14ac:dyDescent="0.25">
      <c r="A357" t="s">
        <v>644</v>
      </c>
      <c r="B357" t="s">
        <v>308</v>
      </c>
      <c r="C357" t="s">
        <v>140</v>
      </c>
      <c r="D357" t="s">
        <v>51</v>
      </c>
      <c r="E357">
        <v>26</v>
      </c>
      <c r="F357" t="s">
        <v>316</v>
      </c>
      <c r="G357" t="s">
        <v>53</v>
      </c>
      <c r="H357" t="s">
        <v>54</v>
      </c>
      <c r="I357" t="s">
        <v>268</v>
      </c>
      <c r="J357" t="s">
        <v>269</v>
      </c>
      <c r="K357" t="s">
        <v>173</v>
      </c>
      <c r="L357" t="s">
        <v>201</v>
      </c>
      <c r="M357" t="s">
        <v>147</v>
      </c>
      <c r="N357" t="s">
        <v>88</v>
      </c>
      <c r="O357" t="s">
        <v>89</v>
      </c>
      <c r="P357" s="1">
        <v>40188</v>
      </c>
      <c r="Q357">
        <v>14.4</v>
      </c>
      <c r="R357" t="s">
        <v>75</v>
      </c>
      <c r="S357" t="s">
        <v>196</v>
      </c>
      <c r="T357" t="s">
        <v>197</v>
      </c>
      <c r="U357">
        <v>0</v>
      </c>
      <c r="V357">
        <v>0</v>
      </c>
      <c r="W357">
        <v>4739</v>
      </c>
      <c r="X357">
        <v>1393</v>
      </c>
      <c r="Y357">
        <v>422</v>
      </c>
      <c r="Z357">
        <v>6554</v>
      </c>
      <c r="AA357">
        <v>370</v>
      </c>
      <c r="AB357" t="s">
        <v>65</v>
      </c>
      <c r="AC357">
        <v>15.8</v>
      </c>
      <c r="AD357">
        <v>42</v>
      </c>
      <c r="AE357">
        <v>34</v>
      </c>
      <c r="AF357" t="s">
        <v>112</v>
      </c>
      <c r="AG357">
        <v>18</v>
      </c>
      <c r="AH357" t="s">
        <v>113</v>
      </c>
      <c r="AI357" t="s">
        <v>177</v>
      </c>
      <c r="AJ357" t="s">
        <v>72</v>
      </c>
      <c r="AK357" t="s">
        <v>71</v>
      </c>
      <c r="AL357" t="s">
        <v>70</v>
      </c>
      <c r="AM357" t="s">
        <v>70</v>
      </c>
      <c r="AN357" t="s">
        <v>202</v>
      </c>
      <c r="AO357" t="s">
        <v>203</v>
      </c>
      <c r="AP357" t="s">
        <v>203</v>
      </c>
      <c r="AQ357" t="s">
        <v>117</v>
      </c>
      <c r="AR357" s="1">
        <v>42919</v>
      </c>
      <c r="AS357" t="s">
        <v>75</v>
      </c>
      <c r="AT357" t="s">
        <v>71</v>
      </c>
      <c r="AU357">
        <v>-257</v>
      </c>
      <c r="AV357" t="s">
        <v>179</v>
      </c>
    </row>
    <row r="358" spans="1:48" x14ac:dyDescent="0.25">
      <c r="A358" t="s">
        <v>645</v>
      </c>
      <c r="B358" t="s">
        <v>245</v>
      </c>
      <c r="C358" t="s">
        <v>155</v>
      </c>
      <c r="D358" t="s">
        <v>51</v>
      </c>
      <c r="E358">
        <v>38</v>
      </c>
      <c r="F358" t="s">
        <v>248</v>
      </c>
      <c r="G358" t="s">
        <v>215</v>
      </c>
      <c r="H358" t="s">
        <v>216</v>
      </c>
      <c r="I358" t="s">
        <v>236</v>
      </c>
      <c r="J358" t="s">
        <v>237</v>
      </c>
      <c r="K358" t="s">
        <v>238</v>
      </c>
      <c r="L358" t="s">
        <v>106</v>
      </c>
      <c r="M358" t="s">
        <v>296</v>
      </c>
      <c r="N358" t="s">
        <v>108</v>
      </c>
      <c r="O358" t="s">
        <v>109</v>
      </c>
      <c r="P358" s="1">
        <v>38950</v>
      </c>
      <c r="Q358">
        <v>17.8</v>
      </c>
      <c r="R358" t="s">
        <v>150</v>
      </c>
      <c r="S358" t="s">
        <v>196</v>
      </c>
      <c r="T358" t="s">
        <v>197</v>
      </c>
      <c r="U358">
        <v>0</v>
      </c>
      <c r="V358">
        <v>0</v>
      </c>
      <c r="W358">
        <v>3637</v>
      </c>
      <c r="X358">
        <v>0</v>
      </c>
      <c r="Y358">
        <v>266</v>
      </c>
      <c r="Z358">
        <v>3903</v>
      </c>
      <c r="AA358">
        <v>596</v>
      </c>
      <c r="AB358" t="s">
        <v>65</v>
      </c>
      <c r="AC358">
        <v>15.4</v>
      </c>
      <c r="AD358">
        <v>24</v>
      </c>
      <c r="AE358">
        <v>56</v>
      </c>
      <c r="AF358" t="s">
        <v>66</v>
      </c>
      <c r="AG358">
        <v>33</v>
      </c>
      <c r="AH358" t="s">
        <v>67</v>
      </c>
      <c r="AI358" t="s">
        <v>95</v>
      </c>
      <c r="AJ358" t="s">
        <v>72</v>
      </c>
      <c r="AK358" t="s">
        <v>70</v>
      </c>
      <c r="AL358" t="s">
        <v>70</v>
      </c>
      <c r="AM358" t="s">
        <v>70</v>
      </c>
      <c r="AN358" t="s">
        <v>72</v>
      </c>
      <c r="AO358" t="s">
        <v>287</v>
      </c>
      <c r="AP358" t="s">
        <v>134</v>
      </c>
      <c r="AQ358" t="s">
        <v>136</v>
      </c>
      <c r="AR358" s="1">
        <v>40583</v>
      </c>
      <c r="AS358" t="s">
        <v>198</v>
      </c>
      <c r="AT358" t="s">
        <v>71</v>
      </c>
      <c r="AU358">
        <v>-413</v>
      </c>
      <c r="AV358" t="s">
        <v>179</v>
      </c>
    </row>
    <row r="359" spans="1:48" x14ac:dyDescent="0.25">
      <c r="A359" t="s">
        <v>646</v>
      </c>
      <c r="B359" t="s">
        <v>263</v>
      </c>
      <c r="C359" t="s">
        <v>50</v>
      </c>
      <c r="D359" t="s">
        <v>51</v>
      </c>
      <c r="E359">
        <v>25</v>
      </c>
      <c r="F359" t="s">
        <v>325</v>
      </c>
      <c r="G359" t="s">
        <v>156</v>
      </c>
      <c r="H359" t="s">
        <v>157</v>
      </c>
      <c r="I359" t="s">
        <v>158</v>
      </c>
      <c r="J359" t="s">
        <v>159</v>
      </c>
      <c r="K359" t="s">
        <v>160</v>
      </c>
      <c r="L359" t="s">
        <v>106</v>
      </c>
      <c r="M359" t="s">
        <v>59</v>
      </c>
      <c r="N359" t="s">
        <v>60</v>
      </c>
      <c r="O359" t="s">
        <v>61</v>
      </c>
      <c r="P359" s="1">
        <v>42302</v>
      </c>
      <c r="Q359">
        <v>8.6</v>
      </c>
      <c r="R359" t="s">
        <v>62</v>
      </c>
      <c r="S359" t="s">
        <v>163</v>
      </c>
      <c r="T359" t="s">
        <v>164</v>
      </c>
      <c r="U359">
        <v>12</v>
      </c>
      <c r="V359">
        <v>2</v>
      </c>
      <c r="W359">
        <v>4836</v>
      </c>
      <c r="X359">
        <v>0</v>
      </c>
      <c r="Y359">
        <v>266</v>
      </c>
      <c r="Z359">
        <v>5102</v>
      </c>
      <c r="AA359">
        <v>360</v>
      </c>
      <c r="AB359" t="s">
        <v>65</v>
      </c>
      <c r="AC359">
        <v>16.2</v>
      </c>
      <c r="AD359">
        <v>47</v>
      </c>
      <c r="AE359">
        <v>65</v>
      </c>
      <c r="AF359" t="s">
        <v>66</v>
      </c>
      <c r="AG359">
        <v>30</v>
      </c>
      <c r="AH359" t="s">
        <v>67</v>
      </c>
      <c r="AI359" t="s">
        <v>152</v>
      </c>
      <c r="AJ359" t="s">
        <v>96</v>
      </c>
      <c r="AK359" t="s">
        <v>70</v>
      </c>
      <c r="AL359" t="s">
        <v>71</v>
      </c>
      <c r="AM359" t="s">
        <v>70</v>
      </c>
      <c r="AN359" t="s">
        <v>72</v>
      </c>
      <c r="AO359" t="s">
        <v>97</v>
      </c>
      <c r="AP359" t="s">
        <v>221</v>
      </c>
      <c r="AQ359" t="s">
        <v>117</v>
      </c>
      <c r="AR359" s="1">
        <v>45066</v>
      </c>
      <c r="AS359" t="s">
        <v>137</v>
      </c>
      <c r="AT359" t="s">
        <v>71</v>
      </c>
      <c r="AU359">
        <v>1696</v>
      </c>
      <c r="AV359" t="s">
        <v>76</v>
      </c>
    </row>
    <row r="360" spans="1:48" x14ac:dyDescent="0.25">
      <c r="A360" t="s">
        <v>647</v>
      </c>
      <c r="B360" t="s">
        <v>120</v>
      </c>
      <c r="C360" t="s">
        <v>50</v>
      </c>
      <c r="D360" t="s">
        <v>51</v>
      </c>
      <c r="E360">
        <v>45</v>
      </c>
      <c r="F360" t="s">
        <v>322</v>
      </c>
      <c r="G360" t="s">
        <v>298</v>
      </c>
      <c r="H360" t="s">
        <v>299</v>
      </c>
      <c r="I360" t="s">
        <v>171</v>
      </c>
      <c r="J360" t="s">
        <v>172</v>
      </c>
      <c r="K360" t="s">
        <v>173</v>
      </c>
      <c r="L360" t="s">
        <v>174</v>
      </c>
      <c r="M360" t="s">
        <v>275</v>
      </c>
      <c r="N360" t="s">
        <v>162</v>
      </c>
      <c r="O360" t="s">
        <v>149</v>
      </c>
      <c r="P360" s="1">
        <v>40668</v>
      </c>
      <c r="Q360">
        <v>13.1</v>
      </c>
      <c r="R360" t="s">
        <v>208</v>
      </c>
      <c r="S360" t="s">
        <v>163</v>
      </c>
      <c r="T360" t="s">
        <v>164</v>
      </c>
      <c r="U360">
        <v>10</v>
      </c>
      <c r="V360">
        <v>1</v>
      </c>
      <c r="W360">
        <v>2149</v>
      </c>
      <c r="X360">
        <v>0</v>
      </c>
      <c r="Y360">
        <v>422</v>
      </c>
      <c r="Z360">
        <v>2571</v>
      </c>
      <c r="AA360">
        <v>493</v>
      </c>
      <c r="AB360" t="s">
        <v>65</v>
      </c>
      <c r="AC360">
        <v>21</v>
      </c>
      <c r="AD360">
        <v>28</v>
      </c>
      <c r="AE360">
        <v>68</v>
      </c>
      <c r="AF360" t="s">
        <v>132</v>
      </c>
      <c r="AG360">
        <v>37</v>
      </c>
      <c r="AH360" t="s">
        <v>94</v>
      </c>
      <c r="AI360" t="s">
        <v>95</v>
      </c>
      <c r="AJ360" t="s">
        <v>188</v>
      </c>
      <c r="AK360" t="s">
        <v>70</v>
      </c>
      <c r="AL360" t="s">
        <v>70</v>
      </c>
      <c r="AM360" t="s">
        <v>70</v>
      </c>
      <c r="AN360" t="s">
        <v>115</v>
      </c>
      <c r="AO360" t="s">
        <v>97</v>
      </c>
      <c r="AP360" t="s">
        <v>97</v>
      </c>
      <c r="AQ360" t="s">
        <v>117</v>
      </c>
      <c r="AR360" s="1">
        <v>42941</v>
      </c>
      <c r="AS360" t="s">
        <v>75</v>
      </c>
      <c r="AT360" t="s">
        <v>71</v>
      </c>
      <c r="AU360">
        <v>500</v>
      </c>
      <c r="AV360" t="s">
        <v>76</v>
      </c>
    </row>
    <row r="361" spans="1:48" x14ac:dyDescent="0.25">
      <c r="A361" t="s">
        <v>648</v>
      </c>
      <c r="B361" t="s">
        <v>245</v>
      </c>
      <c r="C361" t="s">
        <v>360</v>
      </c>
      <c r="D361" t="s">
        <v>51</v>
      </c>
      <c r="E361">
        <v>21</v>
      </c>
      <c r="F361" t="s">
        <v>316</v>
      </c>
      <c r="G361" t="s">
        <v>81</v>
      </c>
      <c r="H361" t="s">
        <v>82</v>
      </c>
      <c r="I361" t="s">
        <v>268</v>
      </c>
      <c r="J361" t="s">
        <v>269</v>
      </c>
      <c r="K361" t="s">
        <v>173</v>
      </c>
      <c r="L361" t="s">
        <v>86</v>
      </c>
      <c r="M361" t="s">
        <v>212</v>
      </c>
      <c r="N361" t="s">
        <v>265</v>
      </c>
      <c r="O361" t="s">
        <v>61</v>
      </c>
      <c r="P361" s="1">
        <v>42336</v>
      </c>
      <c r="Q361">
        <v>8.5</v>
      </c>
      <c r="R361" t="s">
        <v>150</v>
      </c>
      <c r="S361" t="s">
        <v>110</v>
      </c>
      <c r="T361" t="s">
        <v>111</v>
      </c>
      <c r="U361">
        <v>2</v>
      </c>
      <c r="V361">
        <v>0</v>
      </c>
      <c r="W361">
        <v>2504</v>
      </c>
      <c r="X361">
        <v>0</v>
      </c>
      <c r="Y361">
        <v>422</v>
      </c>
      <c r="Z361">
        <v>2926</v>
      </c>
      <c r="AA361">
        <v>446</v>
      </c>
      <c r="AB361" t="s">
        <v>65</v>
      </c>
      <c r="AC361">
        <v>19.7</v>
      </c>
      <c r="AD361">
        <v>53</v>
      </c>
      <c r="AE361">
        <v>44</v>
      </c>
      <c r="AF361" t="s">
        <v>93</v>
      </c>
      <c r="AG361">
        <v>19</v>
      </c>
      <c r="AH361" t="s">
        <v>113</v>
      </c>
      <c r="AI361" t="s">
        <v>95</v>
      </c>
      <c r="AJ361" t="s">
        <v>188</v>
      </c>
      <c r="AK361" t="s">
        <v>70</v>
      </c>
      <c r="AL361" t="s">
        <v>70</v>
      </c>
      <c r="AM361" t="s">
        <v>70</v>
      </c>
      <c r="AN361" t="s">
        <v>72</v>
      </c>
      <c r="AO361" t="s">
        <v>221</v>
      </c>
      <c r="AP361" t="s">
        <v>72</v>
      </c>
      <c r="AQ361" t="s">
        <v>98</v>
      </c>
      <c r="AR361" s="1">
        <v>44414</v>
      </c>
      <c r="AS361" t="s">
        <v>137</v>
      </c>
      <c r="AT361" t="s">
        <v>71</v>
      </c>
      <c r="AU361">
        <v>1073</v>
      </c>
      <c r="AV361" t="s">
        <v>76</v>
      </c>
    </row>
    <row r="362" spans="1:48" x14ac:dyDescent="0.25">
      <c r="A362" t="s">
        <v>649</v>
      </c>
      <c r="B362" t="s">
        <v>205</v>
      </c>
      <c r="C362" t="s">
        <v>79</v>
      </c>
      <c r="D362" t="s">
        <v>51</v>
      </c>
      <c r="E362">
        <v>42</v>
      </c>
      <c r="F362" t="s">
        <v>316</v>
      </c>
      <c r="G362" t="s">
        <v>242</v>
      </c>
      <c r="H362" t="s">
        <v>54</v>
      </c>
      <c r="I362" t="s">
        <v>144</v>
      </c>
      <c r="J362" t="s">
        <v>145</v>
      </c>
      <c r="K362" t="s">
        <v>146</v>
      </c>
      <c r="L362" t="s">
        <v>201</v>
      </c>
      <c r="M362" t="s">
        <v>212</v>
      </c>
      <c r="N362" t="s">
        <v>162</v>
      </c>
      <c r="O362" t="s">
        <v>89</v>
      </c>
      <c r="P362" s="1">
        <v>41487</v>
      </c>
      <c r="Q362">
        <v>10.8</v>
      </c>
      <c r="R362" t="s">
        <v>150</v>
      </c>
      <c r="S362" t="s">
        <v>91</v>
      </c>
      <c r="T362" t="s">
        <v>92</v>
      </c>
      <c r="U362">
        <v>14</v>
      </c>
      <c r="V362">
        <v>2</v>
      </c>
      <c r="W362">
        <v>4739</v>
      </c>
      <c r="X362">
        <v>0</v>
      </c>
      <c r="Y362">
        <v>422</v>
      </c>
      <c r="Z362">
        <v>5161</v>
      </c>
      <c r="AA362">
        <v>510</v>
      </c>
      <c r="AB362" t="s">
        <v>65</v>
      </c>
      <c r="AC362">
        <v>14.2</v>
      </c>
      <c r="AD362">
        <v>31</v>
      </c>
      <c r="AE362">
        <v>72</v>
      </c>
      <c r="AF362" t="s">
        <v>66</v>
      </c>
      <c r="AG362">
        <v>37</v>
      </c>
      <c r="AH362" t="s">
        <v>94</v>
      </c>
      <c r="AI362" t="s">
        <v>68</v>
      </c>
      <c r="AJ362" t="s">
        <v>96</v>
      </c>
      <c r="AK362" t="s">
        <v>70</v>
      </c>
      <c r="AL362" t="s">
        <v>70</v>
      </c>
      <c r="AM362" t="s">
        <v>70</v>
      </c>
      <c r="AN362" t="s">
        <v>133</v>
      </c>
      <c r="AO362" t="s">
        <v>134</v>
      </c>
      <c r="AP362" t="s">
        <v>72</v>
      </c>
      <c r="AQ362" t="s">
        <v>117</v>
      </c>
      <c r="AR362" s="1">
        <v>41742</v>
      </c>
      <c r="AS362" t="s">
        <v>198</v>
      </c>
      <c r="AT362" t="s">
        <v>71</v>
      </c>
      <c r="AU362">
        <v>-53</v>
      </c>
      <c r="AV362" t="s">
        <v>179</v>
      </c>
    </row>
    <row r="363" spans="1:48" x14ac:dyDescent="0.25">
      <c r="A363" t="s">
        <v>650</v>
      </c>
      <c r="B363" t="s">
        <v>210</v>
      </c>
      <c r="C363" t="s">
        <v>396</v>
      </c>
      <c r="D363" t="s">
        <v>122</v>
      </c>
      <c r="E363">
        <v>19</v>
      </c>
      <c r="F363" t="s">
        <v>305</v>
      </c>
      <c r="G363" t="s">
        <v>142</v>
      </c>
      <c r="H363" t="s">
        <v>143</v>
      </c>
      <c r="I363" t="s">
        <v>144</v>
      </c>
      <c r="J363" t="s">
        <v>145</v>
      </c>
      <c r="K363" t="s">
        <v>146</v>
      </c>
      <c r="L363" t="s">
        <v>201</v>
      </c>
      <c r="M363" t="s">
        <v>249</v>
      </c>
      <c r="N363" t="s">
        <v>162</v>
      </c>
      <c r="O363" t="s">
        <v>61</v>
      </c>
      <c r="P363" s="1">
        <v>44244</v>
      </c>
      <c r="Q363">
        <v>3.3</v>
      </c>
      <c r="R363" t="s">
        <v>62</v>
      </c>
      <c r="S363" t="s">
        <v>63</v>
      </c>
      <c r="T363" t="s">
        <v>64</v>
      </c>
      <c r="U363">
        <v>0</v>
      </c>
      <c r="V363">
        <v>0</v>
      </c>
      <c r="W363">
        <v>5473</v>
      </c>
      <c r="X363">
        <v>1862</v>
      </c>
      <c r="Y363">
        <v>422</v>
      </c>
      <c r="Z363">
        <v>7757</v>
      </c>
      <c r="AA363">
        <v>411</v>
      </c>
      <c r="AB363" t="s">
        <v>65</v>
      </c>
      <c r="AC363">
        <v>13.9</v>
      </c>
      <c r="AD363">
        <v>44</v>
      </c>
      <c r="AE363">
        <v>59</v>
      </c>
      <c r="AF363" t="s">
        <v>93</v>
      </c>
      <c r="AG363">
        <v>16</v>
      </c>
      <c r="AH363" t="s">
        <v>113</v>
      </c>
      <c r="AI363" t="s">
        <v>68</v>
      </c>
      <c r="AJ363" t="s">
        <v>96</v>
      </c>
      <c r="AK363" t="s">
        <v>70</v>
      </c>
      <c r="AL363" t="s">
        <v>70</v>
      </c>
      <c r="AM363" t="s">
        <v>70</v>
      </c>
      <c r="AN363" t="s">
        <v>72</v>
      </c>
      <c r="AO363" t="s">
        <v>134</v>
      </c>
      <c r="AP363" t="s">
        <v>134</v>
      </c>
      <c r="AQ363" t="s">
        <v>136</v>
      </c>
      <c r="AR363" s="1">
        <v>44710</v>
      </c>
      <c r="AS363" t="s">
        <v>75</v>
      </c>
      <c r="AT363" t="s">
        <v>71</v>
      </c>
      <c r="AU363">
        <v>-450</v>
      </c>
      <c r="AV363" t="s">
        <v>179</v>
      </c>
    </row>
    <row r="364" spans="1:48" x14ac:dyDescent="0.25">
      <c r="A364" t="s">
        <v>651</v>
      </c>
      <c r="B364" t="s">
        <v>251</v>
      </c>
      <c r="C364" t="s">
        <v>252</v>
      </c>
      <c r="D364" t="s">
        <v>51</v>
      </c>
      <c r="E364">
        <v>26</v>
      </c>
      <c r="F364" t="s">
        <v>80</v>
      </c>
      <c r="G364" t="s">
        <v>215</v>
      </c>
      <c r="H364" t="s">
        <v>216</v>
      </c>
      <c r="I364" t="s">
        <v>144</v>
      </c>
      <c r="J364" t="s">
        <v>145</v>
      </c>
      <c r="K364" t="s">
        <v>146</v>
      </c>
      <c r="L364" t="s">
        <v>86</v>
      </c>
      <c r="M364" t="s">
        <v>275</v>
      </c>
      <c r="N364" t="s">
        <v>162</v>
      </c>
      <c r="O364" t="s">
        <v>109</v>
      </c>
      <c r="P364" s="1">
        <v>38494</v>
      </c>
      <c r="Q364">
        <v>19</v>
      </c>
      <c r="R364" t="s">
        <v>208</v>
      </c>
      <c r="S364" t="s">
        <v>91</v>
      </c>
      <c r="T364" t="s">
        <v>92</v>
      </c>
      <c r="U364">
        <v>0</v>
      </c>
      <c r="V364">
        <v>0</v>
      </c>
      <c r="W364">
        <v>3637</v>
      </c>
      <c r="X364">
        <v>0</v>
      </c>
      <c r="Y364">
        <v>266</v>
      </c>
      <c r="Z364">
        <v>3903</v>
      </c>
      <c r="AA364">
        <v>574</v>
      </c>
      <c r="AB364" t="s">
        <v>65</v>
      </c>
      <c r="AC364">
        <v>20.7</v>
      </c>
      <c r="AD364">
        <v>50</v>
      </c>
      <c r="AE364">
        <v>70</v>
      </c>
      <c r="AF364" t="s">
        <v>93</v>
      </c>
      <c r="AG364">
        <v>29</v>
      </c>
      <c r="AH364" t="s">
        <v>113</v>
      </c>
      <c r="AI364" t="s">
        <v>68</v>
      </c>
      <c r="AJ364" t="s">
        <v>96</v>
      </c>
      <c r="AK364" t="s">
        <v>71</v>
      </c>
      <c r="AL364" t="s">
        <v>70</v>
      </c>
      <c r="AM364" t="s">
        <v>70</v>
      </c>
      <c r="AN364" t="s">
        <v>72</v>
      </c>
      <c r="AO364" t="s">
        <v>135</v>
      </c>
      <c r="AP364" t="s">
        <v>97</v>
      </c>
      <c r="AQ364" t="s">
        <v>117</v>
      </c>
      <c r="AR364" s="1">
        <v>43516</v>
      </c>
      <c r="AS364" t="s">
        <v>198</v>
      </c>
      <c r="AT364" t="s">
        <v>71</v>
      </c>
      <c r="AU364">
        <v>214</v>
      </c>
      <c r="AV364" t="s">
        <v>76</v>
      </c>
    </row>
    <row r="365" spans="1:48" x14ac:dyDescent="0.25">
      <c r="A365" t="s">
        <v>652</v>
      </c>
      <c r="B365" t="s">
        <v>120</v>
      </c>
      <c r="C365" t="s">
        <v>191</v>
      </c>
      <c r="D365" t="s">
        <v>51</v>
      </c>
      <c r="E365">
        <v>34</v>
      </c>
      <c r="F365" t="s">
        <v>278</v>
      </c>
      <c r="G365" t="s">
        <v>81</v>
      </c>
      <c r="H365" t="s">
        <v>82</v>
      </c>
      <c r="I365" t="s">
        <v>158</v>
      </c>
      <c r="J365" t="s">
        <v>159</v>
      </c>
      <c r="K365" t="s">
        <v>160</v>
      </c>
      <c r="L365" t="s">
        <v>174</v>
      </c>
      <c r="M365" t="s">
        <v>275</v>
      </c>
      <c r="N365" t="s">
        <v>265</v>
      </c>
      <c r="O365" t="s">
        <v>61</v>
      </c>
      <c r="P365" s="1">
        <v>41960</v>
      </c>
      <c r="Q365">
        <v>9.5</v>
      </c>
      <c r="R365" t="s">
        <v>208</v>
      </c>
      <c r="S365" t="s">
        <v>63</v>
      </c>
      <c r="T365" t="s">
        <v>64</v>
      </c>
      <c r="U365">
        <v>0</v>
      </c>
      <c r="V365">
        <v>0</v>
      </c>
      <c r="W365">
        <v>2504</v>
      </c>
      <c r="X365">
        <v>0</v>
      </c>
      <c r="Y365">
        <v>422</v>
      </c>
      <c r="Z365">
        <v>2926</v>
      </c>
      <c r="AA365">
        <v>422</v>
      </c>
      <c r="AB365" t="s">
        <v>65</v>
      </c>
      <c r="AC365">
        <v>17.2</v>
      </c>
      <c r="AD365">
        <v>34</v>
      </c>
      <c r="AE365">
        <v>33</v>
      </c>
      <c r="AF365" t="s">
        <v>112</v>
      </c>
      <c r="AG365">
        <v>16</v>
      </c>
      <c r="AH365" t="s">
        <v>113</v>
      </c>
      <c r="AI365" t="s">
        <v>177</v>
      </c>
      <c r="AJ365" t="s">
        <v>188</v>
      </c>
      <c r="AK365" t="s">
        <v>70</v>
      </c>
      <c r="AL365" t="s">
        <v>71</v>
      </c>
      <c r="AM365" t="s">
        <v>71</v>
      </c>
      <c r="AN365" t="s">
        <v>72</v>
      </c>
      <c r="AO365" t="s">
        <v>72</v>
      </c>
      <c r="AP365" t="s">
        <v>221</v>
      </c>
      <c r="AQ365" t="s">
        <v>136</v>
      </c>
      <c r="AR365" s="1">
        <v>42974</v>
      </c>
      <c r="AS365" t="s">
        <v>137</v>
      </c>
      <c r="AT365" t="s">
        <v>71</v>
      </c>
      <c r="AU365">
        <v>1021</v>
      </c>
      <c r="AV365" t="s">
        <v>76</v>
      </c>
    </row>
    <row r="366" spans="1:48" x14ac:dyDescent="0.25">
      <c r="A366" t="s">
        <v>653</v>
      </c>
      <c r="B366" t="s">
        <v>139</v>
      </c>
      <c r="C366" t="s">
        <v>223</v>
      </c>
      <c r="D366" t="s">
        <v>122</v>
      </c>
      <c r="E366">
        <v>21</v>
      </c>
      <c r="F366" t="s">
        <v>305</v>
      </c>
      <c r="G366" t="s">
        <v>183</v>
      </c>
      <c r="H366" t="s">
        <v>184</v>
      </c>
      <c r="I366" t="s">
        <v>236</v>
      </c>
      <c r="J366" t="s">
        <v>237</v>
      </c>
      <c r="K366" t="s">
        <v>238</v>
      </c>
      <c r="L366" t="s">
        <v>86</v>
      </c>
      <c r="M366" t="s">
        <v>275</v>
      </c>
      <c r="N366" t="s">
        <v>60</v>
      </c>
      <c r="O366" t="s">
        <v>176</v>
      </c>
      <c r="P366" s="1">
        <v>43325</v>
      </c>
      <c r="Q366">
        <v>5.8</v>
      </c>
      <c r="R366" t="s">
        <v>150</v>
      </c>
      <c r="S366" t="s">
        <v>196</v>
      </c>
      <c r="T366" t="s">
        <v>197</v>
      </c>
      <c r="U366">
        <v>0</v>
      </c>
      <c r="V366">
        <v>0</v>
      </c>
      <c r="W366">
        <v>5696</v>
      </c>
      <c r="X366">
        <v>1537</v>
      </c>
      <c r="Y366">
        <v>266</v>
      </c>
      <c r="Z366">
        <v>7499</v>
      </c>
      <c r="AA366">
        <v>481</v>
      </c>
      <c r="AB366" t="s">
        <v>65</v>
      </c>
      <c r="AC366">
        <v>20.8</v>
      </c>
      <c r="AD366">
        <v>77</v>
      </c>
      <c r="AE366">
        <v>71</v>
      </c>
      <c r="AF366" t="s">
        <v>132</v>
      </c>
      <c r="AG366">
        <v>25</v>
      </c>
      <c r="AH366" t="s">
        <v>113</v>
      </c>
      <c r="AI366" t="s">
        <v>114</v>
      </c>
      <c r="AJ366" t="s">
        <v>96</v>
      </c>
      <c r="AK366" t="s">
        <v>70</v>
      </c>
      <c r="AL366" t="s">
        <v>70</v>
      </c>
      <c r="AM366" t="s">
        <v>71</v>
      </c>
      <c r="AN366" t="s">
        <v>133</v>
      </c>
      <c r="AO366" t="s">
        <v>116</v>
      </c>
      <c r="AP366" t="s">
        <v>72</v>
      </c>
      <c r="AQ366" t="s">
        <v>117</v>
      </c>
      <c r="AR366" s="1">
        <v>45182</v>
      </c>
      <c r="AS366" t="s">
        <v>75</v>
      </c>
      <c r="AT366" t="s">
        <v>71</v>
      </c>
      <c r="AU366">
        <v>909</v>
      </c>
      <c r="AV366" t="s">
        <v>76</v>
      </c>
    </row>
    <row r="367" spans="1:48" x14ac:dyDescent="0.25">
      <c r="A367" t="s">
        <v>654</v>
      </c>
      <c r="B367" t="s">
        <v>251</v>
      </c>
      <c r="C367" t="s">
        <v>375</v>
      </c>
      <c r="D367" t="s">
        <v>51</v>
      </c>
      <c r="E367">
        <v>43</v>
      </c>
      <c r="F367" t="s">
        <v>248</v>
      </c>
      <c r="G367" t="s">
        <v>298</v>
      </c>
      <c r="H367" t="s">
        <v>299</v>
      </c>
      <c r="I367" t="s">
        <v>158</v>
      </c>
      <c r="J367" t="s">
        <v>159</v>
      </c>
      <c r="K367" t="s">
        <v>160</v>
      </c>
      <c r="L367" t="s">
        <v>106</v>
      </c>
      <c r="M367" t="s">
        <v>275</v>
      </c>
      <c r="N367" t="s">
        <v>162</v>
      </c>
      <c r="O367" t="s">
        <v>89</v>
      </c>
      <c r="P367" s="1">
        <v>38986</v>
      </c>
      <c r="Q367">
        <v>17.7</v>
      </c>
      <c r="R367" t="s">
        <v>62</v>
      </c>
      <c r="S367" t="s">
        <v>130</v>
      </c>
      <c r="T367" t="s">
        <v>131</v>
      </c>
      <c r="U367">
        <v>13</v>
      </c>
      <c r="V367">
        <v>2</v>
      </c>
      <c r="W367">
        <v>2149</v>
      </c>
      <c r="X367">
        <v>0</v>
      </c>
      <c r="Y367">
        <v>422</v>
      </c>
      <c r="Z367">
        <v>2571</v>
      </c>
      <c r="AA367">
        <v>600</v>
      </c>
      <c r="AB367" t="s">
        <v>65</v>
      </c>
      <c r="AC367">
        <v>19.7</v>
      </c>
      <c r="AD367">
        <v>53</v>
      </c>
      <c r="AE367">
        <v>33</v>
      </c>
      <c r="AF367" t="s">
        <v>132</v>
      </c>
      <c r="AG367">
        <v>37</v>
      </c>
      <c r="AH367" t="s">
        <v>94</v>
      </c>
      <c r="AI367" t="s">
        <v>114</v>
      </c>
      <c r="AJ367" t="s">
        <v>96</v>
      </c>
      <c r="AK367" t="s">
        <v>70</v>
      </c>
      <c r="AL367" t="s">
        <v>70</v>
      </c>
      <c r="AM367" t="s">
        <v>70</v>
      </c>
      <c r="AN367" t="s">
        <v>72</v>
      </c>
      <c r="AO367" t="s">
        <v>203</v>
      </c>
      <c r="AP367" t="s">
        <v>221</v>
      </c>
      <c r="AQ367" t="s">
        <v>117</v>
      </c>
      <c r="AR367" s="1">
        <v>39663</v>
      </c>
      <c r="AS367" t="s">
        <v>198</v>
      </c>
      <c r="AT367" t="s">
        <v>71</v>
      </c>
      <c r="AU367">
        <v>487</v>
      </c>
      <c r="AV367" t="s">
        <v>76</v>
      </c>
    </row>
    <row r="368" spans="1:48" x14ac:dyDescent="0.25">
      <c r="A368" t="s">
        <v>655</v>
      </c>
      <c r="B368" t="s">
        <v>166</v>
      </c>
      <c r="C368" t="s">
        <v>396</v>
      </c>
      <c r="D368" t="s">
        <v>122</v>
      </c>
      <c r="E368">
        <v>21</v>
      </c>
      <c r="F368" t="s">
        <v>325</v>
      </c>
      <c r="G368" t="s">
        <v>301</v>
      </c>
      <c r="H368" t="s">
        <v>302</v>
      </c>
      <c r="I368" t="s">
        <v>171</v>
      </c>
      <c r="J368" t="s">
        <v>172</v>
      </c>
      <c r="K368" t="s">
        <v>173</v>
      </c>
      <c r="L368" t="s">
        <v>86</v>
      </c>
      <c r="M368" t="s">
        <v>147</v>
      </c>
      <c r="N368" t="s">
        <v>148</v>
      </c>
      <c r="O368" t="s">
        <v>89</v>
      </c>
      <c r="P368" s="1">
        <v>41320</v>
      </c>
      <c r="Q368">
        <v>11.3</v>
      </c>
      <c r="R368" t="s">
        <v>208</v>
      </c>
      <c r="S368" t="s">
        <v>219</v>
      </c>
      <c r="T368" t="s">
        <v>220</v>
      </c>
      <c r="U368">
        <v>0</v>
      </c>
      <c r="V368">
        <v>0</v>
      </c>
      <c r="W368">
        <v>4188</v>
      </c>
      <c r="X368">
        <v>0</v>
      </c>
      <c r="Y368">
        <v>266</v>
      </c>
      <c r="Z368">
        <v>4454</v>
      </c>
      <c r="AA368">
        <v>581</v>
      </c>
      <c r="AB368" t="s">
        <v>65</v>
      </c>
      <c r="AC368">
        <v>16.3</v>
      </c>
      <c r="AD368">
        <v>46</v>
      </c>
      <c r="AE368">
        <v>44</v>
      </c>
      <c r="AF368" t="s">
        <v>93</v>
      </c>
      <c r="AG368">
        <v>33</v>
      </c>
      <c r="AH368" t="s">
        <v>67</v>
      </c>
      <c r="AI368" t="s">
        <v>95</v>
      </c>
      <c r="AJ368" t="s">
        <v>96</v>
      </c>
      <c r="AK368" t="s">
        <v>70</v>
      </c>
      <c r="AL368" t="s">
        <v>70</v>
      </c>
      <c r="AM368" t="s">
        <v>70</v>
      </c>
      <c r="AN368" t="s">
        <v>202</v>
      </c>
      <c r="AO368" t="s">
        <v>73</v>
      </c>
      <c r="AP368" t="s">
        <v>227</v>
      </c>
      <c r="AQ368" t="s">
        <v>98</v>
      </c>
      <c r="AR368" s="1">
        <v>45323</v>
      </c>
      <c r="AS368" t="s">
        <v>198</v>
      </c>
      <c r="AT368" t="s">
        <v>71</v>
      </c>
      <c r="AU368">
        <v>311</v>
      </c>
      <c r="AV368" t="s">
        <v>76</v>
      </c>
    </row>
    <row r="369" spans="1:48" x14ac:dyDescent="0.25">
      <c r="A369" t="s">
        <v>656</v>
      </c>
      <c r="B369" t="s">
        <v>346</v>
      </c>
      <c r="C369" t="s">
        <v>200</v>
      </c>
      <c r="D369" t="s">
        <v>51</v>
      </c>
      <c r="E369">
        <v>25</v>
      </c>
      <c r="F369" t="s">
        <v>224</v>
      </c>
      <c r="G369" t="s">
        <v>101</v>
      </c>
      <c r="H369" t="s">
        <v>102</v>
      </c>
      <c r="I369" t="s">
        <v>171</v>
      </c>
      <c r="J369" t="s">
        <v>172</v>
      </c>
      <c r="K369" t="s">
        <v>173</v>
      </c>
      <c r="L369" t="s">
        <v>126</v>
      </c>
      <c r="M369" t="s">
        <v>207</v>
      </c>
      <c r="N369" t="s">
        <v>128</v>
      </c>
      <c r="O369" t="s">
        <v>61</v>
      </c>
      <c r="P369" s="1">
        <v>44180</v>
      </c>
      <c r="Q369">
        <v>3.5</v>
      </c>
      <c r="R369" t="s">
        <v>195</v>
      </c>
      <c r="S369" t="s">
        <v>91</v>
      </c>
      <c r="T369" t="s">
        <v>92</v>
      </c>
      <c r="U369">
        <v>3</v>
      </c>
      <c r="V369">
        <v>0</v>
      </c>
      <c r="W369">
        <v>2980</v>
      </c>
      <c r="X369">
        <v>0</v>
      </c>
      <c r="Y369">
        <v>422</v>
      </c>
      <c r="Z369">
        <v>3402</v>
      </c>
      <c r="AA369">
        <v>375</v>
      </c>
      <c r="AB369" t="s">
        <v>65</v>
      </c>
      <c r="AC369">
        <v>19.600000000000001</v>
      </c>
      <c r="AD369">
        <v>21</v>
      </c>
      <c r="AE369">
        <v>74</v>
      </c>
      <c r="AF369" t="s">
        <v>66</v>
      </c>
      <c r="AG369">
        <v>20</v>
      </c>
      <c r="AH369" t="s">
        <v>113</v>
      </c>
      <c r="AI369" t="s">
        <v>177</v>
      </c>
      <c r="AJ369" t="s">
        <v>188</v>
      </c>
      <c r="AK369" t="s">
        <v>70</v>
      </c>
      <c r="AL369" t="s">
        <v>70</v>
      </c>
      <c r="AM369" t="s">
        <v>70</v>
      </c>
      <c r="AN369" t="s">
        <v>243</v>
      </c>
      <c r="AO369" t="s">
        <v>203</v>
      </c>
      <c r="AP369" t="s">
        <v>227</v>
      </c>
      <c r="AQ369" t="s">
        <v>74</v>
      </c>
      <c r="AR369" s="1">
        <v>45042</v>
      </c>
      <c r="AS369" t="s">
        <v>75</v>
      </c>
      <c r="AT369" t="s">
        <v>71</v>
      </c>
      <c r="AU369">
        <v>-59</v>
      </c>
      <c r="AV369" t="s">
        <v>179</v>
      </c>
    </row>
    <row r="370" spans="1:48" x14ac:dyDescent="0.25">
      <c r="A370" t="s">
        <v>657</v>
      </c>
      <c r="B370" t="s">
        <v>282</v>
      </c>
      <c r="C370" t="s">
        <v>79</v>
      </c>
      <c r="D370" t="s">
        <v>51</v>
      </c>
      <c r="E370">
        <v>41</v>
      </c>
      <c r="F370" t="s">
        <v>241</v>
      </c>
      <c r="G370" t="s">
        <v>279</v>
      </c>
      <c r="H370" t="s">
        <v>280</v>
      </c>
      <c r="I370" t="s">
        <v>236</v>
      </c>
      <c r="J370" t="s">
        <v>237</v>
      </c>
      <c r="K370" t="s">
        <v>238</v>
      </c>
      <c r="L370" t="s">
        <v>126</v>
      </c>
      <c r="M370" t="s">
        <v>175</v>
      </c>
      <c r="N370" t="s">
        <v>162</v>
      </c>
      <c r="O370" t="s">
        <v>109</v>
      </c>
      <c r="P370" s="1">
        <v>40722</v>
      </c>
      <c r="Q370">
        <v>12.9</v>
      </c>
      <c r="R370" t="s">
        <v>75</v>
      </c>
      <c r="S370" t="s">
        <v>196</v>
      </c>
      <c r="T370" t="s">
        <v>197</v>
      </c>
      <c r="U370">
        <v>0</v>
      </c>
      <c r="V370">
        <v>0</v>
      </c>
      <c r="W370">
        <v>6618</v>
      </c>
      <c r="X370">
        <v>0</v>
      </c>
      <c r="Y370">
        <v>266</v>
      </c>
      <c r="Z370">
        <v>6884</v>
      </c>
      <c r="AA370">
        <v>591</v>
      </c>
      <c r="AB370" t="s">
        <v>65</v>
      </c>
      <c r="AC370">
        <v>18.7</v>
      </c>
      <c r="AD370">
        <v>66</v>
      </c>
      <c r="AE370">
        <v>79</v>
      </c>
      <c r="AF370" t="s">
        <v>66</v>
      </c>
      <c r="AG370">
        <v>20</v>
      </c>
      <c r="AH370" t="s">
        <v>113</v>
      </c>
      <c r="AI370" t="s">
        <v>68</v>
      </c>
      <c r="AJ370" t="s">
        <v>96</v>
      </c>
      <c r="AK370" t="s">
        <v>70</v>
      </c>
      <c r="AL370" t="s">
        <v>71</v>
      </c>
      <c r="AM370" t="s">
        <v>70</v>
      </c>
      <c r="AN370" t="s">
        <v>72</v>
      </c>
      <c r="AO370" t="s">
        <v>135</v>
      </c>
      <c r="AP370" t="s">
        <v>221</v>
      </c>
      <c r="AQ370" t="s">
        <v>74</v>
      </c>
      <c r="AR370" s="1">
        <v>44585</v>
      </c>
      <c r="AS370" t="s">
        <v>137</v>
      </c>
      <c r="AT370" t="s">
        <v>71</v>
      </c>
      <c r="AU370">
        <v>897</v>
      </c>
      <c r="AV370" t="s">
        <v>76</v>
      </c>
    </row>
    <row r="371" spans="1:48" x14ac:dyDescent="0.25">
      <c r="A371" t="s">
        <v>658</v>
      </c>
      <c r="B371" t="s">
        <v>154</v>
      </c>
      <c r="C371" t="s">
        <v>257</v>
      </c>
      <c r="D371" t="s">
        <v>51</v>
      </c>
      <c r="E371">
        <v>27</v>
      </c>
      <c r="F371" t="s">
        <v>80</v>
      </c>
      <c r="G371" t="s">
        <v>215</v>
      </c>
      <c r="H371" t="s">
        <v>216</v>
      </c>
      <c r="I371" t="s">
        <v>253</v>
      </c>
      <c r="J371" t="s">
        <v>254</v>
      </c>
      <c r="K371" t="s">
        <v>255</v>
      </c>
      <c r="L371" t="s">
        <v>86</v>
      </c>
      <c r="M371" t="s">
        <v>275</v>
      </c>
      <c r="N371" t="s">
        <v>108</v>
      </c>
      <c r="O371" t="s">
        <v>89</v>
      </c>
      <c r="P371" s="1">
        <v>44371</v>
      </c>
      <c r="Q371">
        <v>2.9</v>
      </c>
      <c r="R371" t="s">
        <v>195</v>
      </c>
      <c r="S371" t="s">
        <v>219</v>
      </c>
      <c r="T371" t="s">
        <v>220</v>
      </c>
      <c r="U371">
        <v>0</v>
      </c>
      <c r="V371">
        <v>0</v>
      </c>
      <c r="W371">
        <v>3637</v>
      </c>
      <c r="X371">
        <v>1231</v>
      </c>
      <c r="Y371">
        <v>266</v>
      </c>
      <c r="Z371">
        <v>5134</v>
      </c>
      <c r="AA371">
        <v>450</v>
      </c>
      <c r="AB371" t="s">
        <v>65</v>
      </c>
      <c r="AC371">
        <v>16.899999999999999</v>
      </c>
      <c r="AD371">
        <v>56</v>
      </c>
      <c r="AE371">
        <v>69</v>
      </c>
      <c r="AF371" t="s">
        <v>66</v>
      </c>
      <c r="AG371">
        <v>27</v>
      </c>
      <c r="AH371" t="s">
        <v>113</v>
      </c>
      <c r="AI371" t="s">
        <v>152</v>
      </c>
      <c r="AJ371" t="s">
        <v>69</v>
      </c>
      <c r="AK371" t="s">
        <v>70</v>
      </c>
      <c r="AL371" t="s">
        <v>71</v>
      </c>
      <c r="AM371" t="s">
        <v>70</v>
      </c>
      <c r="AN371" t="s">
        <v>133</v>
      </c>
      <c r="AO371" t="s">
        <v>134</v>
      </c>
      <c r="AP371" t="s">
        <v>72</v>
      </c>
      <c r="AQ371" t="s">
        <v>117</v>
      </c>
      <c r="AR371" s="1">
        <v>44767</v>
      </c>
      <c r="AS371" t="s">
        <v>137</v>
      </c>
      <c r="AT371" t="s">
        <v>71</v>
      </c>
      <c r="AU371">
        <v>77</v>
      </c>
      <c r="AV371" t="s">
        <v>179</v>
      </c>
    </row>
    <row r="372" spans="1:48" x14ac:dyDescent="0.25">
      <c r="A372" t="s">
        <v>659</v>
      </c>
      <c r="B372" t="s">
        <v>245</v>
      </c>
      <c r="C372" t="s">
        <v>155</v>
      </c>
      <c r="D372" t="s">
        <v>51</v>
      </c>
      <c r="E372">
        <v>26</v>
      </c>
      <c r="F372" t="s">
        <v>325</v>
      </c>
      <c r="G372" t="s">
        <v>101</v>
      </c>
      <c r="H372" t="s">
        <v>102</v>
      </c>
      <c r="I372" t="s">
        <v>268</v>
      </c>
      <c r="J372" t="s">
        <v>269</v>
      </c>
      <c r="K372" t="s">
        <v>173</v>
      </c>
      <c r="L372" t="s">
        <v>201</v>
      </c>
      <c r="M372" t="s">
        <v>296</v>
      </c>
      <c r="N372" t="s">
        <v>148</v>
      </c>
      <c r="O372" t="s">
        <v>61</v>
      </c>
      <c r="P372" s="1">
        <v>44898</v>
      </c>
      <c r="Q372">
        <v>1.5</v>
      </c>
      <c r="R372" t="s">
        <v>129</v>
      </c>
      <c r="S372" t="s">
        <v>130</v>
      </c>
      <c r="T372" t="s">
        <v>131</v>
      </c>
      <c r="U372">
        <v>0</v>
      </c>
      <c r="V372">
        <v>0</v>
      </c>
      <c r="W372">
        <v>2980</v>
      </c>
      <c r="X372">
        <v>0</v>
      </c>
      <c r="Y372">
        <v>422</v>
      </c>
      <c r="Z372">
        <v>3402</v>
      </c>
      <c r="AA372">
        <v>508</v>
      </c>
      <c r="AB372" t="s">
        <v>65</v>
      </c>
      <c r="AC372">
        <v>15.6</v>
      </c>
      <c r="AD372">
        <v>38</v>
      </c>
      <c r="AE372">
        <v>66</v>
      </c>
      <c r="AF372" t="s">
        <v>132</v>
      </c>
      <c r="AG372">
        <v>32</v>
      </c>
      <c r="AH372" t="s">
        <v>67</v>
      </c>
      <c r="AI372" t="s">
        <v>114</v>
      </c>
      <c r="AJ372" t="s">
        <v>72</v>
      </c>
      <c r="AK372" t="s">
        <v>70</v>
      </c>
      <c r="AL372" t="s">
        <v>70</v>
      </c>
      <c r="AM372" t="s">
        <v>70</v>
      </c>
      <c r="AN372" t="s">
        <v>270</v>
      </c>
      <c r="AO372" t="s">
        <v>178</v>
      </c>
      <c r="AP372" t="s">
        <v>134</v>
      </c>
      <c r="AQ372" t="s">
        <v>136</v>
      </c>
      <c r="AR372" s="1">
        <v>45286</v>
      </c>
      <c r="AS372" t="s">
        <v>75</v>
      </c>
      <c r="AT372" t="s">
        <v>70</v>
      </c>
      <c r="AU372">
        <v>-177</v>
      </c>
      <c r="AV372" t="s">
        <v>179</v>
      </c>
    </row>
    <row r="373" spans="1:48" x14ac:dyDescent="0.25">
      <c r="A373" t="s">
        <v>660</v>
      </c>
      <c r="B373" t="s">
        <v>267</v>
      </c>
      <c r="C373" t="s">
        <v>79</v>
      </c>
      <c r="D373" t="s">
        <v>51</v>
      </c>
      <c r="E373">
        <v>30</v>
      </c>
      <c r="F373" t="s">
        <v>322</v>
      </c>
      <c r="G373" t="s">
        <v>101</v>
      </c>
      <c r="H373" t="s">
        <v>102</v>
      </c>
      <c r="I373" t="s">
        <v>103</v>
      </c>
      <c r="J373" t="s">
        <v>104</v>
      </c>
      <c r="K373" t="s">
        <v>105</v>
      </c>
      <c r="L373" t="s">
        <v>86</v>
      </c>
      <c r="M373" t="s">
        <v>207</v>
      </c>
      <c r="N373" t="s">
        <v>162</v>
      </c>
      <c r="O373" t="s">
        <v>61</v>
      </c>
      <c r="P373" s="1">
        <v>43858</v>
      </c>
      <c r="Q373">
        <v>4.3</v>
      </c>
      <c r="R373" t="s">
        <v>129</v>
      </c>
      <c r="S373" t="s">
        <v>196</v>
      </c>
      <c r="T373" t="s">
        <v>197</v>
      </c>
      <c r="U373">
        <v>0</v>
      </c>
      <c r="V373">
        <v>0</v>
      </c>
      <c r="W373">
        <v>2980</v>
      </c>
      <c r="X373">
        <v>951</v>
      </c>
      <c r="Y373">
        <v>422</v>
      </c>
      <c r="Z373">
        <v>4353</v>
      </c>
      <c r="AA373">
        <v>341</v>
      </c>
      <c r="AB373" t="s">
        <v>151</v>
      </c>
      <c r="AC373">
        <v>20.100000000000001</v>
      </c>
      <c r="AD373">
        <v>22</v>
      </c>
      <c r="AE373">
        <v>57</v>
      </c>
      <c r="AF373" t="s">
        <v>112</v>
      </c>
      <c r="AG373">
        <v>22</v>
      </c>
      <c r="AH373" t="s">
        <v>113</v>
      </c>
      <c r="AI373" t="s">
        <v>114</v>
      </c>
      <c r="AJ373" t="s">
        <v>72</v>
      </c>
      <c r="AK373" t="s">
        <v>70</v>
      </c>
      <c r="AL373" t="s">
        <v>71</v>
      </c>
      <c r="AM373" t="s">
        <v>70</v>
      </c>
      <c r="AN373" t="s">
        <v>231</v>
      </c>
      <c r="AO373" t="s">
        <v>203</v>
      </c>
      <c r="AP373" t="s">
        <v>72</v>
      </c>
      <c r="AQ373" t="s">
        <v>136</v>
      </c>
      <c r="AR373" s="1">
        <v>45497</v>
      </c>
      <c r="AS373" t="s">
        <v>75</v>
      </c>
      <c r="AT373" t="s">
        <v>71</v>
      </c>
      <c r="AU373">
        <v>266</v>
      </c>
      <c r="AV373" t="s">
        <v>76</v>
      </c>
    </row>
    <row r="374" spans="1:48" x14ac:dyDescent="0.25">
      <c r="A374" t="s">
        <v>661</v>
      </c>
      <c r="B374" t="s">
        <v>377</v>
      </c>
      <c r="C374" t="s">
        <v>206</v>
      </c>
      <c r="D374" t="s">
        <v>122</v>
      </c>
      <c r="E374">
        <v>39</v>
      </c>
      <c r="F374" t="s">
        <v>141</v>
      </c>
      <c r="G374" t="s">
        <v>169</v>
      </c>
      <c r="H374" t="s">
        <v>170</v>
      </c>
      <c r="I374" t="s">
        <v>158</v>
      </c>
      <c r="J374" t="s">
        <v>159</v>
      </c>
      <c r="K374" t="s">
        <v>160</v>
      </c>
      <c r="L374" t="s">
        <v>174</v>
      </c>
      <c r="M374" t="s">
        <v>147</v>
      </c>
      <c r="N374" t="s">
        <v>128</v>
      </c>
      <c r="O374" t="s">
        <v>149</v>
      </c>
      <c r="P374" s="1">
        <v>38379</v>
      </c>
      <c r="Q374">
        <v>19.3</v>
      </c>
      <c r="R374" t="s">
        <v>75</v>
      </c>
      <c r="S374" t="s">
        <v>91</v>
      </c>
      <c r="T374" t="s">
        <v>92</v>
      </c>
      <c r="U374">
        <v>2</v>
      </c>
      <c r="V374">
        <v>0</v>
      </c>
      <c r="W374">
        <v>3294</v>
      </c>
      <c r="X374">
        <v>0</v>
      </c>
      <c r="Y374">
        <v>422</v>
      </c>
      <c r="Z374">
        <v>3716</v>
      </c>
      <c r="AA374">
        <v>424</v>
      </c>
      <c r="AB374" t="s">
        <v>65</v>
      </c>
      <c r="AC374">
        <v>18.5</v>
      </c>
      <c r="AD374">
        <v>22</v>
      </c>
      <c r="AE374">
        <v>56</v>
      </c>
      <c r="AF374" t="s">
        <v>132</v>
      </c>
      <c r="AG374">
        <v>36</v>
      </c>
      <c r="AH374" t="s">
        <v>94</v>
      </c>
      <c r="AI374" t="s">
        <v>95</v>
      </c>
      <c r="AJ374" t="s">
        <v>188</v>
      </c>
      <c r="AK374" t="s">
        <v>70</v>
      </c>
      <c r="AL374" t="s">
        <v>71</v>
      </c>
      <c r="AM374" t="s">
        <v>70</v>
      </c>
      <c r="AN374" t="s">
        <v>115</v>
      </c>
      <c r="AO374" t="s">
        <v>116</v>
      </c>
      <c r="AP374" t="s">
        <v>72</v>
      </c>
      <c r="AQ374" t="s">
        <v>117</v>
      </c>
      <c r="AR374" s="1">
        <v>42293</v>
      </c>
      <c r="AS374" t="s">
        <v>198</v>
      </c>
      <c r="AT374" t="s">
        <v>71</v>
      </c>
      <c r="AU374">
        <v>710</v>
      </c>
      <c r="AV374" t="s">
        <v>76</v>
      </c>
    </row>
    <row r="375" spans="1:48" x14ac:dyDescent="0.25">
      <c r="A375" t="s">
        <v>662</v>
      </c>
      <c r="B375" t="s">
        <v>277</v>
      </c>
      <c r="C375" t="s">
        <v>182</v>
      </c>
      <c r="D375" t="s">
        <v>51</v>
      </c>
      <c r="E375">
        <v>45</v>
      </c>
      <c r="F375" t="s">
        <v>52</v>
      </c>
      <c r="G375" t="s">
        <v>142</v>
      </c>
      <c r="H375" t="s">
        <v>143</v>
      </c>
      <c r="I375" t="s">
        <v>253</v>
      </c>
      <c r="J375" t="s">
        <v>254</v>
      </c>
      <c r="K375" t="s">
        <v>255</v>
      </c>
      <c r="L375" t="s">
        <v>126</v>
      </c>
      <c r="M375" t="s">
        <v>161</v>
      </c>
      <c r="N375" t="s">
        <v>108</v>
      </c>
      <c r="O375" t="s">
        <v>109</v>
      </c>
      <c r="P375" s="1">
        <v>39301</v>
      </c>
      <c r="Q375">
        <v>16.8</v>
      </c>
      <c r="R375" t="s">
        <v>150</v>
      </c>
      <c r="S375" t="s">
        <v>130</v>
      </c>
      <c r="T375" t="s">
        <v>131</v>
      </c>
      <c r="U375">
        <v>14</v>
      </c>
      <c r="V375">
        <v>2</v>
      </c>
      <c r="W375">
        <v>5473</v>
      </c>
      <c r="X375">
        <v>0</v>
      </c>
      <c r="Y375">
        <v>422</v>
      </c>
      <c r="Z375">
        <v>5895</v>
      </c>
      <c r="AA375">
        <v>355</v>
      </c>
      <c r="AB375" t="s">
        <v>151</v>
      </c>
      <c r="AC375">
        <v>15.5</v>
      </c>
      <c r="AD375">
        <v>45</v>
      </c>
      <c r="AE375">
        <v>75</v>
      </c>
      <c r="AF375" t="s">
        <v>132</v>
      </c>
      <c r="AG375">
        <v>31</v>
      </c>
      <c r="AH375" t="s">
        <v>67</v>
      </c>
      <c r="AI375" t="s">
        <v>177</v>
      </c>
      <c r="AJ375" t="s">
        <v>96</v>
      </c>
      <c r="AK375" t="s">
        <v>70</v>
      </c>
      <c r="AL375" t="s">
        <v>70</v>
      </c>
      <c r="AM375" t="s">
        <v>70</v>
      </c>
      <c r="AN375" t="s">
        <v>72</v>
      </c>
      <c r="AO375" t="s">
        <v>116</v>
      </c>
      <c r="AP375" t="s">
        <v>72</v>
      </c>
      <c r="AQ375" t="s">
        <v>98</v>
      </c>
      <c r="AR375" s="1">
        <v>41684</v>
      </c>
      <c r="AS375" t="s">
        <v>75</v>
      </c>
      <c r="AT375" t="s">
        <v>71</v>
      </c>
      <c r="AU375">
        <v>1184</v>
      </c>
      <c r="AV375" t="s">
        <v>76</v>
      </c>
    </row>
    <row r="376" spans="1:48" x14ac:dyDescent="0.25">
      <c r="A376" t="s">
        <v>663</v>
      </c>
      <c r="B376" t="s">
        <v>229</v>
      </c>
      <c r="C376" t="s">
        <v>394</v>
      </c>
      <c r="D376" t="s">
        <v>122</v>
      </c>
      <c r="E376">
        <v>42</v>
      </c>
      <c r="F376" t="s">
        <v>382</v>
      </c>
      <c r="G376" t="s">
        <v>183</v>
      </c>
      <c r="H376" t="s">
        <v>184</v>
      </c>
      <c r="I376" t="s">
        <v>253</v>
      </c>
      <c r="J376" t="s">
        <v>254</v>
      </c>
      <c r="K376" t="s">
        <v>255</v>
      </c>
      <c r="L376" t="s">
        <v>86</v>
      </c>
      <c r="M376" t="s">
        <v>296</v>
      </c>
      <c r="N376" t="s">
        <v>88</v>
      </c>
      <c r="O376" t="s">
        <v>109</v>
      </c>
      <c r="P376" s="1">
        <v>44318</v>
      </c>
      <c r="Q376">
        <v>3.1</v>
      </c>
      <c r="R376" t="s">
        <v>62</v>
      </c>
      <c r="S376" t="s">
        <v>130</v>
      </c>
      <c r="T376" t="s">
        <v>131</v>
      </c>
      <c r="U376">
        <v>10</v>
      </c>
      <c r="V376">
        <v>1</v>
      </c>
      <c r="W376">
        <v>5696</v>
      </c>
      <c r="X376">
        <v>0</v>
      </c>
      <c r="Y376">
        <v>266</v>
      </c>
      <c r="Z376">
        <v>5962</v>
      </c>
      <c r="AA376">
        <v>583</v>
      </c>
      <c r="AB376" t="s">
        <v>65</v>
      </c>
      <c r="AC376">
        <v>15.1</v>
      </c>
      <c r="AD376">
        <v>46</v>
      </c>
      <c r="AE376">
        <v>44</v>
      </c>
      <c r="AF376" t="s">
        <v>93</v>
      </c>
      <c r="AG376">
        <v>33</v>
      </c>
      <c r="AH376" t="s">
        <v>67</v>
      </c>
      <c r="AI376" t="s">
        <v>68</v>
      </c>
      <c r="AJ376" t="s">
        <v>72</v>
      </c>
      <c r="AK376" t="s">
        <v>71</v>
      </c>
      <c r="AL376" t="s">
        <v>70</v>
      </c>
      <c r="AM376" t="s">
        <v>71</v>
      </c>
      <c r="AN376" t="s">
        <v>115</v>
      </c>
      <c r="AO376" t="s">
        <v>73</v>
      </c>
      <c r="AP376" t="s">
        <v>97</v>
      </c>
      <c r="AQ376" t="s">
        <v>117</v>
      </c>
      <c r="AR376" s="1">
        <v>44628</v>
      </c>
      <c r="AS376" t="s">
        <v>137</v>
      </c>
      <c r="AT376" t="s">
        <v>71</v>
      </c>
      <c r="AU376">
        <v>983</v>
      </c>
      <c r="AV376" t="s">
        <v>76</v>
      </c>
    </row>
    <row r="377" spans="1:48" x14ac:dyDescent="0.25">
      <c r="A377" t="s">
        <v>664</v>
      </c>
      <c r="B377" t="s">
        <v>245</v>
      </c>
      <c r="C377" t="s">
        <v>264</v>
      </c>
      <c r="D377" t="s">
        <v>51</v>
      </c>
      <c r="E377">
        <v>19</v>
      </c>
      <c r="F377" t="s">
        <v>80</v>
      </c>
      <c r="G377" t="s">
        <v>156</v>
      </c>
      <c r="H377" t="s">
        <v>157</v>
      </c>
      <c r="I377" t="s">
        <v>144</v>
      </c>
      <c r="J377" t="s">
        <v>145</v>
      </c>
      <c r="K377" t="s">
        <v>146</v>
      </c>
      <c r="L377" t="s">
        <v>106</v>
      </c>
      <c r="M377" t="s">
        <v>107</v>
      </c>
      <c r="N377" t="s">
        <v>88</v>
      </c>
      <c r="O377" t="s">
        <v>149</v>
      </c>
      <c r="P377" s="1">
        <v>41415</v>
      </c>
      <c r="Q377">
        <v>11</v>
      </c>
      <c r="R377" t="s">
        <v>195</v>
      </c>
      <c r="S377" t="s">
        <v>110</v>
      </c>
      <c r="T377" t="s">
        <v>111</v>
      </c>
      <c r="U377">
        <v>13</v>
      </c>
      <c r="V377">
        <v>2</v>
      </c>
      <c r="W377">
        <v>4836</v>
      </c>
      <c r="X377">
        <v>0</v>
      </c>
      <c r="Y377">
        <v>266</v>
      </c>
      <c r="Z377">
        <v>5102</v>
      </c>
      <c r="AA377">
        <v>559</v>
      </c>
      <c r="AB377" t="s">
        <v>65</v>
      </c>
      <c r="AC377">
        <v>20.5</v>
      </c>
      <c r="AD377">
        <v>22</v>
      </c>
      <c r="AE377">
        <v>31</v>
      </c>
      <c r="AF377" t="s">
        <v>66</v>
      </c>
      <c r="AG377">
        <v>32</v>
      </c>
      <c r="AH377" t="s">
        <v>67</v>
      </c>
      <c r="AI377" t="s">
        <v>177</v>
      </c>
      <c r="AJ377" t="s">
        <v>96</v>
      </c>
      <c r="AK377" t="s">
        <v>71</v>
      </c>
      <c r="AL377" t="s">
        <v>71</v>
      </c>
      <c r="AM377" t="s">
        <v>70</v>
      </c>
      <c r="AN377" t="s">
        <v>202</v>
      </c>
      <c r="AO377" t="s">
        <v>227</v>
      </c>
      <c r="AP377" t="s">
        <v>135</v>
      </c>
      <c r="AQ377" t="s">
        <v>98</v>
      </c>
      <c r="AR377" s="1">
        <v>43486</v>
      </c>
      <c r="AS377" t="s">
        <v>198</v>
      </c>
      <c r="AT377" t="s">
        <v>71</v>
      </c>
      <c r="AU377">
        <v>-153</v>
      </c>
      <c r="AV377" t="s">
        <v>179</v>
      </c>
    </row>
    <row r="378" spans="1:48" x14ac:dyDescent="0.25">
      <c r="A378" t="s">
        <v>665</v>
      </c>
      <c r="B378" t="s">
        <v>190</v>
      </c>
      <c r="C378" t="s">
        <v>79</v>
      </c>
      <c r="D378" t="s">
        <v>51</v>
      </c>
      <c r="E378">
        <v>33</v>
      </c>
      <c r="F378" t="s">
        <v>291</v>
      </c>
      <c r="G378" t="s">
        <v>183</v>
      </c>
      <c r="H378" t="s">
        <v>184</v>
      </c>
      <c r="I378" t="s">
        <v>268</v>
      </c>
      <c r="J378" t="s">
        <v>269</v>
      </c>
      <c r="K378" t="s">
        <v>173</v>
      </c>
      <c r="L378" t="s">
        <v>174</v>
      </c>
      <c r="M378" t="s">
        <v>59</v>
      </c>
      <c r="N378" t="s">
        <v>128</v>
      </c>
      <c r="O378" t="s">
        <v>61</v>
      </c>
      <c r="P378" s="1">
        <v>43308</v>
      </c>
      <c r="Q378">
        <v>5.8</v>
      </c>
      <c r="R378" t="s">
        <v>75</v>
      </c>
      <c r="S378" t="s">
        <v>130</v>
      </c>
      <c r="T378" t="s">
        <v>131</v>
      </c>
      <c r="U378">
        <v>3</v>
      </c>
      <c r="V378">
        <v>0</v>
      </c>
      <c r="W378">
        <v>5696</v>
      </c>
      <c r="X378">
        <v>2004</v>
      </c>
      <c r="Y378">
        <v>266</v>
      </c>
      <c r="Z378">
        <v>7966</v>
      </c>
      <c r="AA378">
        <v>455</v>
      </c>
      <c r="AB378" t="s">
        <v>65</v>
      </c>
      <c r="AC378">
        <v>14.2</v>
      </c>
      <c r="AD378">
        <v>58</v>
      </c>
      <c r="AE378">
        <v>49</v>
      </c>
      <c r="AF378" t="s">
        <v>132</v>
      </c>
      <c r="AG378">
        <v>32</v>
      </c>
      <c r="AH378" t="s">
        <v>67</v>
      </c>
      <c r="AI378" t="s">
        <v>68</v>
      </c>
      <c r="AJ378" t="s">
        <v>188</v>
      </c>
      <c r="AK378" t="s">
        <v>71</v>
      </c>
      <c r="AL378" t="s">
        <v>70</v>
      </c>
      <c r="AM378" t="s">
        <v>70</v>
      </c>
      <c r="AN378" t="s">
        <v>72</v>
      </c>
      <c r="AO378" t="s">
        <v>72</v>
      </c>
      <c r="AP378" t="s">
        <v>72</v>
      </c>
      <c r="AQ378" t="s">
        <v>117</v>
      </c>
      <c r="AR378" s="1">
        <v>44765</v>
      </c>
      <c r="AS378" t="s">
        <v>198</v>
      </c>
      <c r="AT378" t="s">
        <v>71</v>
      </c>
      <c r="AU378">
        <v>1797</v>
      </c>
      <c r="AV378" t="s">
        <v>76</v>
      </c>
    </row>
    <row r="379" spans="1:48" x14ac:dyDescent="0.25">
      <c r="A379" t="s">
        <v>666</v>
      </c>
      <c r="B379" t="s">
        <v>154</v>
      </c>
      <c r="C379" t="s">
        <v>167</v>
      </c>
      <c r="D379" t="s">
        <v>51</v>
      </c>
      <c r="E379">
        <v>21</v>
      </c>
      <c r="F379" t="s">
        <v>168</v>
      </c>
      <c r="G379" t="s">
        <v>53</v>
      </c>
      <c r="H379" t="s">
        <v>54</v>
      </c>
      <c r="I379" t="s">
        <v>253</v>
      </c>
      <c r="J379" t="s">
        <v>254</v>
      </c>
      <c r="K379" t="s">
        <v>255</v>
      </c>
      <c r="L379" t="s">
        <v>174</v>
      </c>
      <c r="M379" t="s">
        <v>249</v>
      </c>
      <c r="N379" t="s">
        <v>265</v>
      </c>
      <c r="O379" t="s">
        <v>109</v>
      </c>
      <c r="P379" s="1">
        <v>41406</v>
      </c>
      <c r="Q379">
        <v>11.1</v>
      </c>
      <c r="R379" t="s">
        <v>129</v>
      </c>
      <c r="S379" t="s">
        <v>196</v>
      </c>
      <c r="T379" t="s">
        <v>197</v>
      </c>
      <c r="U379">
        <v>0</v>
      </c>
      <c r="V379">
        <v>0</v>
      </c>
      <c r="W379">
        <v>4739</v>
      </c>
      <c r="X379">
        <v>0</v>
      </c>
      <c r="Y379">
        <v>422</v>
      </c>
      <c r="Z379">
        <v>5161</v>
      </c>
      <c r="AA379">
        <v>493</v>
      </c>
      <c r="AB379" t="s">
        <v>65</v>
      </c>
      <c r="AC379">
        <v>16.3</v>
      </c>
      <c r="AD379">
        <v>56</v>
      </c>
      <c r="AE379">
        <v>31</v>
      </c>
      <c r="AF379" t="s">
        <v>93</v>
      </c>
      <c r="AG379">
        <v>30</v>
      </c>
      <c r="AH379" t="s">
        <v>67</v>
      </c>
      <c r="AI379" t="s">
        <v>114</v>
      </c>
      <c r="AJ379" t="s">
        <v>96</v>
      </c>
      <c r="AK379" t="s">
        <v>70</v>
      </c>
      <c r="AL379" t="s">
        <v>71</v>
      </c>
      <c r="AM379" t="s">
        <v>71</v>
      </c>
      <c r="AN379" t="s">
        <v>231</v>
      </c>
      <c r="AO379" t="s">
        <v>221</v>
      </c>
      <c r="AP379" t="s">
        <v>72</v>
      </c>
      <c r="AQ379" t="s">
        <v>136</v>
      </c>
      <c r="AR379" s="1">
        <v>43322</v>
      </c>
      <c r="AS379" t="s">
        <v>118</v>
      </c>
      <c r="AT379" t="s">
        <v>71</v>
      </c>
      <c r="AU379">
        <v>-157</v>
      </c>
      <c r="AV379" t="s">
        <v>179</v>
      </c>
    </row>
    <row r="380" spans="1:48" x14ac:dyDescent="0.25">
      <c r="A380" t="s">
        <v>667</v>
      </c>
      <c r="B380" t="s">
        <v>100</v>
      </c>
      <c r="C380" t="s">
        <v>375</v>
      </c>
      <c r="D380" t="s">
        <v>51</v>
      </c>
      <c r="E380">
        <v>28</v>
      </c>
      <c r="F380" t="s">
        <v>322</v>
      </c>
      <c r="G380" t="s">
        <v>285</v>
      </c>
      <c r="H380" t="s">
        <v>286</v>
      </c>
      <c r="I380" t="s">
        <v>103</v>
      </c>
      <c r="J380" t="s">
        <v>104</v>
      </c>
      <c r="K380" t="s">
        <v>105</v>
      </c>
      <c r="L380" t="s">
        <v>106</v>
      </c>
      <c r="M380" t="s">
        <v>87</v>
      </c>
      <c r="N380" t="s">
        <v>128</v>
      </c>
      <c r="O380" t="s">
        <v>149</v>
      </c>
      <c r="P380" s="1">
        <v>38835</v>
      </c>
      <c r="Q380">
        <v>18.100000000000001</v>
      </c>
      <c r="R380" t="s">
        <v>195</v>
      </c>
      <c r="S380" t="s">
        <v>196</v>
      </c>
      <c r="T380" t="s">
        <v>197</v>
      </c>
      <c r="U380">
        <v>0</v>
      </c>
      <c r="V380">
        <v>0</v>
      </c>
      <c r="W380">
        <v>7668</v>
      </c>
      <c r="X380">
        <v>1810</v>
      </c>
      <c r="Y380">
        <v>266</v>
      </c>
      <c r="Z380">
        <v>9744</v>
      </c>
      <c r="AA380">
        <v>367</v>
      </c>
      <c r="AB380" t="s">
        <v>65</v>
      </c>
      <c r="AC380">
        <v>16</v>
      </c>
      <c r="AD380">
        <v>67</v>
      </c>
      <c r="AE380">
        <v>51</v>
      </c>
      <c r="AF380" t="s">
        <v>66</v>
      </c>
      <c r="AG380">
        <v>26</v>
      </c>
      <c r="AH380" t="s">
        <v>113</v>
      </c>
      <c r="AI380" t="s">
        <v>68</v>
      </c>
      <c r="AJ380" t="s">
        <v>188</v>
      </c>
      <c r="AK380" t="s">
        <v>70</v>
      </c>
      <c r="AL380" t="s">
        <v>70</v>
      </c>
      <c r="AM380" t="s">
        <v>70</v>
      </c>
      <c r="AN380" t="s">
        <v>115</v>
      </c>
      <c r="AO380" t="s">
        <v>72</v>
      </c>
      <c r="AP380" t="s">
        <v>227</v>
      </c>
      <c r="AQ380" t="s">
        <v>136</v>
      </c>
      <c r="AR380" s="1">
        <v>43262</v>
      </c>
      <c r="AS380" t="s">
        <v>198</v>
      </c>
      <c r="AT380" t="s">
        <v>71</v>
      </c>
      <c r="AU380">
        <v>-167</v>
      </c>
      <c r="AV380" t="s">
        <v>179</v>
      </c>
    </row>
    <row r="381" spans="1:48" x14ac:dyDescent="0.25">
      <c r="A381" t="s">
        <v>668</v>
      </c>
      <c r="B381" t="s">
        <v>259</v>
      </c>
      <c r="C381" t="s">
        <v>257</v>
      </c>
      <c r="D381" t="s">
        <v>51</v>
      </c>
      <c r="E381">
        <v>41</v>
      </c>
      <c r="F381" t="s">
        <v>80</v>
      </c>
      <c r="G381" t="s">
        <v>156</v>
      </c>
      <c r="H381" t="s">
        <v>157</v>
      </c>
      <c r="I381" t="s">
        <v>273</v>
      </c>
      <c r="J381" t="s">
        <v>274</v>
      </c>
      <c r="K381" t="s">
        <v>57</v>
      </c>
      <c r="L381" t="s">
        <v>174</v>
      </c>
      <c r="M381" t="s">
        <v>275</v>
      </c>
      <c r="N381" t="s">
        <v>148</v>
      </c>
      <c r="O381" t="s">
        <v>89</v>
      </c>
      <c r="P381" s="1">
        <v>39714</v>
      </c>
      <c r="Q381">
        <v>15.7</v>
      </c>
      <c r="R381" t="s">
        <v>150</v>
      </c>
      <c r="S381" t="s">
        <v>130</v>
      </c>
      <c r="T381" t="s">
        <v>131</v>
      </c>
      <c r="U381">
        <v>14</v>
      </c>
      <c r="V381">
        <v>2</v>
      </c>
      <c r="W381">
        <v>4836</v>
      </c>
      <c r="X381">
        <v>0</v>
      </c>
      <c r="Y381">
        <v>266</v>
      </c>
      <c r="Z381">
        <v>5102</v>
      </c>
      <c r="AA381">
        <v>558</v>
      </c>
      <c r="AB381" t="s">
        <v>65</v>
      </c>
      <c r="AC381">
        <v>20</v>
      </c>
      <c r="AD381">
        <v>51</v>
      </c>
      <c r="AE381">
        <v>40</v>
      </c>
      <c r="AF381" t="s">
        <v>132</v>
      </c>
      <c r="AG381">
        <v>20</v>
      </c>
      <c r="AH381" t="s">
        <v>113</v>
      </c>
      <c r="AI381" t="s">
        <v>152</v>
      </c>
      <c r="AJ381" t="s">
        <v>96</v>
      </c>
      <c r="AK381" t="s">
        <v>71</v>
      </c>
      <c r="AL381" t="s">
        <v>70</v>
      </c>
      <c r="AM381" t="s">
        <v>70</v>
      </c>
      <c r="AN381" t="s">
        <v>243</v>
      </c>
      <c r="AO381" t="s">
        <v>72</v>
      </c>
      <c r="AP381" t="s">
        <v>227</v>
      </c>
      <c r="AQ381" t="s">
        <v>74</v>
      </c>
      <c r="AR381" s="1">
        <v>44066</v>
      </c>
      <c r="AS381" t="s">
        <v>75</v>
      </c>
      <c r="AT381" t="s">
        <v>71</v>
      </c>
      <c r="AU381">
        <v>179</v>
      </c>
      <c r="AV381" t="s">
        <v>179</v>
      </c>
    </row>
    <row r="382" spans="1:48" x14ac:dyDescent="0.25">
      <c r="A382" t="s">
        <v>669</v>
      </c>
      <c r="B382" t="s">
        <v>190</v>
      </c>
      <c r="C382" t="s">
        <v>252</v>
      </c>
      <c r="D382" t="s">
        <v>51</v>
      </c>
      <c r="E382">
        <v>18</v>
      </c>
      <c r="F382" t="s">
        <v>224</v>
      </c>
      <c r="G382" t="s">
        <v>169</v>
      </c>
      <c r="H382" t="s">
        <v>170</v>
      </c>
      <c r="I382" t="s">
        <v>292</v>
      </c>
      <c r="J382" t="s">
        <v>293</v>
      </c>
      <c r="K382" t="s">
        <v>294</v>
      </c>
      <c r="L382" t="s">
        <v>201</v>
      </c>
      <c r="M382" t="s">
        <v>59</v>
      </c>
      <c r="N382" t="s">
        <v>88</v>
      </c>
      <c r="O382" t="s">
        <v>61</v>
      </c>
      <c r="P382" s="1">
        <v>43305</v>
      </c>
      <c r="Q382">
        <v>5.9</v>
      </c>
      <c r="R382" t="s">
        <v>75</v>
      </c>
      <c r="S382" t="s">
        <v>110</v>
      </c>
      <c r="T382" t="s">
        <v>111</v>
      </c>
      <c r="U382">
        <v>15</v>
      </c>
      <c r="V382">
        <v>2</v>
      </c>
      <c r="W382">
        <v>3294</v>
      </c>
      <c r="X382">
        <v>0</v>
      </c>
      <c r="Y382">
        <v>422</v>
      </c>
      <c r="Z382">
        <v>3716</v>
      </c>
      <c r="AA382">
        <v>359</v>
      </c>
      <c r="AB382" t="s">
        <v>151</v>
      </c>
      <c r="AC382">
        <v>20.5</v>
      </c>
      <c r="AD382">
        <v>79</v>
      </c>
      <c r="AE382">
        <v>77</v>
      </c>
      <c r="AF382" t="s">
        <v>93</v>
      </c>
      <c r="AG382">
        <v>32</v>
      </c>
      <c r="AH382" t="s">
        <v>67</v>
      </c>
      <c r="AI382" t="s">
        <v>114</v>
      </c>
      <c r="AJ382" t="s">
        <v>188</v>
      </c>
      <c r="AK382" t="s">
        <v>70</v>
      </c>
      <c r="AL382" t="s">
        <v>70</v>
      </c>
      <c r="AM382" t="s">
        <v>71</v>
      </c>
      <c r="AN382" t="s">
        <v>115</v>
      </c>
      <c r="AO382" t="s">
        <v>72</v>
      </c>
      <c r="AP382" t="s">
        <v>135</v>
      </c>
      <c r="AQ382" t="s">
        <v>117</v>
      </c>
      <c r="AR382" s="1">
        <v>44979</v>
      </c>
      <c r="AS382" t="s">
        <v>118</v>
      </c>
      <c r="AT382" t="s">
        <v>71</v>
      </c>
      <c r="AU382">
        <v>855</v>
      </c>
      <c r="AV382" t="s">
        <v>76</v>
      </c>
    </row>
    <row r="383" spans="1:48" x14ac:dyDescent="0.25">
      <c r="A383" t="s">
        <v>670</v>
      </c>
      <c r="B383" t="s">
        <v>100</v>
      </c>
      <c r="C383" t="s">
        <v>191</v>
      </c>
      <c r="D383" t="s">
        <v>51</v>
      </c>
      <c r="E383">
        <v>26</v>
      </c>
      <c r="F383" t="s">
        <v>123</v>
      </c>
      <c r="G383" t="s">
        <v>279</v>
      </c>
      <c r="H383" t="s">
        <v>280</v>
      </c>
      <c r="I383" t="s">
        <v>225</v>
      </c>
      <c r="J383" t="s">
        <v>226</v>
      </c>
      <c r="K383" t="s">
        <v>105</v>
      </c>
      <c r="L383" t="s">
        <v>58</v>
      </c>
      <c r="M383" t="s">
        <v>127</v>
      </c>
      <c r="N383" t="s">
        <v>88</v>
      </c>
      <c r="O383" t="s">
        <v>61</v>
      </c>
      <c r="P383" s="1">
        <v>40204</v>
      </c>
      <c r="Q383">
        <v>14.3</v>
      </c>
      <c r="R383" t="s">
        <v>150</v>
      </c>
      <c r="S383" t="s">
        <v>110</v>
      </c>
      <c r="T383" t="s">
        <v>111</v>
      </c>
      <c r="U383">
        <v>0</v>
      </c>
      <c r="V383">
        <v>0</v>
      </c>
      <c r="W383">
        <v>6618</v>
      </c>
      <c r="X383">
        <v>1194</v>
      </c>
      <c r="Y383">
        <v>266</v>
      </c>
      <c r="Z383">
        <v>8078</v>
      </c>
      <c r="AA383">
        <v>589</v>
      </c>
      <c r="AB383" t="s">
        <v>65</v>
      </c>
      <c r="AC383">
        <v>14.9</v>
      </c>
      <c r="AD383">
        <v>78</v>
      </c>
      <c r="AE383">
        <v>57</v>
      </c>
      <c r="AF383" t="s">
        <v>112</v>
      </c>
      <c r="AG383">
        <v>27</v>
      </c>
      <c r="AH383" t="s">
        <v>113</v>
      </c>
      <c r="AI383" t="s">
        <v>68</v>
      </c>
      <c r="AJ383" t="s">
        <v>188</v>
      </c>
      <c r="AK383" t="s">
        <v>71</v>
      </c>
      <c r="AL383" t="s">
        <v>70</v>
      </c>
      <c r="AM383" t="s">
        <v>70</v>
      </c>
      <c r="AN383" t="s">
        <v>72</v>
      </c>
      <c r="AO383" t="s">
        <v>116</v>
      </c>
      <c r="AP383" t="s">
        <v>134</v>
      </c>
      <c r="AQ383" t="s">
        <v>98</v>
      </c>
      <c r="AR383" s="1">
        <v>44457</v>
      </c>
      <c r="AS383" t="s">
        <v>137</v>
      </c>
      <c r="AT383" t="s">
        <v>71</v>
      </c>
      <c r="AU383">
        <v>1068</v>
      </c>
      <c r="AV383" t="s">
        <v>76</v>
      </c>
    </row>
    <row r="384" spans="1:48" x14ac:dyDescent="0.25">
      <c r="A384" t="s">
        <v>671</v>
      </c>
      <c r="B384" t="s">
        <v>100</v>
      </c>
      <c r="C384" t="s">
        <v>272</v>
      </c>
      <c r="D384" t="s">
        <v>51</v>
      </c>
      <c r="E384">
        <v>30</v>
      </c>
      <c r="F384" t="s">
        <v>291</v>
      </c>
      <c r="G384" t="s">
        <v>285</v>
      </c>
      <c r="H384" t="s">
        <v>286</v>
      </c>
      <c r="I384" t="s">
        <v>55</v>
      </c>
      <c r="J384" t="s">
        <v>56</v>
      </c>
      <c r="K384" t="s">
        <v>57</v>
      </c>
      <c r="L384" t="s">
        <v>58</v>
      </c>
      <c r="M384" t="s">
        <v>296</v>
      </c>
      <c r="N384" t="s">
        <v>128</v>
      </c>
      <c r="O384" t="s">
        <v>149</v>
      </c>
      <c r="P384" s="1">
        <v>40126</v>
      </c>
      <c r="Q384">
        <v>14.6</v>
      </c>
      <c r="R384" t="s">
        <v>195</v>
      </c>
      <c r="S384" t="s">
        <v>163</v>
      </c>
      <c r="T384" t="s">
        <v>164</v>
      </c>
      <c r="U384">
        <v>4</v>
      </c>
      <c r="V384">
        <v>0</v>
      </c>
      <c r="W384">
        <v>7668</v>
      </c>
      <c r="X384">
        <v>0</v>
      </c>
      <c r="Y384">
        <v>266</v>
      </c>
      <c r="Z384">
        <v>7934</v>
      </c>
      <c r="AA384">
        <v>329</v>
      </c>
      <c r="AB384" t="s">
        <v>151</v>
      </c>
      <c r="AC384">
        <v>16.5</v>
      </c>
      <c r="AD384">
        <v>20</v>
      </c>
      <c r="AE384">
        <v>50</v>
      </c>
      <c r="AF384" t="s">
        <v>66</v>
      </c>
      <c r="AG384">
        <v>20</v>
      </c>
      <c r="AH384" t="s">
        <v>113</v>
      </c>
      <c r="AI384" t="s">
        <v>95</v>
      </c>
      <c r="AJ384" t="s">
        <v>96</v>
      </c>
      <c r="AK384" t="s">
        <v>71</v>
      </c>
      <c r="AL384" t="s">
        <v>71</v>
      </c>
      <c r="AM384" t="s">
        <v>70</v>
      </c>
      <c r="AN384" t="s">
        <v>72</v>
      </c>
      <c r="AO384" t="s">
        <v>203</v>
      </c>
      <c r="AP384" t="s">
        <v>227</v>
      </c>
      <c r="AQ384" t="s">
        <v>74</v>
      </c>
      <c r="AR384" s="1">
        <v>44090</v>
      </c>
      <c r="AS384" t="s">
        <v>198</v>
      </c>
      <c r="AT384" t="s">
        <v>71</v>
      </c>
      <c r="AU384">
        <v>798</v>
      </c>
      <c r="AV384" t="s">
        <v>76</v>
      </c>
    </row>
    <row r="385" spans="1:48" x14ac:dyDescent="0.25">
      <c r="A385" t="s">
        <v>672</v>
      </c>
      <c r="B385" t="s">
        <v>181</v>
      </c>
      <c r="C385" t="s">
        <v>155</v>
      </c>
      <c r="D385" t="s">
        <v>51</v>
      </c>
      <c r="E385">
        <v>24</v>
      </c>
      <c r="F385" t="s">
        <v>291</v>
      </c>
      <c r="G385" t="s">
        <v>242</v>
      </c>
      <c r="H385" t="s">
        <v>54</v>
      </c>
      <c r="I385" t="s">
        <v>260</v>
      </c>
      <c r="J385" t="s">
        <v>261</v>
      </c>
      <c r="K385" t="s">
        <v>173</v>
      </c>
      <c r="L385" t="s">
        <v>58</v>
      </c>
      <c r="M385" t="s">
        <v>212</v>
      </c>
      <c r="N385" t="s">
        <v>148</v>
      </c>
      <c r="O385" t="s">
        <v>109</v>
      </c>
      <c r="P385" s="1">
        <v>42367</v>
      </c>
      <c r="Q385">
        <v>8.4</v>
      </c>
      <c r="R385" t="s">
        <v>129</v>
      </c>
      <c r="S385" t="s">
        <v>219</v>
      </c>
      <c r="T385" t="s">
        <v>220</v>
      </c>
      <c r="U385">
        <v>0</v>
      </c>
      <c r="V385">
        <v>0</v>
      </c>
      <c r="W385">
        <v>4739</v>
      </c>
      <c r="X385">
        <v>0</v>
      </c>
      <c r="Y385">
        <v>422</v>
      </c>
      <c r="Z385">
        <v>5161</v>
      </c>
      <c r="AA385">
        <v>468</v>
      </c>
      <c r="AB385" t="s">
        <v>65</v>
      </c>
      <c r="AC385">
        <v>17.2</v>
      </c>
      <c r="AD385">
        <v>47</v>
      </c>
      <c r="AE385">
        <v>71</v>
      </c>
      <c r="AF385" t="s">
        <v>93</v>
      </c>
      <c r="AG385">
        <v>16</v>
      </c>
      <c r="AH385" t="s">
        <v>113</v>
      </c>
      <c r="AI385" t="s">
        <v>68</v>
      </c>
      <c r="AJ385" t="s">
        <v>69</v>
      </c>
      <c r="AK385" t="s">
        <v>70</v>
      </c>
      <c r="AL385" t="s">
        <v>70</v>
      </c>
      <c r="AM385" t="s">
        <v>70</v>
      </c>
      <c r="AN385" t="s">
        <v>270</v>
      </c>
      <c r="AO385" t="s">
        <v>221</v>
      </c>
      <c r="AP385" t="s">
        <v>72</v>
      </c>
      <c r="AQ385" t="s">
        <v>117</v>
      </c>
      <c r="AR385" s="1">
        <v>42807</v>
      </c>
      <c r="AS385" t="s">
        <v>118</v>
      </c>
      <c r="AT385" t="s">
        <v>71</v>
      </c>
      <c r="AU385">
        <v>1310</v>
      </c>
      <c r="AV385" t="s">
        <v>76</v>
      </c>
    </row>
    <row r="386" spans="1:48" x14ac:dyDescent="0.25">
      <c r="A386" t="s">
        <v>673</v>
      </c>
      <c r="B386" t="s">
        <v>346</v>
      </c>
      <c r="C386" t="s">
        <v>155</v>
      </c>
      <c r="D386" t="s">
        <v>51</v>
      </c>
      <c r="E386">
        <v>33</v>
      </c>
      <c r="F386" t="s">
        <v>123</v>
      </c>
      <c r="G386" t="s">
        <v>142</v>
      </c>
      <c r="H386" t="s">
        <v>143</v>
      </c>
      <c r="I386" t="s">
        <v>83</v>
      </c>
      <c r="J386" t="s">
        <v>84</v>
      </c>
      <c r="K386" t="s">
        <v>85</v>
      </c>
      <c r="L386" t="s">
        <v>174</v>
      </c>
      <c r="M386" t="s">
        <v>161</v>
      </c>
      <c r="N386" t="s">
        <v>88</v>
      </c>
      <c r="O386" t="s">
        <v>61</v>
      </c>
      <c r="P386" s="1">
        <v>38459</v>
      </c>
      <c r="Q386">
        <v>19.100000000000001</v>
      </c>
      <c r="R386" t="s">
        <v>208</v>
      </c>
      <c r="S386" t="s">
        <v>63</v>
      </c>
      <c r="T386" t="s">
        <v>64</v>
      </c>
      <c r="U386">
        <v>0</v>
      </c>
      <c r="V386">
        <v>0</v>
      </c>
      <c r="W386">
        <v>5473</v>
      </c>
      <c r="X386">
        <v>0</v>
      </c>
      <c r="Y386">
        <v>422</v>
      </c>
      <c r="Z386">
        <v>5895</v>
      </c>
      <c r="AA386">
        <v>493</v>
      </c>
      <c r="AB386" t="s">
        <v>65</v>
      </c>
      <c r="AC386">
        <v>18</v>
      </c>
      <c r="AD386">
        <v>61</v>
      </c>
      <c r="AE386">
        <v>60</v>
      </c>
      <c r="AF386" t="s">
        <v>66</v>
      </c>
      <c r="AG386">
        <v>38</v>
      </c>
      <c r="AH386" t="s">
        <v>94</v>
      </c>
      <c r="AI386" t="s">
        <v>95</v>
      </c>
      <c r="AJ386" t="s">
        <v>72</v>
      </c>
      <c r="AK386" t="s">
        <v>70</v>
      </c>
      <c r="AL386" t="s">
        <v>70</v>
      </c>
      <c r="AM386" t="s">
        <v>70</v>
      </c>
      <c r="AN386" t="s">
        <v>72</v>
      </c>
      <c r="AO386" t="s">
        <v>72</v>
      </c>
      <c r="AP386" t="s">
        <v>72</v>
      </c>
      <c r="AQ386" t="s">
        <v>136</v>
      </c>
      <c r="AR386" s="1">
        <v>38589</v>
      </c>
      <c r="AS386" t="s">
        <v>137</v>
      </c>
      <c r="AT386" t="s">
        <v>71</v>
      </c>
      <c r="AU386">
        <v>127</v>
      </c>
      <c r="AV386" t="s">
        <v>179</v>
      </c>
    </row>
    <row r="387" spans="1:48" x14ac:dyDescent="0.25">
      <c r="A387" t="s">
        <v>674</v>
      </c>
      <c r="B387" t="s">
        <v>259</v>
      </c>
      <c r="C387" t="s">
        <v>233</v>
      </c>
      <c r="D387" t="s">
        <v>51</v>
      </c>
      <c r="E387">
        <v>22</v>
      </c>
      <c r="F387" t="s">
        <v>80</v>
      </c>
      <c r="G387" t="s">
        <v>183</v>
      </c>
      <c r="H387" t="s">
        <v>184</v>
      </c>
      <c r="I387" t="s">
        <v>144</v>
      </c>
      <c r="J387" t="s">
        <v>145</v>
      </c>
      <c r="K387" t="s">
        <v>146</v>
      </c>
      <c r="L387" t="s">
        <v>174</v>
      </c>
      <c r="M387" t="s">
        <v>296</v>
      </c>
      <c r="N387" t="s">
        <v>162</v>
      </c>
      <c r="O387" t="s">
        <v>89</v>
      </c>
      <c r="P387" s="1">
        <v>40927</v>
      </c>
      <c r="Q387">
        <v>12.4</v>
      </c>
      <c r="R387" t="s">
        <v>90</v>
      </c>
      <c r="S387" t="s">
        <v>163</v>
      </c>
      <c r="T387" t="s">
        <v>164</v>
      </c>
      <c r="U387">
        <v>8</v>
      </c>
      <c r="V387">
        <v>1</v>
      </c>
      <c r="W387">
        <v>5696</v>
      </c>
      <c r="X387">
        <v>0</v>
      </c>
      <c r="Y387">
        <v>266</v>
      </c>
      <c r="Z387">
        <v>5962</v>
      </c>
      <c r="AA387">
        <v>376</v>
      </c>
      <c r="AB387" t="s">
        <v>65</v>
      </c>
      <c r="AC387">
        <v>15.3</v>
      </c>
      <c r="AD387">
        <v>63</v>
      </c>
      <c r="AE387">
        <v>50</v>
      </c>
      <c r="AF387" t="s">
        <v>112</v>
      </c>
      <c r="AG387">
        <v>32</v>
      </c>
      <c r="AH387" t="s">
        <v>67</v>
      </c>
      <c r="AI387" t="s">
        <v>177</v>
      </c>
      <c r="AJ387" t="s">
        <v>72</v>
      </c>
      <c r="AK387" t="s">
        <v>71</v>
      </c>
      <c r="AL387" t="s">
        <v>71</v>
      </c>
      <c r="AM387" t="s">
        <v>70</v>
      </c>
      <c r="AN387" t="s">
        <v>243</v>
      </c>
      <c r="AO387" t="s">
        <v>135</v>
      </c>
      <c r="AP387" t="s">
        <v>227</v>
      </c>
      <c r="AQ387" t="s">
        <v>74</v>
      </c>
      <c r="AR387" s="1">
        <v>42536</v>
      </c>
      <c r="AS387" t="s">
        <v>118</v>
      </c>
      <c r="AT387" t="s">
        <v>71</v>
      </c>
      <c r="AU387">
        <v>1570</v>
      </c>
      <c r="AV387" t="s">
        <v>76</v>
      </c>
    </row>
    <row r="388" spans="1:48" x14ac:dyDescent="0.25">
      <c r="A388" t="s">
        <v>675</v>
      </c>
      <c r="B388" t="s">
        <v>139</v>
      </c>
      <c r="C388" t="s">
        <v>334</v>
      </c>
      <c r="D388" t="s">
        <v>122</v>
      </c>
      <c r="E388">
        <v>32</v>
      </c>
      <c r="F388" t="s">
        <v>325</v>
      </c>
      <c r="G388" t="s">
        <v>234</v>
      </c>
      <c r="H388" t="s">
        <v>235</v>
      </c>
      <c r="I388" t="s">
        <v>217</v>
      </c>
      <c r="J388" t="s">
        <v>218</v>
      </c>
      <c r="K388" t="s">
        <v>146</v>
      </c>
      <c r="L388" t="s">
        <v>86</v>
      </c>
      <c r="M388" t="s">
        <v>147</v>
      </c>
      <c r="N388" t="s">
        <v>88</v>
      </c>
      <c r="O388" t="s">
        <v>89</v>
      </c>
      <c r="P388" s="1">
        <v>41150</v>
      </c>
      <c r="Q388">
        <v>11.8</v>
      </c>
      <c r="R388" t="s">
        <v>90</v>
      </c>
      <c r="S388" t="s">
        <v>91</v>
      </c>
      <c r="T388" t="s">
        <v>92</v>
      </c>
      <c r="U388">
        <v>2</v>
      </c>
      <c r="V388">
        <v>0</v>
      </c>
      <c r="W388">
        <v>1917</v>
      </c>
      <c r="X388">
        <v>1959</v>
      </c>
      <c r="Y388">
        <v>422</v>
      </c>
      <c r="Z388">
        <v>4298</v>
      </c>
      <c r="AA388">
        <v>383</v>
      </c>
      <c r="AB388" t="s">
        <v>65</v>
      </c>
      <c r="AC388">
        <v>13.2</v>
      </c>
      <c r="AD388">
        <v>78</v>
      </c>
      <c r="AE388">
        <v>35</v>
      </c>
      <c r="AF388" t="s">
        <v>66</v>
      </c>
      <c r="AG388">
        <v>21</v>
      </c>
      <c r="AH388" t="s">
        <v>113</v>
      </c>
      <c r="AI388" t="s">
        <v>114</v>
      </c>
      <c r="AJ388" t="s">
        <v>72</v>
      </c>
      <c r="AK388" t="s">
        <v>70</v>
      </c>
      <c r="AL388" t="s">
        <v>70</v>
      </c>
      <c r="AM388" t="s">
        <v>70</v>
      </c>
      <c r="AN388" t="s">
        <v>133</v>
      </c>
      <c r="AO388" t="s">
        <v>221</v>
      </c>
      <c r="AP388" t="s">
        <v>135</v>
      </c>
      <c r="AQ388" t="s">
        <v>98</v>
      </c>
      <c r="AR388" s="1">
        <v>42474</v>
      </c>
      <c r="AS388" t="s">
        <v>75</v>
      </c>
      <c r="AT388" t="s">
        <v>71</v>
      </c>
      <c r="AU388">
        <v>43</v>
      </c>
      <c r="AV388" t="s">
        <v>179</v>
      </c>
    </row>
    <row r="389" spans="1:48" x14ac:dyDescent="0.25">
      <c r="A389" t="s">
        <v>676</v>
      </c>
      <c r="B389" t="s">
        <v>78</v>
      </c>
      <c r="C389" t="s">
        <v>191</v>
      </c>
      <c r="D389" t="s">
        <v>51</v>
      </c>
      <c r="E389">
        <v>30</v>
      </c>
      <c r="F389" t="s">
        <v>192</v>
      </c>
      <c r="G389" t="s">
        <v>142</v>
      </c>
      <c r="H389" t="s">
        <v>143</v>
      </c>
      <c r="I389" t="s">
        <v>273</v>
      </c>
      <c r="J389" t="s">
        <v>274</v>
      </c>
      <c r="K389" t="s">
        <v>57</v>
      </c>
      <c r="L389" t="s">
        <v>86</v>
      </c>
      <c r="M389" t="s">
        <v>275</v>
      </c>
      <c r="N389" t="s">
        <v>148</v>
      </c>
      <c r="O389" t="s">
        <v>176</v>
      </c>
      <c r="P389" s="1">
        <v>41744</v>
      </c>
      <c r="Q389">
        <v>10.1</v>
      </c>
      <c r="R389" t="s">
        <v>195</v>
      </c>
      <c r="S389" t="s">
        <v>130</v>
      </c>
      <c r="T389" t="s">
        <v>131</v>
      </c>
      <c r="U389">
        <v>6</v>
      </c>
      <c r="V389">
        <v>1</v>
      </c>
      <c r="W389">
        <v>5473</v>
      </c>
      <c r="X389">
        <v>0</v>
      </c>
      <c r="Y389">
        <v>422</v>
      </c>
      <c r="Z389">
        <v>5895</v>
      </c>
      <c r="AA389">
        <v>515</v>
      </c>
      <c r="AB389" t="s">
        <v>65</v>
      </c>
      <c r="AC389">
        <v>14</v>
      </c>
      <c r="AD389">
        <v>38</v>
      </c>
      <c r="AE389">
        <v>46</v>
      </c>
      <c r="AF389" t="s">
        <v>112</v>
      </c>
      <c r="AG389">
        <v>18</v>
      </c>
      <c r="AH389" t="s">
        <v>113</v>
      </c>
      <c r="AI389" t="s">
        <v>152</v>
      </c>
      <c r="AJ389" t="s">
        <v>69</v>
      </c>
      <c r="AK389" t="s">
        <v>70</v>
      </c>
      <c r="AL389" t="s">
        <v>71</v>
      </c>
      <c r="AM389" t="s">
        <v>70</v>
      </c>
      <c r="AN389" t="s">
        <v>231</v>
      </c>
      <c r="AO389" t="s">
        <v>287</v>
      </c>
      <c r="AP389" t="s">
        <v>72</v>
      </c>
      <c r="AQ389" t="s">
        <v>117</v>
      </c>
      <c r="AR389" s="1">
        <v>43060</v>
      </c>
      <c r="AS389" t="s">
        <v>118</v>
      </c>
      <c r="AT389" t="s">
        <v>71</v>
      </c>
      <c r="AU389">
        <v>682</v>
      </c>
      <c r="AV389" t="s">
        <v>76</v>
      </c>
    </row>
    <row r="390" spans="1:48" x14ac:dyDescent="0.25">
      <c r="A390" t="s">
        <v>677</v>
      </c>
      <c r="B390" t="s">
        <v>190</v>
      </c>
      <c r="C390" t="s">
        <v>360</v>
      </c>
      <c r="D390" t="s">
        <v>51</v>
      </c>
      <c r="E390">
        <v>31</v>
      </c>
      <c r="F390" t="s">
        <v>141</v>
      </c>
      <c r="G390" t="s">
        <v>242</v>
      </c>
      <c r="H390" t="s">
        <v>54</v>
      </c>
      <c r="I390" t="s">
        <v>171</v>
      </c>
      <c r="J390" t="s">
        <v>172</v>
      </c>
      <c r="K390" t="s">
        <v>173</v>
      </c>
      <c r="L390" t="s">
        <v>201</v>
      </c>
      <c r="M390" t="s">
        <v>107</v>
      </c>
      <c r="N390" t="s">
        <v>88</v>
      </c>
      <c r="O390" t="s">
        <v>149</v>
      </c>
      <c r="P390" s="1">
        <v>42184</v>
      </c>
      <c r="Q390">
        <v>8.9</v>
      </c>
      <c r="R390" t="s">
        <v>129</v>
      </c>
      <c r="S390" t="s">
        <v>110</v>
      </c>
      <c r="T390" t="s">
        <v>111</v>
      </c>
      <c r="U390">
        <v>1</v>
      </c>
      <c r="V390">
        <v>0</v>
      </c>
      <c r="W390">
        <v>4739</v>
      </c>
      <c r="X390">
        <v>0</v>
      </c>
      <c r="Y390">
        <v>422</v>
      </c>
      <c r="Z390">
        <v>5161</v>
      </c>
      <c r="AA390">
        <v>455</v>
      </c>
      <c r="AB390" t="s">
        <v>65</v>
      </c>
      <c r="AC390">
        <v>16.5</v>
      </c>
      <c r="AD390">
        <v>49</v>
      </c>
      <c r="AE390">
        <v>67</v>
      </c>
      <c r="AF390" t="s">
        <v>112</v>
      </c>
      <c r="AG390">
        <v>34</v>
      </c>
      <c r="AH390" t="s">
        <v>67</v>
      </c>
      <c r="AI390" t="s">
        <v>68</v>
      </c>
      <c r="AJ390" t="s">
        <v>72</v>
      </c>
      <c r="AK390" t="s">
        <v>70</v>
      </c>
      <c r="AL390" t="s">
        <v>71</v>
      </c>
      <c r="AM390" t="s">
        <v>70</v>
      </c>
      <c r="AN390" t="s">
        <v>270</v>
      </c>
      <c r="AO390" t="s">
        <v>227</v>
      </c>
      <c r="AP390" t="s">
        <v>135</v>
      </c>
      <c r="AQ390" t="s">
        <v>117</v>
      </c>
      <c r="AR390" s="1">
        <v>42771</v>
      </c>
      <c r="AS390" t="s">
        <v>75</v>
      </c>
      <c r="AT390" t="s">
        <v>71</v>
      </c>
      <c r="AU390">
        <v>966</v>
      </c>
      <c r="AV390" t="s">
        <v>76</v>
      </c>
    </row>
    <row r="391" spans="1:48" x14ac:dyDescent="0.25">
      <c r="A391" t="s">
        <v>678</v>
      </c>
      <c r="B391" t="s">
        <v>229</v>
      </c>
      <c r="C391" t="s">
        <v>264</v>
      </c>
      <c r="D391" t="s">
        <v>51</v>
      </c>
      <c r="E391">
        <v>31</v>
      </c>
      <c r="F391" t="s">
        <v>52</v>
      </c>
      <c r="G391" t="s">
        <v>101</v>
      </c>
      <c r="H391" t="s">
        <v>102</v>
      </c>
      <c r="I391" t="s">
        <v>292</v>
      </c>
      <c r="J391" t="s">
        <v>293</v>
      </c>
      <c r="K391" t="s">
        <v>294</v>
      </c>
      <c r="L391" t="s">
        <v>174</v>
      </c>
      <c r="M391" t="s">
        <v>249</v>
      </c>
      <c r="N391" t="s">
        <v>128</v>
      </c>
      <c r="O391" t="s">
        <v>61</v>
      </c>
      <c r="P391" s="1">
        <v>42092</v>
      </c>
      <c r="Q391">
        <v>9.1999999999999993</v>
      </c>
      <c r="R391" t="s">
        <v>195</v>
      </c>
      <c r="S391" t="s">
        <v>63</v>
      </c>
      <c r="T391" t="s">
        <v>64</v>
      </c>
      <c r="U391">
        <v>0</v>
      </c>
      <c r="V391">
        <v>0</v>
      </c>
      <c r="W391">
        <v>2980</v>
      </c>
      <c r="X391">
        <v>1979</v>
      </c>
      <c r="Y391">
        <v>422</v>
      </c>
      <c r="Z391">
        <v>5381</v>
      </c>
      <c r="AA391">
        <v>419</v>
      </c>
      <c r="AB391" t="s">
        <v>65</v>
      </c>
      <c r="AC391">
        <v>18.7</v>
      </c>
      <c r="AD391">
        <v>50</v>
      </c>
      <c r="AE391">
        <v>45</v>
      </c>
      <c r="AF391" t="s">
        <v>112</v>
      </c>
      <c r="AG391">
        <v>35</v>
      </c>
      <c r="AH391" t="s">
        <v>67</v>
      </c>
      <c r="AI391" t="s">
        <v>68</v>
      </c>
      <c r="AJ391" t="s">
        <v>72</v>
      </c>
      <c r="AK391" t="s">
        <v>70</v>
      </c>
      <c r="AL391" t="s">
        <v>70</v>
      </c>
      <c r="AM391" t="s">
        <v>71</v>
      </c>
      <c r="AN391" t="s">
        <v>202</v>
      </c>
      <c r="AO391" t="s">
        <v>221</v>
      </c>
      <c r="AP391" t="s">
        <v>72</v>
      </c>
      <c r="AQ391" t="s">
        <v>74</v>
      </c>
      <c r="AR391" s="1">
        <v>44102</v>
      </c>
      <c r="AS391" t="s">
        <v>198</v>
      </c>
      <c r="AT391" t="s">
        <v>71</v>
      </c>
      <c r="AU391">
        <v>181</v>
      </c>
      <c r="AV391" t="s">
        <v>76</v>
      </c>
    </row>
    <row r="392" spans="1:48" x14ac:dyDescent="0.25">
      <c r="A392" t="s">
        <v>679</v>
      </c>
      <c r="B392" t="s">
        <v>251</v>
      </c>
      <c r="C392" t="s">
        <v>155</v>
      </c>
      <c r="D392" t="s">
        <v>51</v>
      </c>
      <c r="E392">
        <v>22</v>
      </c>
      <c r="F392" t="s">
        <v>168</v>
      </c>
      <c r="G392" t="s">
        <v>124</v>
      </c>
      <c r="H392" t="s">
        <v>125</v>
      </c>
      <c r="I392" t="s">
        <v>273</v>
      </c>
      <c r="J392" t="s">
        <v>274</v>
      </c>
      <c r="K392" t="s">
        <v>57</v>
      </c>
      <c r="L392" t="s">
        <v>106</v>
      </c>
      <c r="M392" t="s">
        <v>161</v>
      </c>
      <c r="N392" t="s">
        <v>128</v>
      </c>
      <c r="O392" t="s">
        <v>89</v>
      </c>
      <c r="P392" s="1">
        <v>39093</v>
      </c>
      <c r="Q392">
        <v>17.399999999999999</v>
      </c>
      <c r="R392" t="s">
        <v>62</v>
      </c>
      <c r="S392" t="s">
        <v>110</v>
      </c>
      <c r="T392" t="s">
        <v>111</v>
      </c>
      <c r="U392">
        <v>4</v>
      </c>
      <c r="V392">
        <v>0</v>
      </c>
      <c r="W392">
        <v>2730</v>
      </c>
      <c r="X392">
        <v>1508</v>
      </c>
      <c r="Y392">
        <v>422</v>
      </c>
      <c r="Z392">
        <v>4660</v>
      </c>
      <c r="AA392">
        <v>365</v>
      </c>
      <c r="AB392" t="s">
        <v>65</v>
      </c>
      <c r="AC392">
        <v>15.9</v>
      </c>
      <c r="AD392">
        <v>49</v>
      </c>
      <c r="AE392">
        <v>30</v>
      </c>
      <c r="AF392" t="s">
        <v>93</v>
      </c>
      <c r="AG392">
        <v>21</v>
      </c>
      <c r="AH392" t="s">
        <v>113</v>
      </c>
      <c r="AI392" t="s">
        <v>68</v>
      </c>
      <c r="AJ392" t="s">
        <v>188</v>
      </c>
      <c r="AK392" t="s">
        <v>70</v>
      </c>
      <c r="AL392" t="s">
        <v>71</v>
      </c>
      <c r="AM392" t="s">
        <v>70</v>
      </c>
      <c r="AN392" t="s">
        <v>243</v>
      </c>
      <c r="AO392" t="s">
        <v>134</v>
      </c>
      <c r="AP392" t="s">
        <v>72</v>
      </c>
      <c r="AQ392" t="s">
        <v>98</v>
      </c>
      <c r="AR392" s="1">
        <v>39901</v>
      </c>
      <c r="AS392" t="s">
        <v>137</v>
      </c>
      <c r="AT392" t="s">
        <v>71</v>
      </c>
      <c r="AU392">
        <v>1428</v>
      </c>
      <c r="AV392" t="s">
        <v>76</v>
      </c>
    </row>
    <row r="393" spans="1:48" x14ac:dyDescent="0.25">
      <c r="A393" t="s">
        <v>680</v>
      </c>
      <c r="B393" t="s">
        <v>263</v>
      </c>
      <c r="C393" t="s">
        <v>396</v>
      </c>
      <c r="D393" t="s">
        <v>122</v>
      </c>
      <c r="E393">
        <v>18</v>
      </c>
      <c r="F393" t="s">
        <v>322</v>
      </c>
      <c r="G393" t="s">
        <v>285</v>
      </c>
      <c r="H393" t="s">
        <v>286</v>
      </c>
      <c r="I393" t="s">
        <v>158</v>
      </c>
      <c r="J393" t="s">
        <v>159</v>
      </c>
      <c r="K393" t="s">
        <v>160</v>
      </c>
      <c r="L393" t="s">
        <v>126</v>
      </c>
      <c r="M393" t="s">
        <v>249</v>
      </c>
      <c r="N393" t="s">
        <v>265</v>
      </c>
      <c r="O393" t="s">
        <v>149</v>
      </c>
      <c r="P393" s="1">
        <v>44603</v>
      </c>
      <c r="Q393">
        <v>2.2999999999999998</v>
      </c>
      <c r="R393" t="s">
        <v>208</v>
      </c>
      <c r="S393" t="s">
        <v>163</v>
      </c>
      <c r="T393" t="s">
        <v>164</v>
      </c>
      <c r="U393">
        <v>12</v>
      </c>
      <c r="V393">
        <v>2</v>
      </c>
      <c r="W393">
        <v>7668</v>
      </c>
      <c r="X393">
        <v>1063</v>
      </c>
      <c r="Y393">
        <v>266</v>
      </c>
      <c r="Z393">
        <v>8997</v>
      </c>
      <c r="AA393">
        <v>457</v>
      </c>
      <c r="AB393" t="s">
        <v>65</v>
      </c>
      <c r="AC393">
        <v>19</v>
      </c>
      <c r="AD393">
        <v>28</v>
      </c>
      <c r="AE393">
        <v>55</v>
      </c>
      <c r="AF393" t="s">
        <v>112</v>
      </c>
      <c r="AG393">
        <v>37</v>
      </c>
      <c r="AH393" t="s">
        <v>94</v>
      </c>
      <c r="AI393" t="s">
        <v>152</v>
      </c>
      <c r="AJ393" t="s">
        <v>72</v>
      </c>
      <c r="AK393" t="s">
        <v>70</v>
      </c>
      <c r="AL393" t="s">
        <v>70</v>
      </c>
      <c r="AM393" t="s">
        <v>70</v>
      </c>
      <c r="AN393" t="s">
        <v>243</v>
      </c>
      <c r="AO393" t="s">
        <v>72</v>
      </c>
      <c r="AP393" t="s">
        <v>116</v>
      </c>
      <c r="AQ393" t="s">
        <v>74</v>
      </c>
      <c r="AR393" s="1">
        <v>45303</v>
      </c>
      <c r="AS393" t="s">
        <v>118</v>
      </c>
      <c r="AT393" t="s">
        <v>71</v>
      </c>
      <c r="AU393">
        <v>892</v>
      </c>
      <c r="AV393" t="s">
        <v>76</v>
      </c>
    </row>
    <row r="394" spans="1:48" x14ac:dyDescent="0.25">
      <c r="A394" t="s">
        <v>681</v>
      </c>
      <c r="B394" t="s">
        <v>259</v>
      </c>
      <c r="C394" t="s">
        <v>375</v>
      </c>
      <c r="D394" t="s">
        <v>51</v>
      </c>
      <c r="E394">
        <v>44</v>
      </c>
      <c r="F394" t="s">
        <v>311</v>
      </c>
      <c r="G394" t="s">
        <v>53</v>
      </c>
      <c r="H394" t="s">
        <v>54</v>
      </c>
      <c r="I394" t="s">
        <v>273</v>
      </c>
      <c r="J394" t="s">
        <v>274</v>
      </c>
      <c r="K394" t="s">
        <v>57</v>
      </c>
      <c r="L394" t="s">
        <v>126</v>
      </c>
      <c r="M394" t="s">
        <v>107</v>
      </c>
      <c r="N394" t="s">
        <v>60</v>
      </c>
      <c r="O394" t="s">
        <v>149</v>
      </c>
      <c r="P394" s="1">
        <v>40826</v>
      </c>
      <c r="Q394">
        <v>12.6</v>
      </c>
      <c r="R394" t="s">
        <v>75</v>
      </c>
      <c r="S394" t="s">
        <v>91</v>
      </c>
      <c r="T394" t="s">
        <v>92</v>
      </c>
      <c r="U394">
        <v>2</v>
      </c>
      <c r="V394">
        <v>0</v>
      </c>
      <c r="W394">
        <v>4739</v>
      </c>
      <c r="X394">
        <v>1495</v>
      </c>
      <c r="Y394">
        <v>422</v>
      </c>
      <c r="Z394">
        <v>6656</v>
      </c>
      <c r="AA394">
        <v>435</v>
      </c>
      <c r="AB394" t="s">
        <v>65</v>
      </c>
      <c r="AC394">
        <v>18.100000000000001</v>
      </c>
      <c r="AD394">
        <v>47</v>
      </c>
      <c r="AE394">
        <v>39</v>
      </c>
      <c r="AF394" t="s">
        <v>112</v>
      </c>
      <c r="AG394">
        <v>28</v>
      </c>
      <c r="AH394" t="s">
        <v>113</v>
      </c>
      <c r="AI394" t="s">
        <v>95</v>
      </c>
      <c r="AJ394" t="s">
        <v>188</v>
      </c>
      <c r="AK394" t="s">
        <v>70</v>
      </c>
      <c r="AL394" t="s">
        <v>70</v>
      </c>
      <c r="AM394" t="s">
        <v>70</v>
      </c>
      <c r="AN394" t="s">
        <v>72</v>
      </c>
      <c r="AO394" t="s">
        <v>72</v>
      </c>
      <c r="AP394" t="s">
        <v>135</v>
      </c>
      <c r="AQ394" t="s">
        <v>117</v>
      </c>
      <c r="AR394" s="1">
        <v>41374</v>
      </c>
      <c r="AS394" t="s">
        <v>137</v>
      </c>
      <c r="AT394" t="s">
        <v>71</v>
      </c>
      <c r="AU394">
        <v>1156</v>
      </c>
      <c r="AV394" t="s">
        <v>76</v>
      </c>
    </row>
    <row r="395" spans="1:48" x14ac:dyDescent="0.25">
      <c r="A395" t="s">
        <v>682</v>
      </c>
      <c r="B395" t="s">
        <v>267</v>
      </c>
      <c r="C395" t="s">
        <v>264</v>
      </c>
      <c r="D395" t="s">
        <v>51</v>
      </c>
      <c r="E395">
        <v>35</v>
      </c>
      <c r="F395" t="s">
        <v>291</v>
      </c>
      <c r="G395" t="s">
        <v>124</v>
      </c>
      <c r="H395" t="s">
        <v>125</v>
      </c>
      <c r="I395" t="s">
        <v>225</v>
      </c>
      <c r="J395" t="s">
        <v>226</v>
      </c>
      <c r="K395" t="s">
        <v>105</v>
      </c>
      <c r="L395" t="s">
        <v>201</v>
      </c>
      <c r="M395" t="s">
        <v>212</v>
      </c>
      <c r="N395" t="s">
        <v>265</v>
      </c>
      <c r="O395" t="s">
        <v>109</v>
      </c>
      <c r="P395" s="1">
        <v>38447</v>
      </c>
      <c r="Q395">
        <v>19.2</v>
      </c>
      <c r="R395" t="s">
        <v>90</v>
      </c>
      <c r="S395" t="s">
        <v>91</v>
      </c>
      <c r="T395" t="s">
        <v>92</v>
      </c>
      <c r="U395">
        <v>12</v>
      </c>
      <c r="V395">
        <v>2</v>
      </c>
      <c r="W395">
        <v>2730</v>
      </c>
      <c r="X395">
        <v>0</v>
      </c>
      <c r="Y395">
        <v>422</v>
      </c>
      <c r="Z395">
        <v>3152</v>
      </c>
      <c r="AA395">
        <v>349</v>
      </c>
      <c r="AB395" t="s">
        <v>151</v>
      </c>
      <c r="AC395">
        <v>15.1</v>
      </c>
      <c r="AD395">
        <v>36</v>
      </c>
      <c r="AE395">
        <v>77</v>
      </c>
      <c r="AF395" t="s">
        <v>132</v>
      </c>
      <c r="AG395">
        <v>32</v>
      </c>
      <c r="AH395" t="s">
        <v>67</v>
      </c>
      <c r="AI395" t="s">
        <v>177</v>
      </c>
      <c r="AJ395" t="s">
        <v>96</v>
      </c>
      <c r="AK395" t="s">
        <v>71</v>
      </c>
      <c r="AL395" t="s">
        <v>71</v>
      </c>
      <c r="AM395" t="s">
        <v>70</v>
      </c>
      <c r="AN395" t="s">
        <v>72</v>
      </c>
      <c r="AO395" t="s">
        <v>221</v>
      </c>
      <c r="AP395" t="s">
        <v>72</v>
      </c>
      <c r="AQ395" t="s">
        <v>117</v>
      </c>
      <c r="AR395" s="1">
        <v>44149</v>
      </c>
      <c r="AS395" t="s">
        <v>118</v>
      </c>
      <c r="AT395" t="s">
        <v>71</v>
      </c>
      <c r="AU395">
        <v>556</v>
      </c>
      <c r="AV395" t="s">
        <v>76</v>
      </c>
    </row>
    <row r="396" spans="1:48" x14ac:dyDescent="0.25">
      <c r="A396" t="s">
        <v>683</v>
      </c>
      <c r="B396" t="s">
        <v>166</v>
      </c>
      <c r="C396" t="s">
        <v>200</v>
      </c>
      <c r="D396" t="s">
        <v>51</v>
      </c>
      <c r="E396">
        <v>38</v>
      </c>
      <c r="F396" t="s">
        <v>214</v>
      </c>
      <c r="G396" t="s">
        <v>298</v>
      </c>
      <c r="H396" t="s">
        <v>299</v>
      </c>
      <c r="I396" t="s">
        <v>185</v>
      </c>
      <c r="J396" t="s">
        <v>186</v>
      </c>
      <c r="K396" t="s">
        <v>187</v>
      </c>
      <c r="L396" t="s">
        <v>86</v>
      </c>
      <c r="M396" t="s">
        <v>296</v>
      </c>
      <c r="N396" t="s">
        <v>60</v>
      </c>
      <c r="O396" t="s">
        <v>109</v>
      </c>
      <c r="P396" s="1">
        <v>42123</v>
      </c>
      <c r="Q396">
        <v>9.1</v>
      </c>
      <c r="R396" t="s">
        <v>75</v>
      </c>
      <c r="S396" t="s">
        <v>110</v>
      </c>
      <c r="T396" t="s">
        <v>111</v>
      </c>
      <c r="U396">
        <v>1</v>
      </c>
      <c r="V396">
        <v>0</v>
      </c>
      <c r="W396">
        <v>2149</v>
      </c>
      <c r="X396">
        <v>2027</v>
      </c>
      <c r="Y396">
        <v>422</v>
      </c>
      <c r="Z396">
        <v>4598</v>
      </c>
      <c r="AA396">
        <v>441</v>
      </c>
      <c r="AB396" t="s">
        <v>65</v>
      </c>
      <c r="AC396">
        <v>14.6</v>
      </c>
      <c r="AD396">
        <v>41</v>
      </c>
      <c r="AE396">
        <v>73</v>
      </c>
      <c r="AF396" t="s">
        <v>66</v>
      </c>
      <c r="AG396">
        <v>33</v>
      </c>
      <c r="AH396" t="s">
        <v>67</v>
      </c>
      <c r="AI396" t="s">
        <v>152</v>
      </c>
      <c r="AJ396" t="s">
        <v>72</v>
      </c>
      <c r="AK396" t="s">
        <v>70</v>
      </c>
      <c r="AL396" t="s">
        <v>70</v>
      </c>
      <c r="AM396" t="s">
        <v>70</v>
      </c>
      <c r="AN396" t="s">
        <v>72</v>
      </c>
      <c r="AO396" t="s">
        <v>134</v>
      </c>
      <c r="AP396" t="s">
        <v>72</v>
      </c>
      <c r="AQ396" t="s">
        <v>117</v>
      </c>
      <c r="AR396" s="1">
        <v>42154</v>
      </c>
      <c r="AS396" t="s">
        <v>137</v>
      </c>
      <c r="AT396" t="s">
        <v>71</v>
      </c>
      <c r="AU396">
        <v>1676</v>
      </c>
      <c r="AV396" t="s">
        <v>76</v>
      </c>
    </row>
    <row r="397" spans="1:48" x14ac:dyDescent="0.25">
      <c r="A397" t="s">
        <v>684</v>
      </c>
      <c r="B397" t="s">
        <v>181</v>
      </c>
      <c r="C397" t="s">
        <v>353</v>
      </c>
      <c r="D397" t="s">
        <v>122</v>
      </c>
      <c r="E397">
        <v>28</v>
      </c>
      <c r="F397" t="s">
        <v>224</v>
      </c>
      <c r="G397" t="s">
        <v>193</v>
      </c>
      <c r="H397" t="s">
        <v>194</v>
      </c>
      <c r="I397" t="s">
        <v>103</v>
      </c>
      <c r="J397" t="s">
        <v>104</v>
      </c>
      <c r="K397" t="s">
        <v>105</v>
      </c>
      <c r="L397" t="s">
        <v>174</v>
      </c>
      <c r="M397" t="s">
        <v>275</v>
      </c>
      <c r="N397" t="s">
        <v>265</v>
      </c>
      <c r="O397" t="s">
        <v>149</v>
      </c>
      <c r="P397" s="1">
        <v>43537</v>
      </c>
      <c r="Q397">
        <v>5.2</v>
      </c>
      <c r="R397" t="s">
        <v>62</v>
      </c>
      <c r="S397" t="s">
        <v>91</v>
      </c>
      <c r="T397" t="s">
        <v>92</v>
      </c>
      <c r="U397">
        <v>13</v>
      </c>
      <c r="V397">
        <v>2</v>
      </c>
      <c r="W397">
        <v>2259</v>
      </c>
      <c r="X397">
        <v>1362</v>
      </c>
      <c r="Y397">
        <v>422</v>
      </c>
      <c r="Z397">
        <v>4043</v>
      </c>
      <c r="AA397">
        <v>414</v>
      </c>
      <c r="AB397" t="s">
        <v>65</v>
      </c>
      <c r="AC397">
        <v>20.8</v>
      </c>
      <c r="AD397">
        <v>64</v>
      </c>
      <c r="AE397">
        <v>69</v>
      </c>
      <c r="AF397" t="s">
        <v>132</v>
      </c>
      <c r="AG397">
        <v>17</v>
      </c>
      <c r="AH397" t="s">
        <v>113</v>
      </c>
      <c r="AI397" t="s">
        <v>95</v>
      </c>
      <c r="AJ397" t="s">
        <v>72</v>
      </c>
      <c r="AK397" t="s">
        <v>70</v>
      </c>
      <c r="AL397" t="s">
        <v>70</v>
      </c>
      <c r="AM397" t="s">
        <v>71</v>
      </c>
      <c r="AN397" t="s">
        <v>72</v>
      </c>
      <c r="AO397" t="s">
        <v>97</v>
      </c>
      <c r="AP397" t="s">
        <v>72</v>
      </c>
      <c r="AQ397" t="s">
        <v>136</v>
      </c>
      <c r="AR397" s="1">
        <v>44518</v>
      </c>
      <c r="AS397" t="s">
        <v>198</v>
      </c>
      <c r="AT397" t="s">
        <v>71</v>
      </c>
      <c r="AU397">
        <v>-176</v>
      </c>
      <c r="AV397" t="s">
        <v>179</v>
      </c>
    </row>
    <row r="398" spans="1:48" x14ac:dyDescent="0.25">
      <c r="A398" t="s">
        <v>685</v>
      </c>
      <c r="B398" t="s">
        <v>263</v>
      </c>
      <c r="C398" t="s">
        <v>223</v>
      </c>
      <c r="D398" t="s">
        <v>122</v>
      </c>
      <c r="E398">
        <v>26</v>
      </c>
      <c r="F398" t="s">
        <v>316</v>
      </c>
      <c r="G398" t="s">
        <v>242</v>
      </c>
      <c r="H398" t="s">
        <v>54</v>
      </c>
      <c r="I398" t="s">
        <v>217</v>
      </c>
      <c r="J398" t="s">
        <v>218</v>
      </c>
      <c r="K398" t="s">
        <v>146</v>
      </c>
      <c r="L398" t="s">
        <v>201</v>
      </c>
      <c r="M398" t="s">
        <v>147</v>
      </c>
      <c r="N398" t="s">
        <v>148</v>
      </c>
      <c r="O398" t="s">
        <v>149</v>
      </c>
      <c r="P398" s="1">
        <v>44040</v>
      </c>
      <c r="Q398">
        <v>3.8</v>
      </c>
      <c r="R398" t="s">
        <v>208</v>
      </c>
      <c r="S398" t="s">
        <v>196</v>
      </c>
      <c r="T398" t="s">
        <v>197</v>
      </c>
      <c r="U398">
        <v>0</v>
      </c>
      <c r="V398">
        <v>0</v>
      </c>
      <c r="W398">
        <v>4739</v>
      </c>
      <c r="X398">
        <v>900</v>
      </c>
      <c r="Y398">
        <v>422</v>
      </c>
      <c r="Z398">
        <v>6061</v>
      </c>
      <c r="AA398">
        <v>513</v>
      </c>
      <c r="AB398" t="s">
        <v>65</v>
      </c>
      <c r="AC398">
        <v>17.399999999999999</v>
      </c>
      <c r="AD398">
        <v>33</v>
      </c>
      <c r="AE398">
        <v>78</v>
      </c>
      <c r="AF398" t="s">
        <v>112</v>
      </c>
      <c r="AG398">
        <v>39</v>
      </c>
      <c r="AH398" t="s">
        <v>94</v>
      </c>
      <c r="AI398" t="s">
        <v>95</v>
      </c>
      <c r="AJ398" t="s">
        <v>69</v>
      </c>
      <c r="AK398" t="s">
        <v>70</v>
      </c>
      <c r="AL398" t="s">
        <v>70</v>
      </c>
      <c r="AM398" t="s">
        <v>70</v>
      </c>
      <c r="AN398" t="s">
        <v>72</v>
      </c>
      <c r="AO398" t="s">
        <v>72</v>
      </c>
      <c r="AP398" t="s">
        <v>134</v>
      </c>
      <c r="AQ398" t="s">
        <v>136</v>
      </c>
      <c r="AR398" s="1">
        <v>44679</v>
      </c>
      <c r="AS398" t="s">
        <v>118</v>
      </c>
      <c r="AT398" t="s">
        <v>71</v>
      </c>
      <c r="AU398">
        <v>31</v>
      </c>
      <c r="AV398" t="s">
        <v>179</v>
      </c>
    </row>
    <row r="399" spans="1:48" x14ac:dyDescent="0.25">
      <c r="A399" t="s">
        <v>686</v>
      </c>
      <c r="B399" t="s">
        <v>229</v>
      </c>
      <c r="C399" t="s">
        <v>272</v>
      </c>
      <c r="D399" t="s">
        <v>51</v>
      </c>
      <c r="E399">
        <v>45</v>
      </c>
      <c r="F399" t="s">
        <v>141</v>
      </c>
      <c r="G399" t="s">
        <v>215</v>
      </c>
      <c r="H399" t="s">
        <v>216</v>
      </c>
      <c r="I399" t="s">
        <v>171</v>
      </c>
      <c r="J399" t="s">
        <v>172</v>
      </c>
      <c r="K399" t="s">
        <v>173</v>
      </c>
      <c r="L399" t="s">
        <v>58</v>
      </c>
      <c r="M399" t="s">
        <v>107</v>
      </c>
      <c r="N399" t="s">
        <v>60</v>
      </c>
      <c r="O399" t="s">
        <v>176</v>
      </c>
      <c r="P399" s="1">
        <v>40163</v>
      </c>
      <c r="Q399">
        <v>14.5</v>
      </c>
      <c r="R399" t="s">
        <v>195</v>
      </c>
      <c r="S399" t="s">
        <v>163</v>
      </c>
      <c r="T399" t="s">
        <v>164</v>
      </c>
      <c r="U399">
        <v>9</v>
      </c>
      <c r="V399">
        <v>1</v>
      </c>
      <c r="W399">
        <v>3637</v>
      </c>
      <c r="X399">
        <v>2047</v>
      </c>
      <c r="Y399">
        <v>266</v>
      </c>
      <c r="Z399">
        <v>5950</v>
      </c>
      <c r="AA399">
        <v>458</v>
      </c>
      <c r="AB399" t="s">
        <v>65</v>
      </c>
      <c r="AC399">
        <v>17.5</v>
      </c>
      <c r="AD399">
        <v>60</v>
      </c>
      <c r="AE399">
        <v>68</v>
      </c>
      <c r="AF399" t="s">
        <v>132</v>
      </c>
      <c r="AG399">
        <v>31</v>
      </c>
      <c r="AH399" t="s">
        <v>67</v>
      </c>
      <c r="AI399" t="s">
        <v>114</v>
      </c>
      <c r="AJ399" t="s">
        <v>96</v>
      </c>
      <c r="AK399" t="s">
        <v>70</v>
      </c>
      <c r="AL399" t="s">
        <v>71</v>
      </c>
      <c r="AM399" t="s">
        <v>70</v>
      </c>
      <c r="AN399" t="s">
        <v>243</v>
      </c>
      <c r="AO399" t="s">
        <v>203</v>
      </c>
      <c r="AP399" t="s">
        <v>72</v>
      </c>
      <c r="AQ399" t="s">
        <v>117</v>
      </c>
      <c r="AR399" s="1">
        <v>43114</v>
      </c>
      <c r="AS399" t="s">
        <v>118</v>
      </c>
      <c r="AT399" t="s">
        <v>71</v>
      </c>
      <c r="AU399">
        <v>-368</v>
      </c>
      <c r="AV399" t="s">
        <v>179</v>
      </c>
    </row>
    <row r="400" spans="1:48" x14ac:dyDescent="0.25">
      <c r="A400" t="s">
        <v>687</v>
      </c>
      <c r="B400" t="s">
        <v>245</v>
      </c>
      <c r="C400" t="s">
        <v>167</v>
      </c>
      <c r="D400" t="s">
        <v>51</v>
      </c>
      <c r="E400">
        <v>35</v>
      </c>
      <c r="F400" t="s">
        <v>192</v>
      </c>
      <c r="G400" t="s">
        <v>301</v>
      </c>
      <c r="H400" t="s">
        <v>302</v>
      </c>
      <c r="I400" t="s">
        <v>171</v>
      </c>
      <c r="J400" t="s">
        <v>172</v>
      </c>
      <c r="K400" t="s">
        <v>173</v>
      </c>
      <c r="L400" t="s">
        <v>58</v>
      </c>
      <c r="M400" t="s">
        <v>59</v>
      </c>
      <c r="N400" t="s">
        <v>148</v>
      </c>
      <c r="O400" t="s">
        <v>176</v>
      </c>
      <c r="P400" s="1">
        <v>40843</v>
      </c>
      <c r="Q400">
        <v>12.6</v>
      </c>
      <c r="R400" t="s">
        <v>90</v>
      </c>
      <c r="S400" t="s">
        <v>110</v>
      </c>
      <c r="T400" t="s">
        <v>111</v>
      </c>
      <c r="U400">
        <v>10</v>
      </c>
      <c r="V400">
        <v>1</v>
      </c>
      <c r="W400">
        <v>4188</v>
      </c>
      <c r="X400">
        <v>1724</v>
      </c>
      <c r="Y400">
        <v>266</v>
      </c>
      <c r="Z400">
        <v>6178</v>
      </c>
      <c r="AA400">
        <v>375</v>
      </c>
      <c r="AB400" t="s">
        <v>65</v>
      </c>
      <c r="AC400">
        <v>12.8</v>
      </c>
      <c r="AD400">
        <v>59</v>
      </c>
      <c r="AE400">
        <v>67</v>
      </c>
      <c r="AF400" t="s">
        <v>112</v>
      </c>
      <c r="AG400">
        <v>34</v>
      </c>
      <c r="AH400" t="s">
        <v>67</v>
      </c>
      <c r="AI400" t="s">
        <v>95</v>
      </c>
      <c r="AJ400" t="s">
        <v>96</v>
      </c>
      <c r="AK400" t="s">
        <v>70</v>
      </c>
      <c r="AL400" t="s">
        <v>71</v>
      </c>
      <c r="AM400" t="s">
        <v>70</v>
      </c>
      <c r="AN400" t="s">
        <v>72</v>
      </c>
      <c r="AO400" t="s">
        <v>227</v>
      </c>
      <c r="AP400" t="s">
        <v>72</v>
      </c>
      <c r="AQ400" t="s">
        <v>136</v>
      </c>
      <c r="AR400" s="1">
        <v>42332</v>
      </c>
      <c r="AS400" t="s">
        <v>137</v>
      </c>
      <c r="AT400" t="s">
        <v>71</v>
      </c>
      <c r="AU400">
        <v>365</v>
      </c>
      <c r="AV400" t="s">
        <v>76</v>
      </c>
    </row>
    <row r="401" spans="1:48" x14ac:dyDescent="0.25">
      <c r="A401" t="s">
        <v>688</v>
      </c>
      <c r="B401" t="s">
        <v>181</v>
      </c>
      <c r="C401" t="s">
        <v>252</v>
      </c>
      <c r="D401" t="s">
        <v>51</v>
      </c>
      <c r="E401">
        <v>42</v>
      </c>
      <c r="F401" t="s">
        <v>278</v>
      </c>
      <c r="G401" t="s">
        <v>101</v>
      </c>
      <c r="H401" t="s">
        <v>102</v>
      </c>
      <c r="I401" t="s">
        <v>292</v>
      </c>
      <c r="J401" t="s">
        <v>293</v>
      </c>
      <c r="K401" t="s">
        <v>294</v>
      </c>
      <c r="L401" t="s">
        <v>106</v>
      </c>
      <c r="M401" t="s">
        <v>212</v>
      </c>
      <c r="N401" t="s">
        <v>148</v>
      </c>
      <c r="O401" t="s">
        <v>109</v>
      </c>
      <c r="P401" s="1">
        <v>41236</v>
      </c>
      <c r="Q401">
        <v>11.5</v>
      </c>
      <c r="R401" t="s">
        <v>208</v>
      </c>
      <c r="S401" t="s">
        <v>196</v>
      </c>
      <c r="T401" t="s">
        <v>197</v>
      </c>
      <c r="U401">
        <v>0</v>
      </c>
      <c r="V401">
        <v>0</v>
      </c>
      <c r="W401">
        <v>2980</v>
      </c>
      <c r="X401">
        <v>1245</v>
      </c>
      <c r="Y401">
        <v>422</v>
      </c>
      <c r="Z401">
        <v>4647</v>
      </c>
      <c r="AA401">
        <v>475</v>
      </c>
      <c r="AB401" t="s">
        <v>65</v>
      </c>
      <c r="AC401">
        <v>20.2</v>
      </c>
      <c r="AD401">
        <v>37</v>
      </c>
      <c r="AE401">
        <v>50</v>
      </c>
      <c r="AF401" t="s">
        <v>66</v>
      </c>
      <c r="AG401">
        <v>37</v>
      </c>
      <c r="AH401" t="s">
        <v>94</v>
      </c>
      <c r="AI401" t="s">
        <v>68</v>
      </c>
      <c r="AJ401" t="s">
        <v>69</v>
      </c>
      <c r="AK401" t="s">
        <v>70</v>
      </c>
      <c r="AL401" t="s">
        <v>70</v>
      </c>
      <c r="AM401" t="s">
        <v>70</v>
      </c>
      <c r="AN401" t="s">
        <v>72</v>
      </c>
      <c r="AO401" t="s">
        <v>72</v>
      </c>
      <c r="AP401" t="s">
        <v>72</v>
      </c>
      <c r="AQ401" t="s">
        <v>117</v>
      </c>
      <c r="AR401" s="1">
        <v>42364</v>
      </c>
      <c r="AS401" t="s">
        <v>198</v>
      </c>
      <c r="AT401" t="s">
        <v>71</v>
      </c>
      <c r="AU401">
        <v>1138</v>
      </c>
      <c r="AV401" t="s">
        <v>76</v>
      </c>
    </row>
    <row r="402" spans="1:48" x14ac:dyDescent="0.25">
      <c r="A402" t="s">
        <v>689</v>
      </c>
      <c r="B402" t="s">
        <v>245</v>
      </c>
      <c r="C402" t="s">
        <v>50</v>
      </c>
      <c r="D402" t="s">
        <v>51</v>
      </c>
      <c r="E402">
        <v>38</v>
      </c>
      <c r="F402" t="s">
        <v>141</v>
      </c>
      <c r="G402" t="s">
        <v>215</v>
      </c>
      <c r="H402" t="s">
        <v>216</v>
      </c>
      <c r="I402" t="s">
        <v>292</v>
      </c>
      <c r="J402" t="s">
        <v>293</v>
      </c>
      <c r="K402" t="s">
        <v>294</v>
      </c>
      <c r="L402" t="s">
        <v>126</v>
      </c>
      <c r="M402" t="s">
        <v>175</v>
      </c>
      <c r="N402" t="s">
        <v>108</v>
      </c>
      <c r="O402" t="s">
        <v>89</v>
      </c>
      <c r="P402" s="1">
        <v>41493</v>
      </c>
      <c r="Q402">
        <v>10.8</v>
      </c>
      <c r="R402" t="s">
        <v>150</v>
      </c>
      <c r="S402" t="s">
        <v>63</v>
      </c>
      <c r="T402" t="s">
        <v>64</v>
      </c>
      <c r="U402">
        <v>0</v>
      </c>
      <c r="V402">
        <v>0</v>
      </c>
      <c r="W402">
        <v>3637</v>
      </c>
      <c r="X402">
        <v>2137</v>
      </c>
      <c r="Y402">
        <v>266</v>
      </c>
      <c r="Z402">
        <v>6040</v>
      </c>
      <c r="AA402">
        <v>304</v>
      </c>
      <c r="AB402" t="s">
        <v>151</v>
      </c>
      <c r="AC402">
        <v>20.8</v>
      </c>
      <c r="AD402">
        <v>46</v>
      </c>
      <c r="AE402">
        <v>42</v>
      </c>
      <c r="AF402" t="s">
        <v>93</v>
      </c>
      <c r="AG402">
        <v>20</v>
      </c>
      <c r="AH402" t="s">
        <v>113</v>
      </c>
      <c r="AI402" t="s">
        <v>177</v>
      </c>
      <c r="AJ402" t="s">
        <v>96</v>
      </c>
      <c r="AK402" t="s">
        <v>70</v>
      </c>
      <c r="AL402" t="s">
        <v>71</v>
      </c>
      <c r="AM402" t="s">
        <v>70</v>
      </c>
      <c r="AN402" t="s">
        <v>72</v>
      </c>
      <c r="AO402" t="s">
        <v>116</v>
      </c>
      <c r="AP402" t="s">
        <v>97</v>
      </c>
      <c r="AQ402" t="s">
        <v>74</v>
      </c>
      <c r="AR402" s="1">
        <v>44464</v>
      </c>
      <c r="AS402" t="s">
        <v>75</v>
      </c>
      <c r="AT402" t="s">
        <v>71</v>
      </c>
      <c r="AU402">
        <v>1761</v>
      </c>
      <c r="AV402" t="s">
        <v>76</v>
      </c>
    </row>
    <row r="403" spans="1:48" x14ac:dyDescent="0.25">
      <c r="A403" t="s">
        <v>690</v>
      </c>
      <c r="B403" t="s">
        <v>229</v>
      </c>
      <c r="C403" t="s">
        <v>264</v>
      </c>
      <c r="D403" t="s">
        <v>51</v>
      </c>
      <c r="E403">
        <v>32</v>
      </c>
      <c r="F403" t="s">
        <v>325</v>
      </c>
      <c r="G403" t="s">
        <v>301</v>
      </c>
      <c r="H403" t="s">
        <v>302</v>
      </c>
      <c r="I403" t="s">
        <v>260</v>
      </c>
      <c r="J403" t="s">
        <v>261</v>
      </c>
      <c r="K403" t="s">
        <v>173</v>
      </c>
      <c r="L403" t="s">
        <v>58</v>
      </c>
      <c r="M403" t="s">
        <v>275</v>
      </c>
      <c r="N403" t="s">
        <v>162</v>
      </c>
      <c r="O403" t="s">
        <v>149</v>
      </c>
      <c r="P403" s="1">
        <v>40996</v>
      </c>
      <c r="Q403">
        <v>12.2</v>
      </c>
      <c r="R403" t="s">
        <v>208</v>
      </c>
      <c r="S403" t="s">
        <v>130</v>
      </c>
      <c r="T403" t="s">
        <v>131</v>
      </c>
      <c r="U403">
        <v>9</v>
      </c>
      <c r="V403">
        <v>1</v>
      </c>
      <c r="W403">
        <v>4188</v>
      </c>
      <c r="X403">
        <v>0</v>
      </c>
      <c r="Y403">
        <v>266</v>
      </c>
      <c r="Z403">
        <v>4454</v>
      </c>
      <c r="AA403">
        <v>415</v>
      </c>
      <c r="AB403" t="s">
        <v>65</v>
      </c>
      <c r="AC403">
        <v>14.3</v>
      </c>
      <c r="AD403">
        <v>49</v>
      </c>
      <c r="AE403">
        <v>59</v>
      </c>
      <c r="AF403" t="s">
        <v>132</v>
      </c>
      <c r="AG403">
        <v>23</v>
      </c>
      <c r="AH403" t="s">
        <v>113</v>
      </c>
      <c r="AI403" t="s">
        <v>177</v>
      </c>
      <c r="AJ403" t="s">
        <v>72</v>
      </c>
      <c r="AK403" t="s">
        <v>70</v>
      </c>
      <c r="AL403" t="s">
        <v>71</v>
      </c>
      <c r="AM403" t="s">
        <v>70</v>
      </c>
      <c r="AN403" t="s">
        <v>231</v>
      </c>
      <c r="AO403" t="s">
        <v>72</v>
      </c>
      <c r="AP403" t="s">
        <v>72</v>
      </c>
      <c r="AQ403" t="s">
        <v>74</v>
      </c>
      <c r="AR403" s="1">
        <v>45166</v>
      </c>
      <c r="AS403" t="s">
        <v>137</v>
      </c>
      <c r="AT403" t="s">
        <v>71</v>
      </c>
      <c r="AU403">
        <v>1425</v>
      </c>
      <c r="AV403" t="s">
        <v>76</v>
      </c>
    </row>
    <row r="404" spans="1:48" x14ac:dyDescent="0.25">
      <c r="A404" t="s">
        <v>691</v>
      </c>
      <c r="B404" t="s">
        <v>166</v>
      </c>
      <c r="C404" t="s">
        <v>223</v>
      </c>
      <c r="D404" t="s">
        <v>122</v>
      </c>
      <c r="E404">
        <v>22</v>
      </c>
      <c r="F404" t="s">
        <v>80</v>
      </c>
      <c r="G404" t="s">
        <v>242</v>
      </c>
      <c r="H404" t="s">
        <v>54</v>
      </c>
      <c r="I404" t="s">
        <v>236</v>
      </c>
      <c r="J404" t="s">
        <v>237</v>
      </c>
      <c r="K404" t="s">
        <v>238</v>
      </c>
      <c r="L404" t="s">
        <v>106</v>
      </c>
      <c r="M404" t="s">
        <v>147</v>
      </c>
      <c r="N404" t="s">
        <v>60</v>
      </c>
      <c r="O404" t="s">
        <v>61</v>
      </c>
      <c r="P404" s="1">
        <v>43653</v>
      </c>
      <c r="Q404">
        <v>4.9000000000000004</v>
      </c>
      <c r="R404" t="s">
        <v>129</v>
      </c>
      <c r="S404" t="s">
        <v>63</v>
      </c>
      <c r="T404" t="s">
        <v>64</v>
      </c>
      <c r="U404">
        <v>0</v>
      </c>
      <c r="V404">
        <v>0</v>
      </c>
      <c r="W404">
        <v>4739</v>
      </c>
      <c r="X404">
        <v>848</v>
      </c>
      <c r="Y404">
        <v>422</v>
      </c>
      <c r="Z404">
        <v>6009</v>
      </c>
      <c r="AA404">
        <v>439</v>
      </c>
      <c r="AB404" t="s">
        <v>65</v>
      </c>
      <c r="AC404">
        <v>16.600000000000001</v>
      </c>
      <c r="AD404">
        <v>66</v>
      </c>
      <c r="AE404">
        <v>33</v>
      </c>
      <c r="AF404" t="s">
        <v>132</v>
      </c>
      <c r="AG404">
        <v>39</v>
      </c>
      <c r="AH404" t="s">
        <v>94</v>
      </c>
      <c r="AI404" t="s">
        <v>152</v>
      </c>
      <c r="AJ404" t="s">
        <v>69</v>
      </c>
      <c r="AK404" t="s">
        <v>70</v>
      </c>
      <c r="AL404" t="s">
        <v>71</v>
      </c>
      <c r="AM404" t="s">
        <v>71</v>
      </c>
      <c r="AN404" t="s">
        <v>243</v>
      </c>
      <c r="AO404" t="s">
        <v>72</v>
      </c>
      <c r="AP404" t="s">
        <v>72</v>
      </c>
      <c r="AQ404" t="s">
        <v>74</v>
      </c>
      <c r="AR404" s="1">
        <v>45157</v>
      </c>
      <c r="AS404" t="s">
        <v>137</v>
      </c>
      <c r="AT404" t="s">
        <v>71</v>
      </c>
      <c r="AU404">
        <v>891</v>
      </c>
      <c r="AV404" t="s">
        <v>76</v>
      </c>
    </row>
    <row r="405" spans="1:48" x14ac:dyDescent="0.25">
      <c r="A405" t="s">
        <v>692</v>
      </c>
      <c r="B405" t="s">
        <v>308</v>
      </c>
      <c r="C405" t="s">
        <v>182</v>
      </c>
      <c r="D405" t="s">
        <v>51</v>
      </c>
      <c r="E405">
        <v>27</v>
      </c>
      <c r="F405" t="s">
        <v>316</v>
      </c>
      <c r="G405" t="s">
        <v>169</v>
      </c>
      <c r="H405" t="s">
        <v>170</v>
      </c>
      <c r="I405" t="s">
        <v>217</v>
      </c>
      <c r="J405" t="s">
        <v>218</v>
      </c>
      <c r="K405" t="s">
        <v>146</v>
      </c>
      <c r="L405" t="s">
        <v>174</v>
      </c>
      <c r="M405" t="s">
        <v>161</v>
      </c>
      <c r="N405" t="s">
        <v>265</v>
      </c>
      <c r="O405" t="s">
        <v>89</v>
      </c>
      <c r="P405" s="1">
        <v>42106</v>
      </c>
      <c r="Q405">
        <v>9.1</v>
      </c>
      <c r="R405" t="s">
        <v>208</v>
      </c>
      <c r="S405" t="s">
        <v>219</v>
      </c>
      <c r="T405" t="s">
        <v>220</v>
      </c>
      <c r="U405">
        <v>0</v>
      </c>
      <c r="V405">
        <v>0</v>
      </c>
      <c r="W405">
        <v>3294</v>
      </c>
      <c r="X405">
        <v>0</v>
      </c>
      <c r="Y405">
        <v>422</v>
      </c>
      <c r="Z405">
        <v>3716</v>
      </c>
      <c r="AA405">
        <v>517</v>
      </c>
      <c r="AB405" t="s">
        <v>65</v>
      </c>
      <c r="AC405">
        <v>18.899999999999999</v>
      </c>
      <c r="AD405">
        <v>41</v>
      </c>
      <c r="AE405">
        <v>48</v>
      </c>
      <c r="AF405" t="s">
        <v>112</v>
      </c>
      <c r="AG405">
        <v>30</v>
      </c>
      <c r="AH405" t="s">
        <v>67</v>
      </c>
      <c r="AI405" t="s">
        <v>114</v>
      </c>
      <c r="AJ405" t="s">
        <v>72</v>
      </c>
      <c r="AK405" t="s">
        <v>70</v>
      </c>
      <c r="AL405" t="s">
        <v>71</v>
      </c>
      <c r="AM405" t="s">
        <v>70</v>
      </c>
      <c r="AN405" t="s">
        <v>133</v>
      </c>
      <c r="AO405" t="s">
        <v>72</v>
      </c>
      <c r="AP405" t="s">
        <v>72</v>
      </c>
      <c r="AQ405" t="s">
        <v>117</v>
      </c>
      <c r="AR405" s="1">
        <v>43197</v>
      </c>
      <c r="AS405" t="s">
        <v>75</v>
      </c>
      <c r="AT405" t="s">
        <v>71</v>
      </c>
      <c r="AU405">
        <v>756</v>
      </c>
      <c r="AV405" t="s">
        <v>76</v>
      </c>
    </row>
    <row r="406" spans="1:48" x14ac:dyDescent="0.25">
      <c r="A406" t="s">
        <v>693</v>
      </c>
      <c r="B406" t="s">
        <v>308</v>
      </c>
      <c r="C406" t="s">
        <v>252</v>
      </c>
      <c r="D406" t="s">
        <v>51</v>
      </c>
      <c r="E406">
        <v>29</v>
      </c>
      <c r="F406" t="s">
        <v>192</v>
      </c>
      <c r="G406" t="s">
        <v>279</v>
      </c>
      <c r="H406" t="s">
        <v>280</v>
      </c>
      <c r="I406" t="s">
        <v>158</v>
      </c>
      <c r="J406" t="s">
        <v>159</v>
      </c>
      <c r="K406" t="s">
        <v>160</v>
      </c>
      <c r="L406" t="s">
        <v>86</v>
      </c>
      <c r="M406" t="s">
        <v>275</v>
      </c>
      <c r="N406" t="s">
        <v>265</v>
      </c>
      <c r="O406" t="s">
        <v>149</v>
      </c>
      <c r="P406" s="1">
        <v>39553</v>
      </c>
      <c r="Q406">
        <v>16.100000000000001</v>
      </c>
      <c r="R406" t="s">
        <v>129</v>
      </c>
      <c r="S406" t="s">
        <v>63</v>
      </c>
      <c r="T406" t="s">
        <v>64</v>
      </c>
      <c r="U406">
        <v>0</v>
      </c>
      <c r="V406">
        <v>0</v>
      </c>
      <c r="W406">
        <v>6618</v>
      </c>
      <c r="X406">
        <v>1398</v>
      </c>
      <c r="Y406">
        <v>266</v>
      </c>
      <c r="Z406">
        <v>8282</v>
      </c>
      <c r="AA406">
        <v>398</v>
      </c>
      <c r="AB406" t="s">
        <v>65</v>
      </c>
      <c r="AC406">
        <v>14.7</v>
      </c>
      <c r="AD406">
        <v>34</v>
      </c>
      <c r="AE406">
        <v>31</v>
      </c>
      <c r="AF406" t="s">
        <v>112</v>
      </c>
      <c r="AG406">
        <v>20</v>
      </c>
      <c r="AH406" t="s">
        <v>113</v>
      </c>
      <c r="AI406" t="s">
        <v>152</v>
      </c>
      <c r="AJ406" t="s">
        <v>69</v>
      </c>
      <c r="AK406" t="s">
        <v>70</v>
      </c>
      <c r="AL406" t="s">
        <v>70</v>
      </c>
      <c r="AM406" t="s">
        <v>70</v>
      </c>
      <c r="AN406" t="s">
        <v>231</v>
      </c>
      <c r="AO406" t="s">
        <v>116</v>
      </c>
      <c r="AP406" t="s">
        <v>72</v>
      </c>
      <c r="AQ406" t="s">
        <v>117</v>
      </c>
      <c r="AR406" s="1">
        <v>43423</v>
      </c>
      <c r="AS406" t="s">
        <v>75</v>
      </c>
      <c r="AT406" t="s">
        <v>71</v>
      </c>
      <c r="AU406">
        <v>192</v>
      </c>
      <c r="AV406" t="s">
        <v>76</v>
      </c>
    </row>
    <row r="407" spans="1:48" x14ac:dyDescent="0.25">
      <c r="A407" t="s">
        <v>694</v>
      </c>
      <c r="B407" t="s">
        <v>308</v>
      </c>
      <c r="C407" t="s">
        <v>334</v>
      </c>
      <c r="D407" t="s">
        <v>122</v>
      </c>
      <c r="E407">
        <v>30</v>
      </c>
      <c r="F407" t="s">
        <v>311</v>
      </c>
      <c r="G407" t="s">
        <v>156</v>
      </c>
      <c r="H407" t="s">
        <v>157</v>
      </c>
      <c r="I407" t="s">
        <v>268</v>
      </c>
      <c r="J407" t="s">
        <v>269</v>
      </c>
      <c r="K407" t="s">
        <v>173</v>
      </c>
      <c r="L407" t="s">
        <v>106</v>
      </c>
      <c r="M407" t="s">
        <v>127</v>
      </c>
      <c r="N407" t="s">
        <v>88</v>
      </c>
      <c r="O407" t="s">
        <v>149</v>
      </c>
      <c r="P407" s="1">
        <v>40886</v>
      </c>
      <c r="Q407">
        <v>12.5</v>
      </c>
      <c r="R407" t="s">
        <v>90</v>
      </c>
      <c r="S407" t="s">
        <v>130</v>
      </c>
      <c r="T407" t="s">
        <v>131</v>
      </c>
      <c r="U407">
        <v>7</v>
      </c>
      <c r="V407">
        <v>1</v>
      </c>
      <c r="W407">
        <v>4836</v>
      </c>
      <c r="X407">
        <v>1107</v>
      </c>
      <c r="Y407">
        <v>266</v>
      </c>
      <c r="Z407">
        <v>6209</v>
      </c>
      <c r="AA407">
        <v>351</v>
      </c>
      <c r="AB407" t="s">
        <v>151</v>
      </c>
      <c r="AC407">
        <v>17.7</v>
      </c>
      <c r="AD407">
        <v>66</v>
      </c>
      <c r="AE407">
        <v>80</v>
      </c>
      <c r="AF407" t="s">
        <v>93</v>
      </c>
      <c r="AG407">
        <v>27</v>
      </c>
      <c r="AH407" t="s">
        <v>113</v>
      </c>
      <c r="AI407" t="s">
        <v>68</v>
      </c>
      <c r="AJ407" t="s">
        <v>188</v>
      </c>
      <c r="AK407" t="s">
        <v>70</v>
      </c>
      <c r="AL407" t="s">
        <v>70</v>
      </c>
      <c r="AM407" t="s">
        <v>71</v>
      </c>
      <c r="AN407" t="s">
        <v>72</v>
      </c>
      <c r="AO407" t="s">
        <v>287</v>
      </c>
      <c r="AP407" t="s">
        <v>72</v>
      </c>
      <c r="AQ407" t="s">
        <v>136</v>
      </c>
      <c r="AR407" s="1">
        <v>44924</v>
      </c>
      <c r="AS407" t="s">
        <v>137</v>
      </c>
      <c r="AT407" t="s">
        <v>71</v>
      </c>
      <c r="AU407">
        <v>1702</v>
      </c>
      <c r="AV407" t="s">
        <v>76</v>
      </c>
    </row>
    <row r="408" spans="1:48" x14ac:dyDescent="0.25">
      <c r="A408" t="s">
        <v>695</v>
      </c>
      <c r="B408" t="s">
        <v>229</v>
      </c>
      <c r="C408" t="s">
        <v>191</v>
      </c>
      <c r="D408" t="s">
        <v>51</v>
      </c>
      <c r="E408">
        <v>25</v>
      </c>
      <c r="F408" t="s">
        <v>241</v>
      </c>
      <c r="G408" t="s">
        <v>53</v>
      </c>
      <c r="H408" t="s">
        <v>54</v>
      </c>
      <c r="I408" t="s">
        <v>55</v>
      </c>
      <c r="J408" t="s">
        <v>56</v>
      </c>
      <c r="K408" t="s">
        <v>57</v>
      </c>
      <c r="L408" t="s">
        <v>86</v>
      </c>
      <c r="M408" t="s">
        <v>59</v>
      </c>
      <c r="N408" t="s">
        <v>108</v>
      </c>
      <c r="O408" t="s">
        <v>149</v>
      </c>
      <c r="P408" s="1">
        <v>40223</v>
      </c>
      <c r="Q408">
        <v>14.3</v>
      </c>
      <c r="R408" t="s">
        <v>62</v>
      </c>
      <c r="S408" t="s">
        <v>219</v>
      </c>
      <c r="T408" t="s">
        <v>220</v>
      </c>
      <c r="U408">
        <v>0</v>
      </c>
      <c r="V408">
        <v>0</v>
      </c>
      <c r="W408">
        <v>4739</v>
      </c>
      <c r="X408">
        <v>0</v>
      </c>
      <c r="Y408">
        <v>422</v>
      </c>
      <c r="Z408">
        <v>5161</v>
      </c>
      <c r="AA408">
        <v>572</v>
      </c>
      <c r="AB408" t="s">
        <v>65</v>
      </c>
      <c r="AC408">
        <v>12.8</v>
      </c>
      <c r="AD408">
        <v>58</v>
      </c>
      <c r="AE408">
        <v>47</v>
      </c>
      <c r="AF408" t="s">
        <v>112</v>
      </c>
      <c r="AG408">
        <v>18</v>
      </c>
      <c r="AH408" t="s">
        <v>113</v>
      </c>
      <c r="AI408" t="s">
        <v>152</v>
      </c>
      <c r="AJ408" t="s">
        <v>96</v>
      </c>
      <c r="AK408" t="s">
        <v>71</v>
      </c>
      <c r="AL408" t="s">
        <v>71</v>
      </c>
      <c r="AM408" t="s">
        <v>70</v>
      </c>
      <c r="AN408" t="s">
        <v>115</v>
      </c>
      <c r="AO408" t="s">
        <v>72</v>
      </c>
      <c r="AP408" t="s">
        <v>72</v>
      </c>
      <c r="AQ408" t="s">
        <v>136</v>
      </c>
      <c r="AR408" s="1">
        <v>40597</v>
      </c>
      <c r="AS408" t="s">
        <v>198</v>
      </c>
      <c r="AT408" t="s">
        <v>71</v>
      </c>
      <c r="AU408">
        <v>806</v>
      </c>
      <c r="AV408" t="s">
        <v>76</v>
      </c>
    </row>
    <row r="409" spans="1:48" x14ac:dyDescent="0.25">
      <c r="A409" t="s">
        <v>696</v>
      </c>
      <c r="B409" t="s">
        <v>308</v>
      </c>
      <c r="C409" t="s">
        <v>155</v>
      </c>
      <c r="D409" t="s">
        <v>51</v>
      </c>
      <c r="E409">
        <v>33</v>
      </c>
      <c r="F409" t="s">
        <v>123</v>
      </c>
      <c r="G409" t="s">
        <v>81</v>
      </c>
      <c r="H409" t="s">
        <v>82</v>
      </c>
      <c r="I409" t="s">
        <v>185</v>
      </c>
      <c r="J409" t="s">
        <v>186</v>
      </c>
      <c r="K409" t="s">
        <v>187</v>
      </c>
      <c r="L409" t="s">
        <v>174</v>
      </c>
      <c r="M409" t="s">
        <v>249</v>
      </c>
      <c r="N409" t="s">
        <v>108</v>
      </c>
      <c r="O409" t="s">
        <v>89</v>
      </c>
      <c r="P409" s="1">
        <v>42796</v>
      </c>
      <c r="Q409">
        <v>7.2</v>
      </c>
      <c r="R409" t="s">
        <v>150</v>
      </c>
      <c r="S409" t="s">
        <v>63</v>
      </c>
      <c r="T409" t="s">
        <v>64</v>
      </c>
      <c r="U409">
        <v>0</v>
      </c>
      <c r="V409">
        <v>0</v>
      </c>
      <c r="W409">
        <v>2504</v>
      </c>
      <c r="X409">
        <v>1240</v>
      </c>
      <c r="Y409">
        <v>422</v>
      </c>
      <c r="Z409">
        <v>4166</v>
      </c>
      <c r="AA409">
        <v>510</v>
      </c>
      <c r="AB409" t="s">
        <v>65</v>
      </c>
      <c r="AC409">
        <v>15</v>
      </c>
      <c r="AD409">
        <v>20</v>
      </c>
      <c r="AE409">
        <v>67</v>
      </c>
      <c r="AF409" t="s">
        <v>66</v>
      </c>
      <c r="AG409">
        <v>39</v>
      </c>
      <c r="AH409" t="s">
        <v>94</v>
      </c>
      <c r="AI409" t="s">
        <v>68</v>
      </c>
      <c r="AJ409" t="s">
        <v>96</v>
      </c>
      <c r="AK409" t="s">
        <v>70</v>
      </c>
      <c r="AL409" t="s">
        <v>70</v>
      </c>
      <c r="AM409" t="s">
        <v>70</v>
      </c>
      <c r="AN409" t="s">
        <v>133</v>
      </c>
      <c r="AO409" t="s">
        <v>287</v>
      </c>
      <c r="AP409" t="s">
        <v>73</v>
      </c>
      <c r="AQ409" t="s">
        <v>74</v>
      </c>
      <c r="AR409" s="1">
        <v>43963</v>
      </c>
      <c r="AS409" t="s">
        <v>198</v>
      </c>
      <c r="AT409" t="s">
        <v>71</v>
      </c>
      <c r="AU409">
        <v>582</v>
      </c>
      <c r="AV409" t="s">
        <v>76</v>
      </c>
    </row>
    <row r="410" spans="1:48" x14ac:dyDescent="0.25">
      <c r="A410" t="s">
        <v>697</v>
      </c>
      <c r="B410" t="s">
        <v>49</v>
      </c>
      <c r="C410" t="s">
        <v>360</v>
      </c>
      <c r="D410" t="s">
        <v>51</v>
      </c>
      <c r="E410">
        <v>34</v>
      </c>
      <c r="F410" t="s">
        <v>224</v>
      </c>
      <c r="G410" t="s">
        <v>142</v>
      </c>
      <c r="H410" t="s">
        <v>143</v>
      </c>
      <c r="I410" t="s">
        <v>158</v>
      </c>
      <c r="J410" t="s">
        <v>159</v>
      </c>
      <c r="K410" t="s">
        <v>160</v>
      </c>
      <c r="L410" t="s">
        <v>126</v>
      </c>
      <c r="M410" t="s">
        <v>127</v>
      </c>
      <c r="N410" t="s">
        <v>128</v>
      </c>
      <c r="O410" t="s">
        <v>149</v>
      </c>
      <c r="P410" s="1">
        <v>42347</v>
      </c>
      <c r="Q410">
        <v>8.5</v>
      </c>
      <c r="R410" t="s">
        <v>62</v>
      </c>
      <c r="S410" t="s">
        <v>163</v>
      </c>
      <c r="T410" t="s">
        <v>164</v>
      </c>
      <c r="U410">
        <v>10</v>
      </c>
      <c r="V410">
        <v>1</v>
      </c>
      <c r="W410">
        <v>5473</v>
      </c>
      <c r="X410">
        <v>1843</v>
      </c>
      <c r="Y410">
        <v>422</v>
      </c>
      <c r="Z410">
        <v>7738</v>
      </c>
      <c r="AA410">
        <v>511</v>
      </c>
      <c r="AB410" t="s">
        <v>65</v>
      </c>
      <c r="AC410">
        <v>16.7</v>
      </c>
      <c r="AD410">
        <v>31</v>
      </c>
      <c r="AE410">
        <v>34</v>
      </c>
      <c r="AF410" t="s">
        <v>112</v>
      </c>
      <c r="AG410">
        <v>19</v>
      </c>
      <c r="AH410" t="s">
        <v>113</v>
      </c>
      <c r="AI410" t="s">
        <v>68</v>
      </c>
      <c r="AJ410" t="s">
        <v>72</v>
      </c>
      <c r="AK410" t="s">
        <v>70</v>
      </c>
      <c r="AL410" t="s">
        <v>71</v>
      </c>
      <c r="AM410" t="s">
        <v>70</v>
      </c>
      <c r="AN410" t="s">
        <v>72</v>
      </c>
      <c r="AO410" t="s">
        <v>287</v>
      </c>
      <c r="AP410" t="s">
        <v>72</v>
      </c>
      <c r="AQ410" t="s">
        <v>98</v>
      </c>
      <c r="AR410" s="1">
        <v>43234</v>
      </c>
      <c r="AS410" t="s">
        <v>198</v>
      </c>
      <c r="AT410" t="s">
        <v>71</v>
      </c>
      <c r="AU410">
        <v>361</v>
      </c>
      <c r="AV410" t="s">
        <v>76</v>
      </c>
    </row>
    <row r="411" spans="1:48" x14ac:dyDescent="0.25">
      <c r="A411" t="s">
        <v>698</v>
      </c>
      <c r="B411" t="s">
        <v>181</v>
      </c>
      <c r="C411" t="s">
        <v>360</v>
      </c>
      <c r="D411" t="s">
        <v>51</v>
      </c>
      <c r="E411">
        <v>28</v>
      </c>
      <c r="F411" t="s">
        <v>248</v>
      </c>
      <c r="G411" t="s">
        <v>169</v>
      </c>
      <c r="H411" t="s">
        <v>170</v>
      </c>
      <c r="I411" t="s">
        <v>292</v>
      </c>
      <c r="J411" t="s">
        <v>293</v>
      </c>
      <c r="K411" t="s">
        <v>294</v>
      </c>
      <c r="L411" t="s">
        <v>126</v>
      </c>
      <c r="M411" t="s">
        <v>275</v>
      </c>
      <c r="N411" t="s">
        <v>128</v>
      </c>
      <c r="O411" t="s">
        <v>149</v>
      </c>
      <c r="P411" s="1">
        <v>43351</v>
      </c>
      <c r="Q411">
        <v>5.7</v>
      </c>
      <c r="R411" t="s">
        <v>75</v>
      </c>
      <c r="S411" t="s">
        <v>219</v>
      </c>
      <c r="T411" t="s">
        <v>220</v>
      </c>
      <c r="U411">
        <v>0</v>
      </c>
      <c r="V411">
        <v>0</v>
      </c>
      <c r="W411">
        <v>3294</v>
      </c>
      <c r="X411">
        <v>1121</v>
      </c>
      <c r="Y411">
        <v>422</v>
      </c>
      <c r="Z411">
        <v>4837</v>
      </c>
      <c r="AA411">
        <v>594</v>
      </c>
      <c r="AB411" t="s">
        <v>65</v>
      </c>
      <c r="AC411">
        <v>20.6</v>
      </c>
      <c r="AD411">
        <v>82</v>
      </c>
      <c r="AE411">
        <v>60</v>
      </c>
      <c r="AF411" t="s">
        <v>132</v>
      </c>
      <c r="AG411">
        <v>40</v>
      </c>
      <c r="AH411" t="s">
        <v>94</v>
      </c>
      <c r="AI411" t="s">
        <v>68</v>
      </c>
      <c r="AJ411" t="s">
        <v>96</v>
      </c>
      <c r="AK411" t="s">
        <v>70</v>
      </c>
      <c r="AL411" t="s">
        <v>71</v>
      </c>
      <c r="AM411" t="s">
        <v>70</v>
      </c>
      <c r="AN411" t="s">
        <v>72</v>
      </c>
      <c r="AO411" t="s">
        <v>72</v>
      </c>
      <c r="AP411" t="s">
        <v>72</v>
      </c>
      <c r="AQ411" t="s">
        <v>117</v>
      </c>
      <c r="AR411" s="1">
        <v>45408</v>
      </c>
      <c r="AS411" t="s">
        <v>198</v>
      </c>
      <c r="AT411" t="s">
        <v>71</v>
      </c>
      <c r="AU411">
        <v>1111</v>
      </c>
      <c r="AV411" t="s">
        <v>76</v>
      </c>
    </row>
    <row r="412" spans="1:48" x14ac:dyDescent="0.25">
      <c r="A412" t="s">
        <v>699</v>
      </c>
      <c r="B412" t="s">
        <v>78</v>
      </c>
      <c r="C412" t="s">
        <v>501</v>
      </c>
      <c r="D412" t="s">
        <v>122</v>
      </c>
      <c r="E412">
        <v>32</v>
      </c>
      <c r="F412" t="s">
        <v>80</v>
      </c>
      <c r="G412" t="s">
        <v>298</v>
      </c>
      <c r="H412" t="s">
        <v>299</v>
      </c>
      <c r="I412" t="s">
        <v>253</v>
      </c>
      <c r="J412" t="s">
        <v>254</v>
      </c>
      <c r="K412" t="s">
        <v>255</v>
      </c>
      <c r="L412" t="s">
        <v>86</v>
      </c>
      <c r="M412" t="s">
        <v>175</v>
      </c>
      <c r="N412" t="s">
        <v>128</v>
      </c>
      <c r="O412" t="s">
        <v>149</v>
      </c>
      <c r="P412" s="1">
        <v>42095</v>
      </c>
      <c r="Q412">
        <v>9.1999999999999993</v>
      </c>
      <c r="R412" t="s">
        <v>195</v>
      </c>
      <c r="S412" t="s">
        <v>196</v>
      </c>
      <c r="T412" t="s">
        <v>197</v>
      </c>
      <c r="U412">
        <v>0</v>
      </c>
      <c r="V412">
        <v>0</v>
      </c>
      <c r="W412">
        <v>2149</v>
      </c>
      <c r="X412">
        <v>0</v>
      </c>
      <c r="Y412">
        <v>422</v>
      </c>
      <c r="Z412">
        <v>2571</v>
      </c>
      <c r="AA412">
        <v>421</v>
      </c>
      <c r="AB412" t="s">
        <v>65</v>
      </c>
      <c r="AC412">
        <v>19.5</v>
      </c>
      <c r="AD412">
        <v>32</v>
      </c>
      <c r="AE412">
        <v>43</v>
      </c>
      <c r="AF412" t="s">
        <v>112</v>
      </c>
      <c r="AG412">
        <v>27</v>
      </c>
      <c r="AH412" t="s">
        <v>113</v>
      </c>
      <c r="AI412" t="s">
        <v>177</v>
      </c>
      <c r="AJ412" t="s">
        <v>188</v>
      </c>
      <c r="AK412" t="s">
        <v>70</v>
      </c>
      <c r="AL412" t="s">
        <v>70</v>
      </c>
      <c r="AM412" t="s">
        <v>70</v>
      </c>
      <c r="AN412" t="s">
        <v>72</v>
      </c>
      <c r="AO412" t="s">
        <v>135</v>
      </c>
      <c r="AP412" t="s">
        <v>72</v>
      </c>
      <c r="AQ412" t="s">
        <v>74</v>
      </c>
      <c r="AR412" s="1">
        <v>43338</v>
      </c>
      <c r="AS412" t="s">
        <v>137</v>
      </c>
      <c r="AT412" t="s">
        <v>71</v>
      </c>
      <c r="AU412">
        <v>1464</v>
      </c>
      <c r="AV412" t="s">
        <v>76</v>
      </c>
    </row>
    <row r="413" spans="1:48" x14ac:dyDescent="0.25">
      <c r="A413" t="s">
        <v>700</v>
      </c>
      <c r="B413" t="s">
        <v>210</v>
      </c>
      <c r="C413" t="s">
        <v>501</v>
      </c>
      <c r="D413" t="s">
        <v>122</v>
      </c>
      <c r="E413">
        <v>44</v>
      </c>
      <c r="F413" t="s">
        <v>192</v>
      </c>
      <c r="G413" t="s">
        <v>156</v>
      </c>
      <c r="H413" t="s">
        <v>157</v>
      </c>
      <c r="I413" t="s">
        <v>260</v>
      </c>
      <c r="J413" t="s">
        <v>261</v>
      </c>
      <c r="K413" t="s">
        <v>173</v>
      </c>
      <c r="L413" t="s">
        <v>106</v>
      </c>
      <c r="M413" t="s">
        <v>249</v>
      </c>
      <c r="N413" t="s">
        <v>108</v>
      </c>
      <c r="O413" t="s">
        <v>176</v>
      </c>
      <c r="P413" s="1">
        <v>43323</v>
      </c>
      <c r="Q413">
        <v>5.8</v>
      </c>
      <c r="R413" t="s">
        <v>129</v>
      </c>
      <c r="S413" t="s">
        <v>63</v>
      </c>
      <c r="T413" t="s">
        <v>64</v>
      </c>
      <c r="U413">
        <v>0</v>
      </c>
      <c r="V413">
        <v>0</v>
      </c>
      <c r="W413">
        <v>4836</v>
      </c>
      <c r="X413">
        <v>0</v>
      </c>
      <c r="Y413">
        <v>266</v>
      </c>
      <c r="Z413">
        <v>5102</v>
      </c>
      <c r="AA413">
        <v>431</v>
      </c>
      <c r="AB413" t="s">
        <v>65</v>
      </c>
      <c r="AC413">
        <v>13.4</v>
      </c>
      <c r="AD413">
        <v>60</v>
      </c>
      <c r="AE413">
        <v>51</v>
      </c>
      <c r="AF413" t="s">
        <v>112</v>
      </c>
      <c r="AG413">
        <v>30</v>
      </c>
      <c r="AH413" t="s">
        <v>67</v>
      </c>
      <c r="AI413" t="s">
        <v>114</v>
      </c>
      <c r="AJ413" t="s">
        <v>72</v>
      </c>
      <c r="AK413" t="s">
        <v>70</v>
      </c>
      <c r="AL413" t="s">
        <v>70</v>
      </c>
      <c r="AM413" t="s">
        <v>70</v>
      </c>
      <c r="AN413" t="s">
        <v>115</v>
      </c>
      <c r="AO413" t="s">
        <v>134</v>
      </c>
      <c r="AP413" t="s">
        <v>72</v>
      </c>
      <c r="AQ413" t="s">
        <v>98</v>
      </c>
      <c r="AR413" s="1">
        <v>43461</v>
      </c>
      <c r="AS413" t="s">
        <v>75</v>
      </c>
      <c r="AT413" t="s">
        <v>71</v>
      </c>
      <c r="AU413">
        <v>1295</v>
      </c>
      <c r="AV413" t="s">
        <v>76</v>
      </c>
    </row>
    <row r="414" spans="1:48" x14ac:dyDescent="0.25">
      <c r="A414" t="s">
        <v>701</v>
      </c>
      <c r="B414" t="s">
        <v>251</v>
      </c>
      <c r="C414" t="s">
        <v>360</v>
      </c>
      <c r="D414" t="s">
        <v>51</v>
      </c>
      <c r="E414">
        <v>26</v>
      </c>
      <c r="F414" t="s">
        <v>305</v>
      </c>
      <c r="G414" t="s">
        <v>242</v>
      </c>
      <c r="H414" t="s">
        <v>54</v>
      </c>
      <c r="I414" t="s">
        <v>103</v>
      </c>
      <c r="J414" t="s">
        <v>104</v>
      </c>
      <c r="K414" t="s">
        <v>105</v>
      </c>
      <c r="L414" t="s">
        <v>201</v>
      </c>
      <c r="M414" t="s">
        <v>207</v>
      </c>
      <c r="N414" t="s">
        <v>265</v>
      </c>
      <c r="O414" t="s">
        <v>89</v>
      </c>
      <c r="P414" s="1">
        <v>39503</v>
      </c>
      <c r="Q414">
        <v>16.3</v>
      </c>
      <c r="R414" t="s">
        <v>195</v>
      </c>
      <c r="S414" t="s">
        <v>196</v>
      </c>
      <c r="T414" t="s">
        <v>197</v>
      </c>
      <c r="U414">
        <v>0</v>
      </c>
      <c r="V414">
        <v>0</v>
      </c>
      <c r="W414">
        <v>4739</v>
      </c>
      <c r="X414">
        <v>939</v>
      </c>
      <c r="Y414">
        <v>422</v>
      </c>
      <c r="Z414">
        <v>6100</v>
      </c>
      <c r="AA414">
        <v>518</v>
      </c>
      <c r="AB414" t="s">
        <v>65</v>
      </c>
      <c r="AC414">
        <v>20.6</v>
      </c>
      <c r="AD414">
        <v>43</v>
      </c>
      <c r="AE414">
        <v>79</v>
      </c>
      <c r="AF414" t="s">
        <v>93</v>
      </c>
      <c r="AG414">
        <v>21</v>
      </c>
      <c r="AH414" t="s">
        <v>113</v>
      </c>
      <c r="AI414" t="s">
        <v>177</v>
      </c>
      <c r="AJ414" t="s">
        <v>96</v>
      </c>
      <c r="AK414" t="s">
        <v>70</v>
      </c>
      <c r="AL414" t="s">
        <v>70</v>
      </c>
      <c r="AM414" t="s">
        <v>70</v>
      </c>
      <c r="AN414" t="s">
        <v>72</v>
      </c>
      <c r="AO414" t="s">
        <v>221</v>
      </c>
      <c r="AP414" t="s">
        <v>72</v>
      </c>
      <c r="AQ414" t="s">
        <v>74</v>
      </c>
      <c r="AR414" s="1">
        <v>42813</v>
      </c>
      <c r="AS414" t="s">
        <v>118</v>
      </c>
      <c r="AT414" t="s">
        <v>71</v>
      </c>
      <c r="AU414">
        <v>1250</v>
      </c>
      <c r="AV414" t="s">
        <v>76</v>
      </c>
    </row>
    <row r="415" spans="1:48" x14ac:dyDescent="0.25">
      <c r="A415" t="s">
        <v>702</v>
      </c>
      <c r="B415" t="s">
        <v>308</v>
      </c>
      <c r="C415" t="s">
        <v>394</v>
      </c>
      <c r="D415" t="s">
        <v>122</v>
      </c>
      <c r="E415">
        <v>35</v>
      </c>
      <c r="F415" t="s">
        <v>123</v>
      </c>
      <c r="G415" t="s">
        <v>298</v>
      </c>
      <c r="H415" t="s">
        <v>299</v>
      </c>
      <c r="I415" t="s">
        <v>144</v>
      </c>
      <c r="J415" t="s">
        <v>145</v>
      </c>
      <c r="K415" t="s">
        <v>146</v>
      </c>
      <c r="L415" t="s">
        <v>201</v>
      </c>
      <c r="M415" t="s">
        <v>296</v>
      </c>
      <c r="N415" t="s">
        <v>148</v>
      </c>
      <c r="O415" t="s">
        <v>176</v>
      </c>
      <c r="P415" s="1">
        <v>38485</v>
      </c>
      <c r="Q415">
        <v>19.100000000000001</v>
      </c>
      <c r="R415" t="s">
        <v>129</v>
      </c>
      <c r="S415" t="s">
        <v>63</v>
      </c>
      <c r="T415" t="s">
        <v>64</v>
      </c>
      <c r="U415">
        <v>0</v>
      </c>
      <c r="V415">
        <v>0</v>
      </c>
      <c r="W415">
        <v>2149</v>
      </c>
      <c r="X415">
        <v>0</v>
      </c>
      <c r="Y415">
        <v>422</v>
      </c>
      <c r="Z415">
        <v>2571</v>
      </c>
      <c r="AA415">
        <v>565</v>
      </c>
      <c r="AB415" t="s">
        <v>65</v>
      </c>
      <c r="AC415">
        <v>20.7</v>
      </c>
      <c r="AD415">
        <v>75</v>
      </c>
      <c r="AE415">
        <v>50</v>
      </c>
      <c r="AF415" t="s">
        <v>132</v>
      </c>
      <c r="AG415">
        <v>25</v>
      </c>
      <c r="AH415" t="s">
        <v>113</v>
      </c>
      <c r="AI415" t="s">
        <v>152</v>
      </c>
      <c r="AJ415" t="s">
        <v>72</v>
      </c>
      <c r="AK415" t="s">
        <v>71</v>
      </c>
      <c r="AL415" t="s">
        <v>70</v>
      </c>
      <c r="AM415" t="s">
        <v>71</v>
      </c>
      <c r="AN415" t="s">
        <v>231</v>
      </c>
      <c r="AO415" t="s">
        <v>116</v>
      </c>
      <c r="AP415" t="s">
        <v>72</v>
      </c>
      <c r="AQ415" t="s">
        <v>136</v>
      </c>
      <c r="AR415" s="1">
        <v>43350</v>
      </c>
      <c r="AS415" t="s">
        <v>137</v>
      </c>
      <c r="AT415" t="s">
        <v>71</v>
      </c>
      <c r="AU415">
        <v>281</v>
      </c>
      <c r="AV415" t="s">
        <v>76</v>
      </c>
    </row>
    <row r="416" spans="1:48" x14ac:dyDescent="0.25">
      <c r="A416" t="s">
        <v>703</v>
      </c>
      <c r="B416" t="s">
        <v>49</v>
      </c>
      <c r="C416" t="s">
        <v>257</v>
      </c>
      <c r="D416" t="s">
        <v>51</v>
      </c>
      <c r="E416">
        <v>36</v>
      </c>
      <c r="F416" t="s">
        <v>382</v>
      </c>
      <c r="G416" t="s">
        <v>279</v>
      </c>
      <c r="H416" t="s">
        <v>280</v>
      </c>
      <c r="I416" t="s">
        <v>185</v>
      </c>
      <c r="J416" t="s">
        <v>186</v>
      </c>
      <c r="K416" t="s">
        <v>187</v>
      </c>
      <c r="L416" t="s">
        <v>106</v>
      </c>
      <c r="M416" t="s">
        <v>275</v>
      </c>
      <c r="N416" t="s">
        <v>265</v>
      </c>
      <c r="O416" t="s">
        <v>176</v>
      </c>
      <c r="P416" s="1">
        <v>38951</v>
      </c>
      <c r="Q416">
        <v>17.8</v>
      </c>
      <c r="R416" t="s">
        <v>195</v>
      </c>
      <c r="S416" t="s">
        <v>130</v>
      </c>
      <c r="T416" t="s">
        <v>131</v>
      </c>
      <c r="U416">
        <v>10</v>
      </c>
      <c r="V416">
        <v>1</v>
      </c>
      <c r="W416">
        <v>6618</v>
      </c>
      <c r="X416">
        <v>1729</v>
      </c>
      <c r="Y416">
        <v>266</v>
      </c>
      <c r="Z416">
        <v>8613</v>
      </c>
      <c r="AA416">
        <v>440</v>
      </c>
      <c r="AB416" t="s">
        <v>65</v>
      </c>
      <c r="AC416">
        <v>20.100000000000001</v>
      </c>
      <c r="AD416">
        <v>45</v>
      </c>
      <c r="AE416">
        <v>66</v>
      </c>
      <c r="AF416" t="s">
        <v>66</v>
      </c>
      <c r="AG416">
        <v>35</v>
      </c>
      <c r="AH416" t="s">
        <v>67</v>
      </c>
      <c r="AI416" t="s">
        <v>152</v>
      </c>
      <c r="AJ416" t="s">
        <v>69</v>
      </c>
      <c r="AK416" t="s">
        <v>70</v>
      </c>
      <c r="AL416" t="s">
        <v>70</v>
      </c>
      <c r="AM416" t="s">
        <v>70</v>
      </c>
      <c r="AN416" t="s">
        <v>202</v>
      </c>
      <c r="AO416" t="s">
        <v>227</v>
      </c>
      <c r="AP416" t="s">
        <v>72</v>
      </c>
      <c r="AQ416" t="s">
        <v>98</v>
      </c>
      <c r="AR416" s="1">
        <v>45025</v>
      </c>
      <c r="AS416" t="s">
        <v>198</v>
      </c>
      <c r="AT416" t="s">
        <v>71</v>
      </c>
      <c r="AU416">
        <v>952</v>
      </c>
      <c r="AV416" t="s">
        <v>76</v>
      </c>
    </row>
    <row r="417" spans="1:48" x14ac:dyDescent="0.25">
      <c r="A417" t="s">
        <v>704</v>
      </c>
      <c r="B417" t="s">
        <v>377</v>
      </c>
      <c r="C417" t="s">
        <v>155</v>
      </c>
      <c r="D417" t="s">
        <v>51</v>
      </c>
      <c r="E417">
        <v>42</v>
      </c>
      <c r="F417" t="s">
        <v>248</v>
      </c>
      <c r="G417" t="s">
        <v>169</v>
      </c>
      <c r="H417" t="s">
        <v>170</v>
      </c>
      <c r="I417" t="s">
        <v>217</v>
      </c>
      <c r="J417" t="s">
        <v>218</v>
      </c>
      <c r="K417" t="s">
        <v>146</v>
      </c>
      <c r="L417" t="s">
        <v>58</v>
      </c>
      <c r="M417" t="s">
        <v>127</v>
      </c>
      <c r="N417" t="s">
        <v>60</v>
      </c>
      <c r="O417" t="s">
        <v>61</v>
      </c>
      <c r="P417" s="1">
        <v>43283</v>
      </c>
      <c r="Q417">
        <v>5.9</v>
      </c>
      <c r="R417" t="s">
        <v>62</v>
      </c>
      <c r="S417" t="s">
        <v>196</v>
      </c>
      <c r="T417" t="s">
        <v>197</v>
      </c>
      <c r="U417">
        <v>0</v>
      </c>
      <c r="V417">
        <v>0</v>
      </c>
      <c r="W417">
        <v>3294</v>
      </c>
      <c r="X417">
        <v>0</v>
      </c>
      <c r="Y417">
        <v>422</v>
      </c>
      <c r="Z417">
        <v>3716</v>
      </c>
      <c r="AA417">
        <v>457</v>
      </c>
      <c r="AB417" t="s">
        <v>65</v>
      </c>
      <c r="AC417">
        <v>17.100000000000001</v>
      </c>
      <c r="AD417">
        <v>81</v>
      </c>
      <c r="AE417">
        <v>34</v>
      </c>
      <c r="AF417" t="s">
        <v>112</v>
      </c>
      <c r="AG417">
        <v>23</v>
      </c>
      <c r="AH417" t="s">
        <v>113</v>
      </c>
      <c r="AI417" t="s">
        <v>177</v>
      </c>
      <c r="AJ417" t="s">
        <v>69</v>
      </c>
      <c r="AK417" t="s">
        <v>70</v>
      </c>
      <c r="AL417" t="s">
        <v>71</v>
      </c>
      <c r="AM417" t="s">
        <v>70</v>
      </c>
      <c r="AN417" t="s">
        <v>231</v>
      </c>
      <c r="AO417" t="s">
        <v>72</v>
      </c>
      <c r="AP417" t="s">
        <v>72</v>
      </c>
      <c r="AQ417" t="s">
        <v>117</v>
      </c>
      <c r="AR417" s="1">
        <v>43605</v>
      </c>
      <c r="AS417" t="s">
        <v>118</v>
      </c>
      <c r="AT417" t="s">
        <v>71</v>
      </c>
      <c r="AU417">
        <v>1036</v>
      </c>
      <c r="AV417" t="s">
        <v>76</v>
      </c>
    </row>
    <row r="418" spans="1:48" x14ac:dyDescent="0.25">
      <c r="A418" t="s">
        <v>705</v>
      </c>
      <c r="B418" t="s">
        <v>263</v>
      </c>
      <c r="C418" t="s">
        <v>200</v>
      </c>
      <c r="D418" t="s">
        <v>51</v>
      </c>
      <c r="E418">
        <v>24</v>
      </c>
      <c r="F418" t="s">
        <v>325</v>
      </c>
      <c r="G418" t="s">
        <v>156</v>
      </c>
      <c r="H418" t="s">
        <v>157</v>
      </c>
      <c r="I418" t="s">
        <v>268</v>
      </c>
      <c r="J418" t="s">
        <v>269</v>
      </c>
      <c r="K418" t="s">
        <v>173</v>
      </c>
      <c r="L418" t="s">
        <v>126</v>
      </c>
      <c r="M418" t="s">
        <v>249</v>
      </c>
      <c r="N418" t="s">
        <v>162</v>
      </c>
      <c r="O418" t="s">
        <v>149</v>
      </c>
      <c r="P418" s="1">
        <v>40037</v>
      </c>
      <c r="Q418">
        <v>14.8</v>
      </c>
      <c r="R418" t="s">
        <v>129</v>
      </c>
      <c r="S418" t="s">
        <v>196</v>
      </c>
      <c r="T418" t="s">
        <v>197</v>
      </c>
      <c r="U418">
        <v>0</v>
      </c>
      <c r="V418">
        <v>0</v>
      </c>
      <c r="W418">
        <v>4836</v>
      </c>
      <c r="X418">
        <v>0</v>
      </c>
      <c r="Y418">
        <v>266</v>
      </c>
      <c r="Z418">
        <v>5102</v>
      </c>
      <c r="AA418">
        <v>586</v>
      </c>
      <c r="AB418" t="s">
        <v>65</v>
      </c>
      <c r="AC418">
        <v>13.3</v>
      </c>
      <c r="AD418">
        <v>31</v>
      </c>
      <c r="AE418">
        <v>62</v>
      </c>
      <c r="AF418" t="s">
        <v>66</v>
      </c>
      <c r="AG418">
        <v>21</v>
      </c>
      <c r="AH418" t="s">
        <v>113</v>
      </c>
      <c r="AI418" t="s">
        <v>152</v>
      </c>
      <c r="AJ418" t="s">
        <v>96</v>
      </c>
      <c r="AK418" t="s">
        <v>70</v>
      </c>
      <c r="AL418" t="s">
        <v>70</v>
      </c>
      <c r="AM418" t="s">
        <v>70</v>
      </c>
      <c r="AN418" t="s">
        <v>115</v>
      </c>
      <c r="AO418" t="s">
        <v>72</v>
      </c>
      <c r="AP418" t="s">
        <v>72</v>
      </c>
      <c r="AQ418" t="s">
        <v>74</v>
      </c>
      <c r="AR418" s="1">
        <v>40731</v>
      </c>
      <c r="AS418" t="s">
        <v>75</v>
      </c>
      <c r="AT418" t="s">
        <v>71</v>
      </c>
      <c r="AU418">
        <v>1371</v>
      </c>
      <c r="AV418" t="s">
        <v>76</v>
      </c>
    </row>
    <row r="419" spans="1:48" x14ac:dyDescent="0.25">
      <c r="A419" t="s">
        <v>706</v>
      </c>
      <c r="B419" t="s">
        <v>78</v>
      </c>
      <c r="C419" t="s">
        <v>50</v>
      </c>
      <c r="D419" t="s">
        <v>51</v>
      </c>
      <c r="E419">
        <v>22</v>
      </c>
      <c r="F419" t="s">
        <v>283</v>
      </c>
      <c r="G419" t="s">
        <v>183</v>
      </c>
      <c r="H419" t="s">
        <v>184</v>
      </c>
      <c r="I419" t="s">
        <v>253</v>
      </c>
      <c r="J419" t="s">
        <v>254</v>
      </c>
      <c r="K419" t="s">
        <v>255</v>
      </c>
      <c r="L419" t="s">
        <v>174</v>
      </c>
      <c r="M419" t="s">
        <v>161</v>
      </c>
      <c r="N419" t="s">
        <v>88</v>
      </c>
      <c r="O419" t="s">
        <v>176</v>
      </c>
      <c r="P419" s="1">
        <v>38887</v>
      </c>
      <c r="Q419">
        <v>18</v>
      </c>
      <c r="R419" t="s">
        <v>62</v>
      </c>
      <c r="S419" t="s">
        <v>91</v>
      </c>
      <c r="T419" t="s">
        <v>92</v>
      </c>
      <c r="U419">
        <v>9</v>
      </c>
      <c r="V419">
        <v>1</v>
      </c>
      <c r="W419">
        <v>5696</v>
      </c>
      <c r="X419">
        <v>0</v>
      </c>
      <c r="Y419">
        <v>266</v>
      </c>
      <c r="Z419">
        <v>5962</v>
      </c>
      <c r="AA419">
        <v>531</v>
      </c>
      <c r="AB419" t="s">
        <v>65</v>
      </c>
      <c r="AC419">
        <v>18</v>
      </c>
      <c r="AD419">
        <v>71</v>
      </c>
      <c r="AE419">
        <v>54</v>
      </c>
      <c r="AF419" t="s">
        <v>66</v>
      </c>
      <c r="AG419">
        <v>24</v>
      </c>
      <c r="AH419" t="s">
        <v>113</v>
      </c>
      <c r="AI419" t="s">
        <v>114</v>
      </c>
      <c r="AJ419" t="s">
        <v>188</v>
      </c>
      <c r="AK419" t="s">
        <v>70</v>
      </c>
      <c r="AL419" t="s">
        <v>70</v>
      </c>
      <c r="AM419" t="s">
        <v>71</v>
      </c>
      <c r="AN419" t="s">
        <v>270</v>
      </c>
      <c r="AO419" t="s">
        <v>72</v>
      </c>
      <c r="AP419" t="s">
        <v>221</v>
      </c>
      <c r="AQ419" t="s">
        <v>136</v>
      </c>
      <c r="AR419" s="1">
        <v>39219</v>
      </c>
      <c r="AS419" t="s">
        <v>118</v>
      </c>
      <c r="AT419" t="s">
        <v>71</v>
      </c>
      <c r="AU419">
        <v>359</v>
      </c>
      <c r="AV419" t="s">
        <v>76</v>
      </c>
    </row>
    <row r="420" spans="1:48" x14ac:dyDescent="0.25">
      <c r="A420" t="s">
        <v>707</v>
      </c>
      <c r="B420" t="s">
        <v>100</v>
      </c>
      <c r="C420" t="s">
        <v>332</v>
      </c>
      <c r="D420" t="s">
        <v>51</v>
      </c>
      <c r="E420">
        <v>18</v>
      </c>
      <c r="F420" t="s">
        <v>141</v>
      </c>
      <c r="G420" t="s">
        <v>183</v>
      </c>
      <c r="H420" t="s">
        <v>184</v>
      </c>
      <c r="I420" t="s">
        <v>144</v>
      </c>
      <c r="J420" t="s">
        <v>145</v>
      </c>
      <c r="K420" t="s">
        <v>146</v>
      </c>
      <c r="L420" t="s">
        <v>58</v>
      </c>
      <c r="M420" t="s">
        <v>212</v>
      </c>
      <c r="N420" t="s">
        <v>108</v>
      </c>
      <c r="O420" t="s">
        <v>149</v>
      </c>
      <c r="P420" s="1">
        <v>42601</v>
      </c>
      <c r="Q420">
        <v>7.8</v>
      </c>
      <c r="R420" t="s">
        <v>208</v>
      </c>
      <c r="S420" t="s">
        <v>130</v>
      </c>
      <c r="T420" t="s">
        <v>131</v>
      </c>
      <c r="U420">
        <v>5</v>
      </c>
      <c r="V420">
        <v>0</v>
      </c>
      <c r="W420">
        <v>5696</v>
      </c>
      <c r="X420">
        <v>0</v>
      </c>
      <c r="Y420">
        <v>266</v>
      </c>
      <c r="Z420">
        <v>5962</v>
      </c>
      <c r="AA420">
        <v>394</v>
      </c>
      <c r="AB420" t="s">
        <v>65</v>
      </c>
      <c r="AC420">
        <v>19.2</v>
      </c>
      <c r="AD420">
        <v>21</v>
      </c>
      <c r="AE420">
        <v>61</v>
      </c>
      <c r="AF420" t="s">
        <v>112</v>
      </c>
      <c r="AG420">
        <v>28</v>
      </c>
      <c r="AH420" t="s">
        <v>113</v>
      </c>
      <c r="AI420" t="s">
        <v>177</v>
      </c>
      <c r="AJ420" t="s">
        <v>96</v>
      </c>
      <c r="AK420" t="s">
        <v>71</v>
      </c>
      <c r="AL420" t="s">
        <v>71</v>
      </c>
      <c r="AM420" t="s">
        <v>70</v>
      </c>
      <c r="AN420" t="s">
        <v>270</v>
      </c>
      <c r="AO420" t="s">
        <v>72</v>
      </c>
      <c r="AP420" t="s">
        <v>72</v>
      </c>
      <c r="AQ420" t="s">
        <v>117</v>
      </c>
      <c r="AR420" s="1">
        <v>44579</v>
      </c>
      <c r="AS420" t="s">
        <v>118</v>
      </c>
      <c r="AT420" t="s">
        <v>71</v>
      </c>
      <c r="AU420">
        <v>1044</v>
      </c>
      <c r="AV420" t="s">
        <v>76</v>
      </c>
    </row>
    <row r="421" spans="1:48" x14ac:dyDescent="0.25">
      <c r="A421" t="s">
        <v>708</v>
      </c>
      <c r="B421" t="s">
        <v>277</v>
      </c>
      <c r="C421" t="s">
        <v>264</v>
      </c>
      <c r="D421" t="s">
        <v>51</v>
      </c>
      <c r="E421">
        <v>41</v>
      </c>
      <c r="F421" t="s">
        <v>241</v>
      </c>
      <c r="G421" t="s">
        <v>234</v>
      </c>
      <c r="H421" t="s">
        <v>235</v>
      </c>
      <c r="I421" t="s">
        <v>83</v>
      </c>
      <c r="J421" t="s">
        <v>84</v>
      </c>
      <c r="K421" t="s">
        <v>85</v>
      </c>
      <c r="L421" t="s">
        <v>58</v>
      </c>
      <c r="M421" t="s">
        <v>127</v>
      </c>
      <c r="N421" t="s">
        <v>162</v>
      </c>
      <c r="O421" t="s">
        <v>89</v>
      </c>
      <c r="P421" s="1">
        <v>39273</v>
      </c>
      <c r="Q421">
        <v>16.899999999999999</v>
      </c>
      <c r="R421" t="s">
        <v>195</v>
      </c>
      <c r="S421" t="s">
        <v>91</v>
      </c>
      <c r="T421" t="s">
        <v>92</v>
      </c>
      <c r="U421">
        <v>14</v>
      </c>
      <c r="V421">
        <v>2</v>
      </c>
      <c r="W421">
        <v>1917</v>
      </c>
      <c r="X421">
        <v>1650</v>
      </c>
      <c r="Y421">
        <v>422</v>
      </c>
      <c r="Z421">
        <v>3989</v>
      </c>
      <c r="AA421">
        <v>290</v>
      </c>
      <c r="AB421" t="s">
        <v>151</v>
      </c>
      <c r="AC421">
        <v>13.6</v>
      </c>
      <c r="AD421">
        <v>58</v>
      </c>
      <c r="AE421">
        <v>70</v>
      </c>
      <c r="AF421" t="s">
        <v>112</v>
      </c>
      <c r="AG421">
        <v>31</v>
      </c>
      <c r="AH421" t="s">
        <v>67</v>
      </c>
      <c r="AI421" t="s">
        <v>114</v>
      </c>
      <c r="AJ421" t="s">
        <v>96</v>
      </c>
      <c r="AK421" t="s">
        <v>71</v>
      </c>
      <c r="AL421" t="s">
        <v>70</v>
      </c>
      <c r="AM421" t="s">
        <v>70</v>
      </c>
      <c r="AN421" t="s">
        <v>72</v>
      </c>
      <c r="AO421" t="s">
        <v>287</v>
      </c>
      <c r="AP421" t="s">
        <v>134</v>
      </c>
      <c r="AQ421" t="s">
        <v>98</v>
      </c>
      <c r="AR421" s="1">
        <v>40146</v>
      </c>
      <c r="AS421" t="s">
        <v>118</v>
      </c>
      <c r="AT421" t="s">
        <v>71</v>
      </c>
      <c r="AU421">
        <v>84</v>
      </c>
      <c r="AV421" t="s">
        <v>179</v>
      </c>
    </row>
    <row r="422" spans="1:48" x14ac:dyDescent="0.25">
      <c r="A422" t="s">
        <v>709</v>
      </c>
      <c r="B422" t="s">
        <v>277</v>
      </c>
      <c r="C422" t="s">
        <v>79</v>
      </c>
      <c r="D422" t="s">
        <v>51</v>
      </c>
      <c r="E422">
        <v>38</v>
      </c>
      <c r="F422" t="s">
        <v>214</v>
      </c>
      <c r="G422" t="s">
        <v>156</v>
      </c>
      <c r="H422" t="s">
        <v>157</v>
      </c>
      <c r="I422" t="s">
        <v>217</v>
      </c>
      <c r="J422" t="s">
        <v>218</v>
      </c>
      <c r="K422" t="s">
        <v>146</v>
      </c>
      <c r="L422" t="s">
        <v>201</v>
      </c>
      <c r="M422" t="s">
        <v>127</v>
      </c>
      <c r="N422" t="s">
        <v>108</v>
      </c>
      <c r="O422" t="s">
        <v>149</v>
      </c>
      <c r="P422" s="1">
        <v>40406</v>
      </c>
      <c r="Q422">
        <v>13.8</v>
      </c>
      <c r="R422" t="s">
        <v>129</v>
      </c>
      <c r="S422" t="s">
        <v>130</v>
      </c>
      <c r="T422" t="s">
        <v>131</v>
      </c>
      <c r="U422">
        <v>9</v>
      </c>
      <c r="V422">
        <v>1</v>
      </c>
      <c r="W422">
        <v>4836</v>
      </c>
      <c r="X422">
        <v>1473</v>
      </c>
      <c r="Y422">
        <v>266</v>
      </c>
      <c r="Z422">
        <v>6575</v>
      </c>
      <c r="AA422">
        <v>585</v>
      </c>
      <c r="AB422" t="s">
        <v>65</v>
      </c>
      <c r="AC422">
        <v>18.2</v>
      </c>
      <c r="AD422">
        <v>53</v>
      </c>
      <c r="AE422">
        <v>63</v>
      </c>
      <c r="AF422" t="s">
        <v>112</v>
      </c>
      <c r="AG422">
        <v>40</v>
      </c>
      <c r="AH422" t="s">
        <v>94</v>
      </c>
      <c r="AI422" t="s">
        <v>114</v>
      </c>
      <c r="AJ422" t="s">
        <v>188</v>
      </c>
      <c r="AK422" t="s">
        <v>71</v>
      </c>
      <c r="AL422" t="s">
        <v>70</v>
      </c>
      <c r="AM422" t="s">
        <v>70</v>
      </c>
      <c r="AN422" t="s">
        <v>72</v>
      </c>
      <c r="AO422" t="s">
        <v>178</v>
      </c>
      <c r="AP422" t="s">
        <v>72</v>
      </c>
      <c r="AQ422" t="s">
        <v>117</v>
      </c>
      <c r="AR422" s="1">
        <v>45377</v>
      </c>
      <c r="AS422" t="s">
        <v>118</v>
      </c>
      <c r="AT422" t="s">
        <v>71</v>
      </c>
      <c r="AU422">
        <v>-361</v>
      </c>
      <c r="AV422" t="s">
        <v>179</v>
      </c>
    </row>
    <row r="423" spans="1:48" x14ac:dyDescent="0.25">
      <c r="A423" t="s">
        <v>710</v>
      </c>
      <c r="B423" t="s">
        <v>78</v>
      </c>
      <c r="C423" t="s">
        <v>264</v>
      </c>
      <c r="D423" t="s">
        <v>51</v>
      </c>
      <c r="E423">
        <v>42</v>
      </c>
      <c r="F423" t="s">
        <v>168</v>
      </c>
      <c r="G423" t="s">
        <v>215</v>
      </c>
      <c r="H423" t="s">
        <v>216</v>
      </c>
      <c r="I423" t="s">
        <v>268</v>
      </c>
      <c r="J423" t="s">
        <v>269</v>
      </c>
      <c r="K423" t="s">
        <v>173</v>
      </c>
      <c r="L423" t="s">
        <v>201</v>
      </c>
      <c r="M423" t="s">
        <v>249</v>
      </c>
      <c r="N423" t="s">
        <v>162</v>
      </c>
      <c r="O423" t="s">
        <v>176</v>
      </c>
      <c r="P423" s="1">
        <v>39891</v>
      </c>
      <c r="Q423">
        <v>15.2</v>
      </c>
      <c r="R423" t="s">
        <v>195</v>
      </c>
      <c r="S423" t="s">
        <v>219</v>
      </c>
      <c r="T423" t="s">
        <v>220</v>
      </c>
      <c r="U423">
        <v>0</v>
      </c>
      <c r="V423">
        <v>0</v>
      </c>
      <c r="W423">
        <v>3637</v>
      </c>
      <c r="X423">
        <v>1982</v>
      </c>
      <c r="Y423">
        <v>266</v>
      </c>
      <c r="Z423">
        <v>5885</v>
      </c>
      <c r="AA423">
        <v>424</v>
      </c>
      <c r="AB423" t="s">
        <v>65</v>
      </c>
      <c r="AC423">
        <v>16.3</v>
      </c>
      <c r="AD423">
        <v>33</v>
      </c>
      <c r="AE423">
        <v>59</v>
      </c>
      <c r="AF423" t="s">
        <v>132</v>
      </c>
      <c r="AG423">
        <v>19</v>
      </c>
      <c r="AH423" t="s">
        <v>113</v>
      </c>
      <c r="AI423" t="s">
        <v>95</v>
      </c>
      <c r="AJ423" t="s">
        <v>188</v>
      </c>
      <c r="AK423" t="s">
        <v>70</v>
      </c>
      <c r="AL423" t="s">
        <v>70</v>
      </c>
      <c r="AM423" t="s">
        <v>70</v>
      </c>
      <c r="AN423" t="s">
        <v>243</v>
      </c>
      <c r="AO423" t="s">
        <v>72</v>
      </c>
      <c r="AP423" t="s">
        <v>72</v>
      </c>
      <c r="AQ423" t="s">
        <v>117</v>
      </c>
      <c r="AR423" s="1">
        <v>44066</v>
      </c>
      <c r="AS423" t="s">
        <v>137</v>
      </c>
      <c r="AT423" t="s">
        <v>71</v>
      </c>
      <c r="AU423">
        <v>576</v>
      </c>
      <c r="AV423" t="s">
        <v>76</v>
      </c>
    </row>
    <row r="424" spans="1:48" x14ac:dyDescent="0.25">
      <c r="A424" t="s">
        <v>711</v>
      </c>
      <c r="B424" t="s">
        <v>166</v>
      </c>
      <c r="C424" t="s">
        <v>332</v>
      </c>
      <c r="D424" t="s">
        <v>51</v>
      </c>
      <c r="E424">
        <v>34</v>
      </c>
      <c r="F424" t="s">
        <v>305</v>
      </c>
      <c r="G424" t="s">
        <v>234</v>
      </c>
      <c r="H424" t="s">
        <v>235</v>
      </c>
      <c r="I424" t="s">
        <v>103</v>
      </c>
      <c r="J424" t="s">
        <v>104</v>
      </c>
      <c r="K424" t="s">
        <v>105</v>
      </c>
      <c r="L424" t="s">
        <v>58</v>
      </c>
      <c r="M424" t="s">
        <v>127</v>
      </c>
      <c r="N424" t="s">
        <v>108</v>
      </c>
      <c r="O424" t="s">
        <v>109</v>
      </c>
      <c r="P424" s="1">
        <v>39263</v>
      </c>
      <c r="Q424">
        <v>16.899999999999999</v>
      </c>
      <c r="R424" t="s">
        <v>90</v>
      </c>
      <c r="S424" t="s">
        <v>163</v>
      </c>
      <c r="T424" t="s">
        <v>164</v>
      </c>
      <c r="U424">
        <v>9</v>
      </c>
      <c r="V424">
        <v>1</v>
      </c>
      <c r="W424">
        <v>1917</v>
      </c>
      <c r="X424">
        <v>1058</v>
      </c>
      <c r="Y424">
        <v>422</v>
      </c>
      <c r="Z424">
        <v>3397</v>
      </c>
      <c r="AA424">
        <v>332</v>
      </c>
      <c r="AB424" t="s">
        <v>151</v>
      </c>
      <c r="AC424">
        <v>15.1</v>
      </c>
      <c r="AD424">
        <v>47</v>
      </c>
      <c r="AE424">
        <v>65</v>
      </c>
      <c r="AF424" t="s">
        <v>93</v>
      </c>
      <c r="AG424">
        <v>28</v>
      </c>
      <c r="AH424" t="s">
        <v>113</v>
      </c>
      <c r="AI424" t="s">
        <v>114</v>
      </c>
      <c r="AJ424" t="s">
        <v>72</v>
      </c>
      <c r="AK424" t="s">
        <v>70</v>
      </c>
      <c r="AL424" t="s">
        <v>70</v>
      </c>
      <c r="AM424" t="s">
        <v>70</v>
      </c>
      <c r="AN424" t="s">
        <v>243</v>
      </c>
      <c r="AO424" t="s">
        <v>203</v>
      </c>
      <c r="AP424" t="s">
        <v>72</v>
      </c>
      <c r="AQ424" t="s">
        <v>98</v>
      </c>
      <c r="AR424" s="1">
        <v>43502</v>
      </c>
      <c r="AS424" t="s">
        <v>137</v>
      </c>
      <c r="AT424" t="s">
        <v>71</v>
      </c>
      <c r="AU424">
        <v>443</v>
      </c>
      <c r="AV424" t="s">
        <v>76</v>
      </c>
    </row>
    <row r="425" spans="1:48" x14ac:dyDescent="0.25">
      <c r="A425" t="s">
        <v>712</v>
      </c>
      <c r="B425" t="s">
        <v>181</v>
      </c>
      <c r="C425" t="s">
        <v>332</v>
      </c>
      <c r="D425" t="s">
        <v>51</v>
      </c>
      <c r="E425">
        <v>26</v>
      </c>
      <c r="F425" t="s">
        <v>168</v>
      </c>
      <c r="G425" t="s">
        <v>81</v>
      </c>
      <c r="H425" t="s">
        <v>82</v>
      </c>
      <c r="I425" t="s">
        <v>158</v>
      </c>
      <c r="J425" t="s">
        <v>159</v>
      </c>
      <c r="K425" t="s">
        <v>160</v>
      </c>
      <c r="L425" t="s">
        <v>58</v>
      </c>
      <c r="M425" t="s">
        <v>175</v>
      </c>
      <c r="N425" t="s">
        <v>265</v>
      </c>
      <c r="O425" t="s">
        <v>61</v>
      </c>
      <c r="P425" s="1">
        <v>40206</v>
      </c>
      <c r="Q425">
        <v>14.3</v>
      </c>
      <c r="R425" t="s">
        <v>195</v>
      </c>
      <c r="S425" t="s">
        <v>196</v>
      </c>
      <c r="T425" t="s">
        <v>197</v>
      </c>
      <c r="U425">
        <v>0</v>
      </c>
      <c r="V425">
        <v>0</v>
      </c>
      <c r="W425">
        <v>2504</v>
      </c>
      <c r="X425">
        <v>1111</v>
      </c>
      <c r="Y425">
        <v>422</v>
      </c>
      <c r="Z425">
        <v>4037</v>
      </c>
      <c r="AA425">
        <v>495</v>
      </c>
      <c r="AB425" t="s">
        <v>65</v>
      </c>
      <c r="AC425">
        <v>19.8</v>
      </c>
      <c r="AD425">
        <v>37</v>
      </c>
      <c r="AE425">
        <v>33</v>
      </c>
      <c r="AF425" t="s">
        <v>112</v>
      </c>
      <c r="AG425">
        <v>28</v>
      </c>
      <c r="AH425" t="s">
        <v>113</v>
      </c>
      <c r="AI425" t="s">
        <v>68</v>
      </c>
      <c r="AJ425" t="s">
        <v>188</v>
      </c>
      <c r="AK425" t="s">
        <v>70</v>
      </c>
      <c r="AL425" t="s">
        <v>71</v>
      </c>
      <c r="AM425" t="s">
        <v>71</v>
      </c>
      <c r="AN425" t="s">
        <v>115</v>
      </c>
      <c r="AO425" t="s">
        <v>203</v>
      </c>
      <c r="AP425" t="s">
        <v>287</v>
      </c>
      <c r="AQ425" t="s">
        <v>74</v>
      </c>
      <c r="AR425" s="1">
        <v>45044</v>
      </c>
      <c r="AS425" t="s">
        <v>118</v>
      </c>
      <c r="AT425" t="s">
        <v>71</v>
      </c>
      <c r="AU425">
        <v>-227</v>
      </c>
      <c r="AV425" t="s">
        <v>179</v>
      </c>
    </row>
    <row r="426" spans="1:48" x14ac:dyDescent="0.25">
      <c r="A426" t="s">
        <v>713</v>
      </c>
      <c r="B426" t="s">
        <v>377</v>
      </c>
      <c r="C426" t="s">
        <v>257</v>
      </c>
      <c r="D426" t="s">
        <v>51</v>
      </c>
      <c r="E426">
        <v>42</v>
      </c>
      <c r="F426" t="s">
        <v>382</v>
      </c>
      <c r="G426" t="s">
        <v>124</v>
      </c>
      <c r="H426" t="s">
        <v>125</v>
      </c>
      <c r="I426" t="s">
        <v>185</v>
      </c>
      <c r="J426" t="s">
        <v>186</v>
      </c>
      <c r="K426" t="s">
        <v>187</v>
      </c>
      <c r="L426" t="s">
        <v>58</v>
      </c>
      <c r="M426" t="s">
        <v>107</v>
      </c>
      <c r="N426" t="s">
        <v>162</v>
      </c>
      <c r="O426" t="s">
        <v>149</v>
      </c>
      <c r="P426" s="1">
        <v>43645</v>
      </c>
      <c r="Q426">
        <v>4.9000000000000004</v>
      </c>
      <c r="R426" t="s">
        <v>62</v>
      </c>
      <c r="S426" t="s">
        <v>91</v>
      </c>
      <c r="T426" t="s">
        <v>92</v>
      </c>
      <c r="U426">
        <v>12</v>
      </c>
      <c r="V426">
        <v>2</v>
      </c>
      <c r="W426">
        <v>2730</v>
      </c>
      <c r="X426">
        <v>0</v>
      </c>
      <c r="Y426">
        <v>422</v>
      </c>
      <c r="Z426">
        <v>3152</v>
      </c>
      <c r="AA426">
        <v>405</v>
      </c>
      <c r="AB426" t="s">
        <v>65</v>
      </c>
      <c r="AC426">
        <v>14.6</v>
      </c>
      <c r="AD426">
        <v>42</v>
      </c>
      <c r="AE426">
        <v>34</v>
      </c>
      <c r="AF426" t="s">
        <v>112</v>
      </c>
      <c r="AG426">
        <v>20</v>
      </c>
      <c r="AH426" t="s">
        <v>113</v>
      </c>
      <c r="AI426" t="s">
        <v>177</v>
      </c>
      <c r="AJ426" t="s">
        <v>69</v>
      </c>
      <c r="AK426" t="s">
        <v>70</v>
      </c>
      <c r="AL426" t="s">
        <v>70</v>
      </c>
      <c r="AM426" t="s">
        <v>70</v>
      </c>
      <c r="AN426" t="s">
        <v>115</v>
      </c>
      <c r="AO426" t="s">
        <v>227</v>
      </c>
      <c r="AP426" t="s">
        <v>72</v>
      </c>
      <c r="AQ426" t="s">
        <v>98</v>
      </c>
      <c r="AR426" s="1">
        <v>43886</v>
      </c>
      <c r="AS426" t="s">
        <v>137</v>
      </c>
      <c r="AT426" t="s">
        <v>71</v>
      </c>
      <c r="AU426">
        <v>1429</v>
      </c>
      <c r="AV426" t="s">
        <v>76</v>
      </c>
    </row>
    <row r="427" spans="1:48" x14ac:dyDescent="0.25">
      <c r="A427" t="s">
        <v>714</v>
      </c>
      <c r="B427" t="s">
        <v>154</v>
      </c>
      <c r="C427" t="s">
        <v>200</v>
      </c>
      <c r="D427" t="s">
        <v>51</v>
      </c>
      <c r="E427">
        <v>21</v>
      </c>
      <c r="F427" t="s">
        <v>325</v>
      </c>
      <c r="G427" t="s">
        <v>81</v>
      </c>
      <c r="H427" t="s">
        <v>82</v>
      </c>
      <c r="I427" t="s">
        <v>103</v>
      </c>
      <c r="J427" t="s">
        <v>104</v>
      </c>
      <c r="K427" t="s">
        <v>105</v>
      </c>
      <c r="L427" t="s">
        <v>106</v>
      </c>
      <c r="M427" t="s">
        <v>87</v>
      </c>
      <c r="N427" t="s">
        <v>162</v>
      </c>
      <c r="O427" t="s">
        <v>149</v>
      </c>
      <c r="P427" s="1">
        <v>38929</v>
      </c>
      <c r="Q427">
        <v>17.8</v>
      </c>
      <c r="R427" t="s">
        <v>129</v>
      </c>
      <c r="S427" t="s">
        <v>196</v>
      </c>
      <c r="T427" t="s">
        <v>197</v>
      </c>
      <c r="U427">
        <v>0</v>
      </c>
      <c r="V427">
        <v>0</v>
      </c>
      <c r="W427">
        <v>2504</v>
      </c>
      <c r="X427">
        <v>1499</v>
      </c>
      <c r="Y427">
        <v>422</v>
      </c>
      <c r="Z427">
        <v>4425</v>
      </c>
      <c r="AA427">
        <v>420</v>
      </c>
      <c r="AB427" t="s">
        <v>65</v>
      </c>
      <c r="AC427">
        <v>20.6</v>
      </c>
      <c r="AD427">
        <v>22</v>
      </c>
      <c r="AE427">
        <v>54</v>
      </c>
      <c r="AF427" t="s">
        <v>66</v>
      </c>
      <c r="AG427">
        <v>36</v>
      </c>
      <c r="AH427" t="s">
        <v>94</v>
      </c>
      <c r="AI427" t="s">
        <v>152</v>
      </c>
      <c r="AJ427" t="s">
        <v>69</v>
      </c>
      <c r="AK427" t="s">
        <v>70</v>
      </c>
      <c r="AL427" t="s">
        <v>71</v>
      </c>
      <c r="AM427" t="s">
        <v>70</v>
      </c>
      <c r="AN427" t="s">
        <v>72</v>
      </c>
      <c r="AO427" t="s">
        <v>287</v>
      </c>
      <c r="AP427" t="s">
        <v>72</v>
      </c>
      <c r="AQ427" t="s">
        <v>98</v>
      </c>
      <c r="AR427" s="1">
        <v>44164</v>
      </c>
      <c r="AS427" t="s">
        <v>75</v>
      </c>
      <c r="AT427" t="s">
        <v>71</v>
      </c>
      <c r="AU427">
        <v>1525</v>
      </c>
      <c r="AV427" t="s">
        <v>76</v>
      </c>
    </row>
    <row r="428" spans="1:48" x14ac:dyDescent="0.25">
      <c r="A428" t="s">
        <v>715</v>
      </c>
      <c r="B428" t="s">
        <v>205</v>
      </c>
      <c r="C428" t="s">
        <v>369</v>
      </c>
      <c r="D428" t="s">
        <v>122</v>
      </c>
      <c r="E428">
        <v>39</v>
      </c>
      <c r="F428" t="s">
        <v>80</v>
      </c>
      <c r="G428" t="s">
        <v>81</v>
      </c>
      <c r="H428" t="s">
        <v>82</v>
      </c>
      <c r="I428" t="s">
        <v>144</v>
      </c>
      <c r="J428" t="s">
        <v>145</v>
      </c>
      <c r="K428" t="s">
        <v>146</v>
      </c>
      <c r="L428" t="s">
        <v>86</v>
      </c>
      <c r="M428" t="s">
        <v>59</v>
      </c>
      <c r="N428" t="s">
        <v>265</v>
      </c>
      <c r="O428" t="s">
        <v>176</v>
      </c>
      <c r="P428" s="1">
        <v>40414</v>
      </c>
      <c r="Q428">
        <v>13.8</v>
      </c>
      <c r="R428" t="s">
        <v>208</v>
      </c>
      <c r="S428" t="s">
        <v>219</v>
      </c>
      <c r="T428" t="s">
        <v>220</v>
      </c>
      <c r="U428">
        <v>0</v>
      </c>
      <c r="V428">
        <v>0</v>
      </c>
      <c r="W428">
        <v>2504</v>
      </c>
      <c r="X428">
        <v>1840</v>
      </c>
      <c r="Y428">
        <v>422</v>
      </c>
      <c r="Z428">
        <v>4766</v>
      </c>
      <c r="AA428">
        <v>472</v>
      </c>
      <c r="AB428" t="s">
        <v>65</v>
      </c>
      <c r="AC428">
        <v>16.100000000000001</v>
      </c>
      <c r="AD428">
        <v>73</v>
      </c>
      <c r="AE428">
        <v>46</v>
      </c>
      <c r="AF428" t="s">
        <v>66</v>
      </c>
      <c r="AG428">
        <v>16</v>
      </c>
      <c r="AH428" t="s">
        <v>113</v>
      </c>
      <c r="AI428" t="s">
        <v>177</v>
      </c>
      <c r="AJ428" t="s">
        <v>69</v>
      </c>
      <c r="AK428" t="s">
        <v>70</v>
      </c>
      <c r="AL428" t="s">
        <v>70</v>
      </c>
      <c r="AM428" t="s">
        <v>70</v>
      </c>
      <c r="AN428" t="s">
        <v>115</v>
      </c>
      <c r="AO428" t="s">
        <v>97</v>
      </c>
      <c r="AP428" t="s">
        <v>287</v>
      </c>
      <c r="AQ428" t="s">
        <v>98</v>
      </c>
      <c r="AR428" s="1">
        <v>43257</v>
      </c>
      <c r="AS428" t="s">
        <v>198</v>
      </c>
      <c r="AT428" t="s">
        <v>71</v>
      </c>
      <c r="AU428">
        <v>1625</v>
      </c>
      <c r="AV428" t="s">
        <v>76</v>
      </c>
    </row>
    <row r="429" spans="1:48" x14ac:dyDescent="0.25">
      <c r="A429" t="s">
        <v>716</v>
      </c>
      <c r="B429" t="s">
        <v>100</v>
      </c>
      <c r="C429" t="s">
        <v>501</v>
      </c>
      <c r="D429" t="s">
        <v>122</v>
      </c>
      <c r="E429">
        <v>39</v>
      </c>
      <c r="F429" t="s">
        <v>316</v>
      </c>
      <c r="G429" t="s">
        <v>81</v>
      </c>
      <c r="H429" t="s">
        <v>82</v>
      </c>
      <c r="I429" t="s">
        <v>225</v>
      </c>
      <c r="J429" t="s">
        <v>226</v>
      </c>
      <c r="K429" t="s">
        <v>105</v>
      </c>
      <c r="L429" t="s">
        <v>106</v>
      </c>
      <c r="M429" t="s">
        <v>127</v>
      </c>
      <c r="N429" t="s">
        <v>148</v>
      </c>
      <c r="O429" t="s">
        <v>89</v>
      </c>
      <c r="P429" s="1">
        <v>39315</v>
      </c>
      <c r="Q429">
        <v>16.8</v>
      </c>
      <c r="R429" t="s">
        <v>90</v>
      </c>
      <c r="S429" t="s">
        <v>196</v>
      </c>
      <c r="T429" t="s">
        <v>197</v>
      </c>
      <c r="U429">
        <v>0</v>
      </c>
      <c r="V429">
        <v>0</v>
      </c>
      <c r="W429">
        <v>2504</v>
      </c>
      <c r="X429">
        <v>1288</v>
      </c>
      <c r="Y429">
        <v>422</v>
      </c>
      <c r="Z429">
        <v>4214</v>
      </c>
      <c r="AA429">
        <v>505</v>
      </c>
      <c r="AB429" t="s">
        <v>65</v>
      </c>
      <c r="AC429">
        <v>17.399999999999999</v>
      </c>
      <c r="AD429">
        <v>65</v>
      </c>
      <c r="AE429">
        <v>68</v>
      </c>
      <c r="AF429" t="s">
        <v>132</v>
      </c>
      <c r="AG429">
        <v>38</v>
      </c>
      <c r="AH429" t="s">
        <v>94</v>
      </c>
      <c r="AI429" t="s">
        <v>114</v>
      </c>
      <c r="AJ429" t="s">
        <v>69</v>
      </c>
      <c r="AK429" t="s">
        <v>71</v>
      </c>
      <c r="AL429" t="s">
        <v>70</v>
      </c>
      <c r="AM429" t="s">
        <v>70</v>
      </c>
      <c r="AN429" t="s">
        <v>72</v>
      </c>
      <c r="AO429" t="s">
        <v>72</v>
      </c>
      <c r="AP429" t="s">
        <v>72</v>
      </c>
      <c r="AQ429" t="s">
        <v>74</v>
      </c>
      <c r="AR429" s="1">
        <v>41777</v>
      </c>
      <c r="AS429" t="s">
        <v>118</v>
      </c>
      <c r="AT429" t="s">
        <v>71</v>
      </c>
      <c r="AU429">
        <v>-96</v>
      </c>
      <c r="AV429" t="s">
        <v>179</v>
      </c>
    </row>
    <row r="430" spans="1:48" x14ac:dyDescent="0.25">
      <c r="A430" t="s">
        <v>717</v>
      </c>
      <c r="B430" t="s">
        <v>346</v>
      </c>
      <c r="C430" t="s">
        <v>257</v>
      </c>
      <c r="D430" t="s">
        <v>51</v>
      </c>
      <c r="E430">
        <v>45</v>
      </c>
      <c r="F430" t="s">
        <v>325</v>
      </c>
      <c r="G430" t="s">
        <v>279</v>
      </c>
      <c r="H430" t="s">
        <v>280</v>
      </c>
      <c r="I430" t="s">
        <v>144</v>
      </c>
      <c r="J430" t="s">
        <v>145</v>
      </c>
      <c r="K430" t="s">
        <v>146</v>
      </c>
      <c r="L430" t="s">
        <v>86</v>
      </c>
      <c r="M430" t="s">
        <v>161</v>
      </c>
      <c r="N430" t="s">
        <v>128</v>
      </c>
      <c r="O430" t="s">
        <v>176</v>
      </c>
      <c r="P430" s="1">
        <v>41239</v>
      </c>
      <c r="Q430">
        <v>11.5</v>
      </c>
      <c r="R430" t="s">
        <v>129</v>
      </c>
      <c r="S430" t="s">
        <v>130</v>
      </c>
      <c r="T430" t="s">
        <v>131</v>
      </c>
      <c r="U430">
        <v>8</v>
      </c>
      <c r="V430">
        <v>1</v>
      </c>
      <c r="W430">
        <v>6618</v>
      </c>
      <c r="X430">
        <v>0</v>
      </c>
      <c r="Y430">
        <v>266</v>
      </c>
      <c r="Z430">
        <v>6884</v>
      </c>
      <c r="AA430">
        <v>424</v>
      </c>
      <c r="AB430" t="s">
        <v>65</v>
      </c>
      <c r="AC430">
        <v>15.3</v>
      </c>
      <c r="AD430">
        <v>64</v>
      </c>
      <c r="AE430">
        <v>70</v>
      </c>
      <c r="AF430" t="s">
        <v>93</v>
      </c>
      <c r="AG430">
        <v>22</v>
      </c>
      <c r="AH430" t="s">
        <v>113</v>
      </c>
      <c r="AI430" t="s">
        <v>68</v>
      </c>
      <c r="AJ430" t="s">
        <v>69</v>
      </c>
      <c r="AK430" t="s">
        <v>70</v>
      </c>
      <c r="AL430" t="s">
        <v>71</v>
      </c>
      <c r="AM430" t="s">
        <v>70</v>
      </c>
      <c r="AN430" t="s">
        <v>133</v>
      </c>
      <c r="AO430" t="s">
        <v>203</v>
      </c>
      <c r="AP430" t="s">
        <v>203</v>
      </c>
      <c r="AQ430" t="s">
        <v>117</v>
      </c>
      <c r="AR430" s="1">
        <v>42773</v>
      </c>
      <c r="AS430" t="s">
        <v>75</v>
      </c>
      <c r="AT430" t="s">
        <v>71</v>
      </c>
      <c r="AU430">
        <v>796</v>
      </c>
      <c r="AV430" t="s">
        <v>76</v>
      </c>
    </row>
    <row r="431" spans="1:48" x14ac:dyDescent="0.25">
      <c r="A431" t="s">
        <v>718</v>
      </c>
      <c r="B431" t="s">
        <v>259</v>
      </c>
      <c r="C431" t="s">
        <v>140</v>
      </c>
      <c r="D431" t="s">
        <v>51</v>
      </c>
      <c r="E431">
        <v>23</v>
      </c>
      <c r="F431" t="s">
        <v>291</v>
      </c>
      <c r="G431" t="s">
        <v>156</v>
      </c>
      <c r="H431" t="s">
        <v>157</v>
      </c>
      <c r="I431" t="s">
        <v>83</v>
      </c>
      <c r="J431" t="s">
        <v>84</v>
      </c>
      <c r="K431" t="s">
        <v>85</v>
      </c>
      <c r="L431" t="s">
        <v>201</v>
      </c>
      <c r="M431" t="s">
        <v>249</v>
      </c>
      <c r="N431" t="s">
        <v>265</v>
      </c>
      <c r="O431" t="s">
        <v>149</v>
      </c>
      <c r="P431" s="1">
        <v>44550</v>
      </c>
      <c r="Q431">
        <v>2.4</v>
      </c>
      <c r="R431" t="s">
        <v>208</v>
      </c>
      <c r="S431" t="s">
        <v>91</v>
      </c>
      <c r="T431" t="s">
        <v>92</v>
      </c>
      <c r="U431">
        <v>6</v>
      </c>
      <c r="V431">
        <v>1</v>
      </c>
      <c r="W431">
        <v>4836</v>
      </c>
      <c r="X431">
        <v>1342</v>
      </c>
      <c r="Y431">
        <v>266</v>
      </c>
      <c r="Z431">
        <v>6444</v>
      </c>
      <c r="AA431">
        <v>475</v>
      </c>
      <c r="AB431" t="s">
        <v>65</v>
      </c>
      <c r="AC431">
        <v>15.5</v>
      </c>
      <c r="AD431">
        <v>71</v>
      </c>
      <c r="AE431">
        <v>58</v>
      </c>
      <c r="AF431" t="s">
        <v>93</v>
      </c>
      <c r="AG431">
        <v>21</v>
      </c>
      <c r="AH431" t="s">
        <v>113</v>
      </c>
      <c r="AI431" t="s">
        <v>152</v>
      </c>
      <c r="AJ431" t="s">
        <v>96</v>
      </c>
      <c r="AK431" t="s">
        <v>70</v>
      </c>
      <c r="AL431" t="s">
        <v>70</v>
      </c>
      <c r="AM431" t="s">
        <v>70</v>
      </c>
      <c r="AN431" t="s">
        <v>72</v>
      </c>
      <c r="AO431" t="s">
        <v>221</v>
      </c>
      <c r="AP431" t="s">
        <v>72</v>
      </c>
      <c r="AQ431" t="s">
        <v>98</v>
      </c>
      <c r="AR431" s="1">
        <v>44382</v>
      </c>
      <c r="AS431" t="s">
        <v>137</v>
      </c>
      <c r="AT431" t="s">
        <v>71</v>
      </c>
      <c r="AU431">
        <v>1157</v>
      </c>
      <c r="AV431" t="s">
        <v>76</v>
      </c>
    </row>
    <row r="432" spans="1:48" x14ac:dyDescent="0.25">
      <c r="A432" t="s">
        <v>719</v>
      </c>
      <c r="B432" t="s">
        <v>267</v>
      </c>
      <c r="C432" t="s">
        <v>233</v>
      </c>
      <c r="D432" t="s">
        <v>51</v>
      </c>
      <c r="E432">
        <v>38</v>
      </c>
      <c r="F432" t="s">
        <v>211</v>
      </c>
      <c r="G432" t="s">
        <v>301</v>
      </c>
      <c r="H432" t="s">
        <v>302</v>
      </c>
      <c r="I432" t="s">
        <v>253</v>
      </c>
      <c r="J432" t="s">
        <v>254</v>
      </c>
      <c r="K432" t="s">
        <v>255</v>
      </c>
      <c r="L432" t="s">
        <v>58</v>
      </c>
      <c r="M432" t="s">
        <v>212</v>
      </c>
      <c r="N432" t="s">
        <v>60</v>
      </c>
      <c r="O432" t="s">
        <v>176</v>
      </c>
      <c r="P432" s="1">
        <v>43378</v>
      </c>
      <c r="Q432">
        <v>5.7</v>
      </c>
      <c r="R432" t="s">
        <v>90</v>
      </c>
      <c r="S432" t="s">
        <v>63</v>
      </c>
      <c r="T432" t="s">
        <v>64</v>
      </c>
      <c r="U432">
        <v>0</v>
      </c>
      <c r="V432">
        <v>0</v>
      </c>
      <c r="W432">
        <v>4188</v>
      </c>
      <c r="X432">
        <v>968</v>
      </c>
      <c r="Y432">
        <v>266</v>
      </c>
      <c r="Z432">
        <v>5422</v>
      </c>
      <c r="AA432">
        <v>415</v>
      </c>
      <c r="AB432" t="s">
        <v>65</v>
      </c>
      <c r="AC432">
        <v>21</v>
      </c>
      <c r="AD432">
        <v>48</v>
      </c>
      <c r="AE432">
        <v>32</v>
      </c>
      <c r="AF432" t="s">
        <v>93</v>
      </c>
      <c r="AG432">
        <v>37</v>
      </c>
      <c r="AH432" t="s">
        <v>94</v>
      </c>
      <c r="AI432" t="s">
        <v>114</v>
      </c>
      <c r="AJ432" t="s">
        <v>188</v>
      </c>
      <c r="AK432" t="s">
        <v>70</v>
      </c>
      <c r="AL432" t="s">
        <v>71</v>
      </c>
      <c r="AM432" t="s">
        <v>70</v>
      </c>
      <c r="AN432" t="s">
        <v>72</v>
      </c>
      <c r="AO432" t="s">
        <v>134</v>
      </c>
      <c r="AP432" t="s">
        <v>72</v>
      </c>
      <c r="AQ432" t="s">
        <v>98</v>
      </c>
      <c r="AR432" s="1">
        <v>43186</v>
      </c>
      <c r="AS432" t="s">
        <v>137</v>
      </c>
      <c r="AT432" t="s">
        <v>71</v>
      </c>
      <c r="AU432">
        <v>1479</v>
      </c>
      <c r="AV432" t="s">
        <v>76</v>
      </c>
    </row>
    <row r="433" spans="1:48" x14ac:dyDescent="0.25">
      <c r="A433" t="s">
        <v>720</v>
      </c>
      <c r="B433" t="s">
        <v>245</v>
      </c>
      <c r="C433" t="s">
        <v>369</v>
      </c>
      <c r="D433" t="s">
        <v>122</v>
      </c>
      <c r="E433">
        <v>28</v>
      </c>
      <c r="F433" t="s">
        <v>322</v>
      </c>
      <c r="G433" t="s">
        <v>169</v>
      </c>
      <c r="H433" t="s">
        <v>170</v>
      </c>
      <c r="I433" t="s">
        <v>253</v>
      </c>
      <c r="J433" t="s">
        <v>254</v>
      </c>
      <c r="K433" t="s">
        <v>255</v>
      </c>
      <c r="L433" t="s">
        <v>58</v>
      </c>
      <c r="M433" t="s">
        <v>147</v>
      </c>
      <c r="N433" t="s">
        <v>148</v>
      </c>
      <c r="O433" t="s">
        <v>109</v>
      </c>
      <c r="P433" s="1">
        <v>43491</v>
      </c>
      <c r="Q433">
        <v>5.3</v>
      </c>
      <c r="R433" t="s">
        <v>208</v>
      </c>
      <c r="S433" t="s">
        <v>63</v>
      </c>
      <c r="T433" t="s">
        <v>64</v>
      </c>
      <c r="U433">
        <v>0</v>
      </c>
      <c r="V433">
        <v>0</v>
      </c>
      <c r="W433">
        <v>3294</v>
      </c>
      <c r="X433">
        <v>1592</v>
      </c>
      <c r="Y433">
        <v>422</v>
      </c>
      <c r="Z433">
        <v>5308</v>
      </c>
      <c r="AA433">
        <v>424</v>
      </c>
      <c r="AB433" t="s">
        <v>65</v>
      </c>
      <c r="AC433">
        <v>18.5</v>
      </c>
      <c r="AD433">
        <v>82</v>
      </c>
      <c r="AE433">
        <v>53</v>
      </c>
      <c r="AF433" t="s">
        <v>132</v>
      </c>
      <c r="AG433">
        <v>27</v>
      </c>
      <c r="AH433" t="s">
        <v>113</v>
      </c>
      <c r="AI433" t="s">
        <v>152</v>
      </c>
      <c r="AJ433" t="s">
        <v>96</v>
      </c>
      <c r="AK433" t="s">
        <v>71</v>
      </c>
      <c r="AL433" t="s">
        <v>70</v>
      </c>
      <c r="AM433" t="s">
        <v>70</v>
      </c>
      <c r="AN433" t="s">
        <v>72</v>
      </c>
      <c r="AO433" t="s">
        <v>221</v>
      </c>
      <c r="AP433" t="s">
        <v>73</v>
      </c>
      <c r="AQ433" t="s">
        <v>117</v>
      </c>
      <c r="AR433" s="1">
        <v>45544</v>
      </c>
      <c r="AS433" t="s">
        <v>118</v>
      </c>
      <c r="AT433" t="s">
        <v>71</v>
      </c>
      <c r="AU433">
        <v>1448</v>
      </c>
      <c r="AV433" t="s">
        <v>76</v>
      </c>
    </row>
    <row r="434" spans="1:48" x14ac:dyDescent="0.25">
      <c r="A434" t="s">
        <v>721</v>
      </c>
      <c r="B434" t="s">
        <v>100</v>
      </c>
      <c r="C434" t="s">
        <v>140</v>
      </c>
      <c r="D434" t="s">
        <v>51</v>
      </c>
      <c r="E434">
        <v>20</v>
      </c>
      <c r="F434" t="s">
        <v>248</v>
      </c>
      <c r="G434" t="s">
        <v>53</v>
      </c>
      <c r="H434" t="s">
        <v>54</v>
      </c>
      <c r="I434" t="s">
        <v>260</v>
      </c>
      <c r="J434" t="s">
        <v>261</v>
      </c>
      <c r="K434" t="s">
        <v>173</v>
      </c>
      <c r="L434" t="s">
        <v>86</v>
      </c>
      <c r="M434" t="s">
        <v>59</v>
      </c>
      <c r="N434" t="s">
        <v>265</v>
      </c>
      <c r="O434" t="s">
        <v>61</v>
      </c>
      <c r="P434" s="1">
        <v>40187</v>
      </c>
      <c r="Q434">
        <v>14.4</v>
      </c>
      <c r="R434" t="s">
        <v>208</v>
      </c>
      <c r="S434" t="s">
        <v>91</v>
      </c>
      <c r="T434" t="s">
        <v>92</v>
      </c>
      <c r="U434">
        <v>8</v>
      </c>
      <c r="V434">
        <v>1</v>
      </c>
      <c r="W434">
        <v>4739</v>
      </c>
      <c r="X434">
        <v>0</v>
      </c>
      <c r="Y434">
        <v>422</v>
      </c>
      <c r="Z434">
        <v>5161</v>
      </c>
      <c r="AA434">
        <v>592</v>
      </c>
      <c r="AB434" t="s">
        <v>65</v>
      </c>
      <c r="AC434">
        <v>16.399999999999999</v>
      </c>
      <c r="AD434">
        <v>48</v>
      </c>
      <c r="AE434">
        <v>61</v>
      </c>
      <c r="AF434" t="s">
        <v>132</v>
      </c>
      <c r="AG434">
        <v>18</v>
      </c>
      <c r="AH434" t="s">
        <v>113</v>
      </c>
      <c r="AI434" t="s">
        <v>177</v>
      </c>
      <c r="AJ434" t="s">
        <v>72</v>
      </c>
      <c r="AK434" t="s">
        <v>70</v>
      </c>
      <c r="AL434" t="s">
        <v>70</v>
      </c>
      <c r="AM434" t="s">
        <v>70</v>
      </c>
      <c r="AN434" t="s">
        <v>133</v>
      </c>
      <c r="AO434" t="s">
        <v>178</v>
      </c>
      <c r="AP434" t="s">
        <v>72</v>
      </c>
      <c r="AQ434" t="s">
        <v>74</v>
      </c>
      <c r="AR434" s="1">
        <v>40404</v>
      </c>
      <c r="AS434" t="s">
        <v>75</v>
      </c>
      <c r="AT434" t="s">
        <v>71</v>
      </c>
      <c r="AU434">
        <v>1510</v>
      </c>
      <c r="AV434" t="s">
        <v>76</v>
      </c>
    </row>
    <row r="435" spans="1:48" x14ac:dyDescent="0.25">
      <c r="A435" t="s">
        <v>722</v>
      </c>
      <c r="B435" t="s">
        <v>377</v>
      </c>
      <c r="C435" t="s">
        <v>396</v>
      </c>
      <c r="D435" t="s">
        <v>122</v>
      </c>
      <c r="E435">
        <v>36</v>
      </c>
      <c r="F435" t="s">
        <v>311</v>
      </c>
      <c r="G435" t="s">
        <v>156</v>
      </c>
      <c r="H435" t="s">
        <v>157</v>
      </c>
      <c r="I435" t="s">
        <v>55</v>
      </c>
      <c r="J435" t="s">
        <v>56</v>
      </c>
      <c r="K435" t="s">
        <v>57</v>
      </c>
      <c r="L435" t="s">
        <v>106</v>
      </c>
      <c r="M435" t="s">
        <v>249</v>
      </c>
      <c r="N435" t="s">
        <v>88</v>
      </c>
      <c r="O435" t="s">
        <v>61</v>
      </c>
      <c r="P435" s="1">
        <v>44064</v>
      </c>
      <c r="Q435">
        <v>3.8</v>
      </c>
      <c r="R435" t="s">
        <v>90</v>
      </c>
      <c r="S435" t="s">
        <v>219</v>
      </c>
      <c r="T435" t="s">
        <v>220</v>
      </c>
      <c r="U435">
        <v>0</v>
      </c>
      <c r="V435">
        <v>0</v>
      </c>
      <c r="W435">
        <v>4836</v>
      </c>
      <c r="X435">
        <v>1423</v>
      </c>
      <c r="Y435">
        <v>266</v>
      </c>
      <c r="Z435">
        <v>6525</v>
      </c>
      <c r="AA435">
        <v>498</v>
      </c>
      <c r="AB435" t="s">
        <v>65</v>
      </c>
      <c r="AC435">
        <v>14.5</v>
      </c>
      <c r="AD435">
        <v>71</v>
      </c>
      <c r="AE435">
        <v>62</v>
      </c>
      <c r="AF435" t="s">
        <v>93</v>
      </c>
      <c r="AG435">
        <v>40</v>
      </c>
      <c r="AH435" t="s">
        <v>94</v>
      </c>
      <c r="AI435" t="s">
        <v>177</v>
      </c>
      <c r="AJ435" t="s">
        <v>72</v>
      </c>
      <c r="AK435" t="s">
        <v>71</v>
      </c>
      <c r="AL435" t="s">
        <v>70</v>
      </c>
      <c r="AM435" t="s">
        <v>70</v>
      </c>
      <c r="AN435" t="s">
        <v>133</v>
      </c>
      <c r="AO435" t="s">
        <v>203</v>
      </c>
      <c r="AP435" t="s">
        <v>116</v>
      </c>
      <c r="AQ435" t="s">
        <v>117</v>
      </c>
      <c r="AR435" s="1">
        <v>44161</v>
      </c>
      <c r="AS435" t="s">
        <v>137</v>
      </c>
      <c r="AT435" t="s">
        <v>71</v>
      </c>
      <c r="AU435">
        <v>297</v>
      </c>
      <c r="AV435" t="s">
        <v>76</v>
      </c>
    </row>
    <row r="436" spans="1:48" x14ac:dyDescent="0.25">
      <c r="A436" t="s">
        <v>723</v>
      </c>
      <c r="B436" t="s">
        <v>181</v>
      </c>
      <c r="C436" t="s">
        <v>264</v>
      </c>
      <c r="D436" t="s">
        <v>51</v>
      </c>
      <c r="E436">
        <v>23</v>
      </c>
      <c r="F436" t="s">
        <v>80</v>
      </c>
      <c r="G436" t="s">
        <v>234</v>
      </c>
      <c r="H436" t="s">
        <v>235</v>
      </c>
      <c r="I436" t="s">
        <v>158</v>
      </c>
      <c r="J436" t="s">
        <v>159</v>
      </c>
      <c r="K436" t="s">
        <v>160</v>
      </c>
      <c r="L436" t="s">
        <v>126</v>
      </c>
      <c r="M436" t="s">
        <v>59</v>
      </c>
      <c r="N436" t="s">
        <v>60</v>
      </c>
      <c r="O436" t="s">
        <v>176</v>
      </c>
      <c r="P436" s="1">
        <v>39082</v>
      </c>
      <c r="Q436">
        <v>17.399999999999999</v>
      </c>
      <c r="R436" t="s">
        <v>62</v>
      </c>
      <c r="S436" t="s">
        <v>163</v>
      </c>
      <c r="T436" t="s">
        <v>164</v>
      </c>
      <c r="U436">
        <v>12</v>
      </c>
      <c r="V436">
        <v>2</v>
      </c>
      <c r="W436">
        <v>1917</v>
      </c>
      <c r="X436">
        <v>1975</v>
      </c>
      <c r="Y436">
        <v>422</v>
      </c>
      <c r="Z436">
        <v>4314</v>
      </c>
      <c r="AA436">
        <v>532</v>
      </c>
      <c r="AB436" t="s">
        <v>65</v>
      </c>
      <c r="AC436">
        <v>19.3</v>
      </c>
      <c r="AD436">
        <v>44</v>
      </c>
      <c r="AE436">
        <v>74</v>
      </c>
      <c r="AF436" t="s">
        <v>93</v>
      </c>
      <c r="AG436">
        <v>26</v>
      </c>
      <c r="AH436" t="s">
        <v>113</v>
      </c>
      <c r="AI436" t="s">
        <v>95</v>
      </c>
      <c r="AJ436" t="s">
        <v>69</v>
      </c>
      <c r="AK436" t="s">
        <v>70</v>
      </c>
      <c r="AL436" t="s">
        <v>70</v>
      </c>
      <c r="AM436" t="s">
        <v>71</v>
      </c>
      <c r="AN436" t="s">
        <v>72</v>
      </c>
      <c r="AO436" t="s">
        <v>178</v>
      </c>
      <c r="AP436" t="s">
        <v>72</v>
      </c>
      <c r="AQ436" t="s">
        <v>117</v>
      </c>
      <c r="AR436" s="1">
        <v>44020</v>
      </c>
      <c r="AS436" t="s">
        <v>118</v>
      </c>
      <c r="AT436" t="s">
        <v>71</v>
      </c>
      <c r="AU436">
        <v>-166</v>
      </c>
      <c r="AV436" t="s">
        <v>179</v>
      </c>
    </row>
    <row r="437" spans="1:48" x14ac:dyDescent="0.25">
      <c r="A437" t="s">
        <v>724</v>
      </c>
      <c r="B437" t="s">
        <v>277</v>
      </c>
      <c r="C437" t="s">
        <v>200</v>
      </c>
      <c r="D437" t="s">
        <v>51</v>
      </c>
      <c r="E437">
        <v>33</v>
      </c>
      <c r="F437" t="s">
        <v>123</v>
      </c>
      <c r="G437" t="s">
        <v>242</v>
      </c>
      <c r="H437" t="s">
        <v>54</v>
      </c>
      <c r="I437" t="s">
        <v>268</v>
      </c>
      <c r="J437" t="s">
        <v>269</v>
      </c>
      <c r="K437" t="s">
        <v>173</v>
      </c>
      <c r="L437" t="s">
        <v>201</v>
      </c>
      <c r="M437" t="s">
        <v>296</v>
      </c>
      <c r="N437" t="s">
        <v>148</v>
      </c>
      <c r="O437" t="s">
        <v>89</v>
      </c>
      <c r="P437" s="1">
        <v>43945</v>
      </c>
      <c r="Q437">
        <v>4.0999999999999996</v>
      </c>
      <c r="R437" t="s">
        <v>90</v>
      </c>
      <c r="S437" t="s">
        <v>110</v>
      </c>
      <c r="T437" t="s">
        <v>111</v>
      </c>
      <c r="U437">
        <v>3</v>
      </c>
      <c r="V437">
        <v>0</v>
      </c>
      <c r="W437">
        <v>4739</v>
      </c>
      <c r="X437">
        <v>0</v>
      </c>
      <c r="Y437">
        <v>422</v>
      </c>
      <c r="Z437">
        <v>5161</v>
      </c>
      <c r="AA437">
        <v>292</v>
      </c>
      <c r="AB437" t="s">
        <v>151</v>
      </c>
      <c r="AC437">
        <v>20.7</v>
      </c>
      <c r="AD437">
        <v>53</v>
      </c>
      <c r="AE437">
        <v>30</v>
      </c>
      <c r="AF437" t="s">
        <v>112</v>
      </c>
      <c r="AG437">
        <v>28</v>
      </c>
      <c r="AH437" t="s">
        <v>113</v>
      </c>
      <c r="AI437" t="s">
        <v>152</v>
      </c>
      <c r="AJ437" t="s">
        <v>72</v>
      </c>
      <c r="AK437" t="s">
        <v>70</v>
      </c>
      <c r="AL437" t="s">
        <v>71</v>
      </c>
      <c r="AM437" t="s">
        <v>70</v>
      </c>
      <c r="AN437" t="s">
        <v>270</v>
      </c>
      <c r="AO437" t="s">
        <v>134</v>
      </c>
      <c r="AP437" t="s">
        <v>72</v>
      </c>
      <c r="AQ437" t="s">
        <v>117</v>
      </c>
      <c r="AR437" s="1">
        <v>45617</v>
      </c>
      <c r="AS437" t="s">
        <v>118</v>
      </c>
      <c r="AT437" t="s">
        <v>71</v>
      </c>
      <c r="AU437">
        <v>133</v>
      </c>
      <c r="AV437" t="s">
        <v>179</v>
      </c>
    </row>
    <row r="438" spans="1:48" x14ac:dyDescent="0.25">
      <c r="A438" t="s">
        <v>725</v>
      </c>
      <c r="B438" t="s">
        <v>229</v>
      </c>
      <c r="C438" t="s">
        <v>264</v>
      </c>
      <c r="D438" t="s">
        <v>51</v>
      </c>
      <c r="E438">
        <v>44</v>
      </c>
      <c r="F438" t="s">
        <v>291</v>
      </c>
      <c r="G438" t="s">
        <v>101</v>
      </c>
      <c r="H438" t="s">
        <v>102</v>
      </c>
      <c r="I438" t="s">
        <v>103</v>
      </c>
      <c r="J438" t="s">
        <v>104</v>
      </c>
      <c r="K438" t="s">
        <v>105</v>
      </c>
      <c r="L438" t="s">
        <v>58</v>
      </c>
      <c r="M438" t="s">
        <v>249</v>
      </c>
      <c r="N438" t="s">
        <v>60</v>
      </c>
      <c r="O438" t="s">
        <v>61</v>
      </c>
      <c r="P438" s="1">
        <v>38670</v>
      </c>
      <c r="Q438">
        <v>18.5</v>
      </c>
      <c r="R438" t="s">
        <v>208</v>
      </c>
      <c r="S438" t="s">
        <v>63</v>
      </c>
      <c r="T438" t="s">
        <v>64</v>
      </c>
      <c r="U438">
        <v>0</v>
      </c>
      <c r="V438">
        <v>0</v>
      </c>
      <c r="W438">
        <v>2980</v>
      </c>
      <c r="X438">
        <v>1046</v>
      </c>
      <c r="Y438">
        <v>422</v>
      </c>
      <c r="Z438">
        <v>4448</v>
      </c>
      <c r="AA438">
        <v>382</v>
      </c>
      <c r="AB438" t="s">
        <v>65</v>
      </c>
      <c r="AC438">
        <v>20.399999999999999</v>
      </c>
      <c r="AD438">
        <v>26</v>
      </c>
      <c r="AE438">
        <v>52</v>
      </c>
      <c r="AF438" t="s">
        <v>93</v>
      </c>
      <c r="AG438">
        <v>19</v>
      </c>
      <c r="AH438" t="s">
        <v>113</v>
      </c>
      <c r="AI438" t="s">
        <v>95</v>
      </c>
      <c r="AJ438" t="s">
        <v>96</v>
      </c>
      <c r="AK438" t="s">
        <v>70</v>
      </c>
      <c r="AL438" t="s">
        <v>70</v>
      </c>
      <c r="AM438" t="s">
        <v>70</v>
      </c>
      <c r="AN438" t="s">
        <v>270</v>
      </c>
      <c r="AO438" t="s">
        <v>287</v>
      </c>
      <c r="AP438" t="s">
        <v>72</v>
      </c>
      <c r="AQ438" t="s">
        <v>98</v>
      </c>
      <c r="AR438" s="1">
        <v>41124</v>
      </c>
      <c r="AS438" t="s">
        <v>137</v>
      </c>
      <c r="AT438" t="s">
        <v>71</v>
      </c>
      <c r="AU438">
        <v>508</v>
      </c>
      <c r="AV438" t="s">
        <v>76</v>
      </c>
    </row>
    <row r="439" spans="1:48" x14ac:dyDescent="0.25">
      <c r="A439" t="s">
        <v>726</v>
      </c>
      <c r="B439" t="s">
        <v>120</v>
      </c>
      <c r="C439" t="s">
        <v>233</v>
      </c>
      <c r="D439" t="s">
        <v>51</v>
      </c>
      <c r="E439">
        <v>30</v>
      </c>
      <c r="F439" t="s">
        <v>52</v>
      </c>
      <c r="G439" t="s">
        <v>285</v>
      </c>
      <c r="H439" t="s">
        <v>286</v>
      </c>
      <c r="I439" t="s">
        <v>55</v>
      </c>
      <c r="J439" t="s">
        <v>56</v>
      </c>
      <c r="K439" t="s">
        <v>57</v>
      </c>
      <c r="L439" t="s">
        <v>126</v>
      </c>
      <c r="M439" t="s">
        <v>296</v>
      </c>
      <c r="N439" t="s">
        <v>88</v>
      </c>
      <c r="O439" t="s">
        <v>89</v>
      </c>
      <c r="P439" s="1">
        <v>42288</v>
      </c>
      <c r="Q439">
        <v>8.6</v>
      </c>
      <c r="R439" t="s">
        <v>62</v>
      </c>
      <c r="S439" t="s">
        <v>196</v>
      </c>
      <c r="T439" t="s">
        <v>197</v>
      </c>
      <c r="U439">
        <v>0</v>
      </c>
      <c r="V439">
        <v>0</v>
      </c>
      <c r="W439">
        <v>7668</v>
      </c>
      <c r="X439">
        <v>0</v>
      </c>
      <c r="Y439">
        <v>266</v>
      </c>
      <c r="Z439">
        <v>7934</v>
      </c>
      <c r="AA439">
        <v>454</v>
      </c>
      <c r="AB439" t="s">
        <v>65</v>
      </c>
      <c r="AC439">
        <v>19.7</v>
      </c>
      <c r="AD439">
        <v>25</v>
      </c>
      <c r="AE439">
        <v>72</v>
      </c>
      <c r="AF439" t="s">
        <v>132</v>
      </c>
      <c r="AG439">
        <v>40</v>
      </c>
      <c r="AH439" t="s">
        <v>94</v>
      </c>
      <c r="AI439" t="s">
        <v>95</v>
      </c>
      <c r="AJ439" t="s">
        <v>69</v>
      </c>
      <c r="AK439" t="s">
        <v>70</v>
      </c>
      <c r="AL439" t="s">
        <v>70</v>
      </c>
      <c r="AM439" t="s">
        <v>70</v>
      </c>
      <c r="AN439" t="s">
        <v>231</v>
      </c>
      <c r="AO439" t="s">
        <v>203</v>
      </c>
      <c r="AP439" t="s">
        <v>134</v>
      </c>
      <c r="AQ439" t="s">
        <v>117</v>
      </c>
      <c r="AR439" s="1">
        <v>42432</v>
      </c>
      <c r="AS439" t="s">
        <v>137</v>
      </c>
      <c r="AT439" t="s">
        <v>71</v>
      </c>
      <c r="AU439">
        <v>816</v>
      </c>
      <c r="AV439" t="s">
        <v>76</v>
      </c>
    </row>
    <row r="440" spans="1:48" x14ac:dyDescent="0.25">
      <c r="A440" t="s">
        <v>727</v>
      </c>
      <c r="B440" t="s">
        <v>78</v>
      </c>
      <c r="C440" t="s">
        <v>330</v>
      </c>
      <c r="D440" t="s">
        <v>122</v>
      </c>
      <c r="E440">
        <v>35</v>
      </c>
      <c r="F440" t="s">
        <v>214</v>
      </c>
      <c r="G440" t="s">
        <v>142</v>
      </c>
      <c r="H440" t="s">
        <v>143</v>
      </c>
      <c r="I440" t="s">
        <v>185</v>
      </c>
      <c r="J440" t="s">
        <v>186</v>
      </c>
      <c r="K440" t="s">
        <v>187</v>
      </c>
      <c r="L440" t="s">
        <v>86</v>
      </c>
      <c r="M440" t="s">
        <v>175</v>
      </c>
      <c r="N440" t="s">
        <v>265</v>
      </c>
      <c r="O440" t="s">
        <v>89</v>
      </c>
      <c r="P440" s="1">
        <v>42674</v>
      </c>
      <c r="Q440">
        <v>7.6</v>
      </c>
      <c r="R440" t="s">
        <v>150</v>
      </c>
      <c r="S440" t="s">
        <v>196</v>
      </c>
      <c r="T440" t="s">
        <v>197</v>
      </c>
      <c r="U440">
        <v>0</v>
      </c>
      <c r="V440">
        <v>0</v>
      </c>
      <c r="W440">
        <v>5473</v>
      </c>
      <c r="X440">
        <v>0</v>
      </c>
      <c r="Y440">
        <v>422</v>
      </c>
      <c r="Z440">
        <v>5895</v>
      </c>
      <c r="AA440">
        <v>582</v>
      </c>
      <c r="AB440" t="s">
        <v>65</v>
      </c>
      <c r="AC440">
        <v>20.5</v>
      </c>
      <c r="AD440">
        <v>39</v>
      </c>
      <c r="AE440">
        <v>67</v>
      </c>
      <c r="AF440" t="s">
        <v>93</v>
      </c>
      <c r="AG440">
        <v>36</v>
      </c>
      <c r="AH440" t="s">
        <v>94</v>
      </c>
      <c r="AI440" t="s">
        <v>95</v>
      </c>
      <c r="AJ440" t="s">
        <v>96</v>
      </c>
      <c r="AK440" t="s">
        <v>70</v>
      </c>
      <c r="AL440" t="s">
        <v>71</v>
      </c>
      <c r="AM440" t="s">
        <v>70</v>
      </c>
      <c r="AN440" t="s">
        <v>133</v>
      </c>
      <c r="AO440" t="s">
        <v>221</v>
      </c>
      <c r="AP440" t="s">
        <v>203</v>
      </c>
      <c r="AQ440" t="s">
        <v>136</v>
      </c>
      <c r="AR440" s="1">
        <v>45233</v>
      </c>
      <c r="AS440" t="s">
        <v>118</v>
      </c>
      <c r="AT440" t="s">
        <v>71</v>
      </c>
      <c r="AU440">
        <v>-317</v>
      </c>
      <c r="AV440" t="s">
        <v>179</v>
      </c>
    </row>
    <row r="441" spans="1:48" x14ac:dyDescent="0.25">
      <c r="A441" t="s">
        <v>728</v>
      </c>
      <c r="B441" t="s">
        <v>229</v>
      </c>
      <c r="C441" t="s">
        <v>140</v>
      </c>
      <c r="D441" t="s">
        <v>51</v>
      </c>
      <c r="E441">
        <v>22</v>
      </c>
      <c r="F441" t="s">
        <v>192</v>
      </c>
      <c r="G441" t="s">
        <v>101</v>
      </c>
      <c r="H441" t="s">
        <v>102</v>
      </c>
      <c r="I441" t="s">
        <v>236</v>
      </c>
      <c r="J441" t="s">
        <v>237</v>
      </c>
      <c r="K441" t="s">
        <v>238</v>
      </c>
      <c r="L441" t="s">
        <v>58</v>
      </c>
      <c r="M441" t="s">
        <v>59</v>
      </c>
      <c r="N441" t="s">
        <v>88</v>
      </c>
      <c r="O441" t="s">
        <v>89</v>
      </c>
      <c r="P441" s="1">
        <v>44202</v>
      </c>
      <c r="Q441">
        <v>3.4</v>
      </c>
      <c r="R441" t="s">
        <v>75</v>
      </c>
      <c r="S441" t="s">
        <v>130</v>
      </c>
      <c r="T441" t="s">
        <v>131</v>
      </c>
      <c r="U441">
        <v>15</v>
      </c>
      <c r="V441">
        <v>2</v>
      </c>
      <c r="W441">
        <v>2980</v>
      </c>
      <c r="X441">
        <v>0</v>
      </c>
      <c r="Y441">
        <v>422</v>
      </c>
      <c r="Z441">
        <v>3402</v>
      </c>
      <c r="AA441">
        <v>349</v>
      </c>
      <c r="AB441" t="s">
        <v>151</v>
      </c>
      <c r="AC441">
        <v>12.9</v>
      </c>
      <c r="AD441">
        <v>44</v>
      </c>
      <c r="AE441">
        <v>43</v>
      </c>
      <c r="AF441" t="s">
        <v>112</v>
      </c>
      <c r="AG441">
        <v>16</v>
      </c>
      <c r="AH441" t="s">
        <v>113</v>
      </c>
      <c r="AI441" t="s">
        <v>152</v>
      </c>
      <c r="AJ441" t="s">
        <v>188</v>
      </c>
      <c r="AK441" t="s">
        <v>70</v>
      </c>
      <c r="AL441" t="s">
        <v>70</v>
      </c>
      <c r="AM441" t="s">
        <v>71</v>
      </c>
      <c r="AN441" t="s">
        <v>243</v>
      </c>
      <c r="AO441" t="s">
        <v>73</v>
      </c>
      <c r="AP441" t="s">
        <v>221</v>
      </c>
      <c r="AQ441" t="s">
        <v>98</v>
      </c>
      <c r="AR441" s="1">
        <v>45062</v>
      </c>
      <c r="AS441" t="s">
        <v>118</v>
      </c>
      <c r="AT441" t="s">
        <v>71</v>
      </c>
      <c r="AU441">
        <v>768</v>
      </c>
      <c r="AV441" t="s">
        <v>76</v>
      </c>
    </row>
    <row r="442" spans="1:48" x14ac:dyDescent="0.25">
      <c r="A442" t="s">
        <v>729</v>
      </c>
      <c r="B442" t="s">
        <v>166</v>
      </c>
      <c r="C442" t="s">
        <v>272</v>
      </c>
      <c r="D442" t="s">
        <v>51</v>
      </c>
      <c r="E442">
        <v>35</v>
      </c>
      <c r="F442" t="s">
        <v>382</v>
      </c>
      <c r="G442" t="s">
        <v>234</v>
      </c>
      <c r="H442" t="s">
        <v>235</v>
      </c>
      <c r="I442" t="s">
        <v>253</v>
      </c>
      <c r="J442" t="s">
        <v>254</v>
      </c>
      <c r="K442" t="s">
        <v>255</v>
      </c>
      <c r="L442" t="s">
        <v>126</v>
      </c>
      <c r="M442" t="s">
        <v>212</v>
      </c>
      <c r="N442" t="s">
        <v>88</v>
      </c>
      <c r="O442" t="s">
        <v>149</v>
      </c>
      <c r="P442" s="1">
        <v>44736</v>
      </c>
      <c r="Q442">
        <v>1.9</v>
      </c>
      <c r="R442" t="s">
        <v>150</v>
      </c>
      <c r="S442" t="s">
        <v>91</v>
      </c>
      <c r="T442" t="s">
        <v>92</v>
      </c>
      <c r="U442">
        <v>8</v>
      </c>
      <c r="V442">
        <v>1</v>
      </c>
      <c r="W442">
        <v>1917</v>
      </c>
      <c r="X442">
        <v>0</v>
      </c>
      <c r="Y442">
        <v>422</v>
      </c>
      <c r="Z442">
        <v>2339</v>
      </c>
      <c r="AA442">
        <v>519</v>
      </c>
      <c r="AB442" t="s">
        <v>65</v>
      </c>
      <c r="AC442">
        <v>17.8</v>
      </c>
      <c r="AD442">
        <v>45</v>
      </c>
      <c r="AE442">
        <v>32</v>
      </c>
      <c r="AF442" t="s">
        <v>93</v>
      </c>
      <c r="AG442">
        <v>37</v>
      </c>
      <c r="AH442" t="s">
        <v>94</v>
      </c>
      <c r="AI442" t="s">
        <v>114</v>
      </c>
      <c r="AJ442" t="s">
        <v>188</v>
      </c>
      <c r="AK442" t="s">
        <v>70</v>
      </c>
      <c r="AL442" t="s">
        <v>71</v>
      </c>
      <c r="AM442" t="s">
        <v>70</v>
      </c>
      <c r="AN442" t="s">
        <v>133</v>
      </c>
      <c r="AO442" t="s">
        <v>72</v>
      </c>
      <c r="AP442" t="s">
        <v>72</v>
      </c>
      <c r="AQ442" t="s">
        <v>136</v>
      </c>
      <c r="AR442" s="1">
        <v>45377</v>
      </c>
      <c r="AS442" t="s">
        <v>75</v>
      </c>
      <c r="AT442" t="s">
        <v>70</v>
      </c>
      <c r="AU442">
        <v>666</v>
      </c>
      <c r="AV442" t="s">
        <v>76</v>
      </c>
    </row>
    <row r="443" spans="1:48" x14ac:dyDescent="0.25">
      <c r="A443" t="s">
        <v>730</v>
      </c>
      <c r="B443" t="s">
        <v>251</v>
      </c>
      <c r="C443" t="s">
        <v>252</v>
      </c>
      <c r="D443" t="s">
        <v>51</v>
      </c>
      <c r="E443">
        <v>37</v>
      </c>
      <c r="F443" t="s">
        <v>248</v>
      </c>
      <c r="G443" t="s">
        <v>242</v>
      </c>
      <c r="H443" t="s">
        <v>54</v>
      </c>
      <c r="I443" t="s">
        <v>171</v>
      </c>
      <c r="J443" t="s">
        <v>172</v>
      </c>
      <c r="K443" t="s">
        <v>173</v>
      </c>
      <c r="L443" t="s">
        <v>174</v>
      </c>
      <c r="M443" t="s">
        <v>212</v>
      </c>
      <c r="N443" t="s">
        <v>128</v>
      </c>
      <c r="O443" t="s">
        <v>149</v>
      </c>
      <c r="P443" s="1">
        <v>39061</v>
      </c>
      <c r="Q443">
        <v>17.5</v>
      </c>
      <c r="R443" t="s">
        <v>62</v>
      </c>
      <c r="S443" t="s">
        <v>63</v>
      </c>
      <c r="T443" t="s">
        <v>64</v>
      </c>
      <c r="U443">
        <v>0</v>
      </c>
      <c r="V443">
        <v>0</v>
      </c>
      <c r="W443">
        <v>4739</v>
      </c>
      <c r="X443">
        <v>0</v>
      </c>
      <c r="Y443">
        <v>422</v>
      </c>
      <c r="Z443">
        <v>5161</v>
      </c>
      <c r="AA443">
        <v>535</v>
      </c>
      <c r="AB443" t="s">
        <v>65</v>
      </c>
      <c r="AC443">
        <v>13.6</v>
      </c>
      <c r="AD443">
        <v>22</v>
      </c>
      <c r="AE443">
        <v>60</v>
      </c>
      <c r="AF443" t="s">
        <v>66</v>
      </c>
      <c r="AG443">
        <v>19</v>
      </c>
      <c r="AH443" t="s">
        <v>113</v>
      </c>
      <c r="AI443" t="s">
        <v>95</v>
      </c>
      <c r="AJ443" t="s">
        <v>72</v>
      </c>
      <c r="AK443" t="s">
        <v>71</v>
      </c>
      <c r="AL443" t="s">
        <v>71</v>
      </c>
      <c r="AM443" t="s">
        <v>70</v>
      </c>
      <c r="AN443" t="s">
        <v>270</v>
      </c>
      <c r="AO443" t="s">
        <v>73</v>
      </c>
      <c r="AP443" t="s">
        <v>72</v>
      </c>
      <c r="AQ443" t="s">
        <v>74</v>
      </c>
      <c r="AR443" s="1">
        <v>44148</v>
      </c>
      <c r="AS443" t="s">
        <v>118</v>
      </c>
      <c r="AT443" t="s">
        <v>71</v>
      </c>
      <c r="AU443">
        <v>1562</v>
      </c>
      <c r="AV443" t="s">
        <v>76</v>
      </c>
    </row>
    <row r="444" spans="1:48" x14ac:dyDescent="0.25">
      <c r="A444" t="s">
        <v>731</v>
      </c>
      <c r="B444" t="s">
        <v>267</v>
      </c>
      <c r="C444" t="s">
        <v>155</v>
      </c>
      <c r="D444" t="s">
        <v>51</v>
      </c>
      <c r="E444">
        <v>34</v>
      </c>
      <c r="F444" t="s">
        <v>224</v>
      </c>
      <c r="G444" t="s">
        <v>298</v>
      </c>
      <c r="H444" t="s">
        <v>299</v>
      </c>
      <c r="I444" t="s">
        <v>225</v>
      </c>
      <c r="J444" t="s">
        <v>226</v>
      </c>
      <c r="K444" t="s">
        <v>105</v>
      </c>
      <c r="L444" t="s">
        <v>174</v>
      </c>
      <c r="M444" t="s">
        <v>275</v>
      </c>
      <c r="N444" t="s">
        <v>88</v>
      </c>
      <c r="O444" t="s">
        <v>176</v>
      </c>
      <c r="P444" s="1">
        <v>39790</v>
      </c>
      <c r="Q444">
        <v>15.5</v>
      </c>
      <c r="R444" t="s">
        <v>150</v>
      </c>
      <c r="S444" t="s">
        <v>110</v>
      </c>
      <c r="T444" t="s">
        <v>111</v>
      </c>
      <c r="U444">
        <v>14</v>
      </c>
      <c r="V444">
        <v>2</v>
      </c>
      <c r="W444">
        <v>2149</v>
      </c>
      <c r="X444">
        <v>0</v>
      </c>
      <c r="Y444">
        <v>422</v>
      </c>
      <c r="Z444">
        <v>2571</v>
      </c>
      <c r="AA444">
        <v>548</v>
      </c>
      <c r="AB444" t="s">
        <v>65</v>
      </c>
      <c r="AC444">
        <v>15.8</v>
      </c>
      <c r="AD444">
        <v>29</v>
      </c>
      <c r="AE444">
        <v>48</v>
      </c>
      <c r="AF444" t="s">
        <v>66</v>
      </c>
      <c r="AG444">
        <v>23</v>
      </c>
      <c r="AH444" t="s">
        <v>113</v>
      </c>
      <c r="AI444" t="s">
        <v>152</v>
      </c>
      <c r="AJ444" t="s">
        <v>69</v>
      </c>
      <c r="AK444" t="s">
        <v>71</v>
      </c>
      <c r="AL444" t="s">
        <v>71</v>
      </c>
      <c r="AM444" t="s">
        <v>70</v>
      </c>
      <c r="AN444" t="s">
        <v>72</v>
      </c>
      <c r="AO444" t="s">
        <v>178</v>
      </c>
      <c r="AP444" t="s">
        <v>221</v>
      </c>
      <c r="AQ444" t="s">
        <v>74</v>
      </c>
      <c r="AR444" s="1">
        <v>42049</v>
      </c>
      <c r="AS444" t="s">
        <v>118</v>
      </c>
      <c r="AT444" t="s">
        <v>71</v>
      </c>
      <c r="AU444">
        <v>-268</v>
      </c>
      <c r="AV444" t="s">
        <v>179</v>
      </c>
    </row>
    <row r="445" spans="1:48" x14ac:dyDescent="0.25">
      <c r="A445" t="s">
        <v>732</v>
      </c>
      <c r="B445" t="s">
        <v>166</v>
      </c>
      <c r="C445" t="s">
        <v>79</v>
      </c>
      <c r="D445" t="s">
        <v>51</v>
      </c>
      <c r="E445">
        <v>36</v>
      </c>
      <c r="F445" t="s">
        <v>291</v>
      </c>
      <c r="G445" t="s">
        <v>234</v>
      </c>
      <c r="H445" t="s">
        <v>235</v>
      </c>
      <c r="I445" t="s">
        <v>225</v>
      </c>
      <c r="J445" t="s">
        <v>226</v>
      </c>
      <c r="K445" t="s">
        <v>105</v>
      </c>
      <c r="L445" t="s">
        <v>106</v>
      </c>
      <c r="M445" t="s">
        <v>275</v>
      </c>
      <c r="N445" t="s">
        <v>265</v>
      </c>
      <c r="O445" t="s">
        <v>176</v>
      </c>
      <c r="P445" s="1">
        <v>41387</v>
      </c>
      <c r="Q445">
        <v>11.1</v>
      </c>
      <c r="R445" t="s">
        <v>90</v>
      </c>
      <c r="S445" t="s">
        <v>163</v>
      </c>
      <c r="T445" t="s">
        <v>164</v>
      </c>
      <c r="U445">
        <v>4</v>
      </c>
      <c r="V445">
        <v>0</v>
      </c>
      <c r="W445">
        <v>1917</v>
      </c>
      <c r="X445">
        <v>0</v>
      </c>
      <c r="Y445">
        <v>422</v>
      </c>
      <c r="Z445">
        <v>2339</v>
      </c>
      <c r="AA445">
        <v>319</v>
      </c>
      <c r="AB445" t="s">
        <v>151</v>
      </c>
      <c r="AC445">
        <v>12.6</v>
      </c>
      <c r="AD445">
        <v>20</v>
      </c>
      <c r="AE445">
        <v>66</v>
      </c>
      <c r="AF445" t="s">
        <v>132</v>
      </c>
      <c r="AG445">
        <v>40</v>
      </c>
      <c r="AH445" t="s">
        <v>94</v>
      </c>
      <c r="AI445" t="s">
        <v>68</v>
      </c>
      <c r="AJ445" t="s">
        <v>72</v>
      </c>
      <c r="AK445" t="s">
        <v>71</v>
      </c>
      <c r="AL445" t="s">
        <v>71</v>
      </c>
      <c r="AM445" t="s">
        <v>70</v>
      </c>
      <c r="AN445" t="s">
        <v>133</v>
      </c>
      <c r="AO445" t="s">
        <v>116</v>
      </c>
      <c r="AP445" t="s">
        <v>72</v>
      </c>
      <c r="AQ445" t="s">
        <v>98</v>
      </c>
      <c r="AR445" s="1">
        <v>43221</v>
      </c>
      <c r="AS445" t="s">
        <v>198</v>
      </c>
      <c r="AT445" t="s">
        <v>71</v>
      </c>
      <c r="AU445">
        <v>1509</v>
      </c>
      <c r="AV445" t="s">
        <v>76</v>
      </c>
    </row>
    <row r="446" spans="1:48" x14ac:dyDescent="0.25">
      <c r="A446" t="s">
        <v>733</v>
      </c>
      <c r="B446" t="s">
        <v>139</v>
      </c>
      <c r="C446" t="s">
        <v>332</v>
      </c>
      <c r="D446" t="s">
        <v>51</v>
      </c>
      <c r="E446">
        <v>45</v>
      </c>
      <c r="F446" t="s">
        <v>322</v>
      </c>
      <c r="G446" t="s">
        <v>279</v>
      </c>
      <c r="H446" t="s">
        <v>280</v>
      </c>
      <c r="I446" t="s">
        <v>185</v>
      </c>
      <c r="J446" t="s">
        <v>186</v>
      </c>
      <c r="K446" t="s">
        <v>187</v>
      </c>
      <c r="L446" t="s">
        <v>58</v>
      </c>
      <c r="M446" t="s">
        <v>249</v>
      </c>
      <c r="N446" t="s">
        <v>148</v>
      </c>
      <c r="O446" t="s">
        <v>176</v>
      </c>
      <c r="P446" s="1">
        <v>40186</v>
      </c>
      <c r="Q446">
        <v>14.4</v>
      </c>
      <c r="R446" t="s">
        <v>62</v>
      </c>
      <c r="S446" t="s">
        <v>130</v>
      </c>
      <c r="T446" t="s">
        <v>131</v>
      </c>
      <c r="U446">
        <v>9</v>
      </c>
      <c r="V446">
        <v>1</v>
      </c>
      <c r="W446">
        <v>6618</v>
      </c>
      <c r="X446">
        <v>0</v>
      </c>
      <c r="Y446">
        <v>266</v>
      </c>
      <c r="Z446">
        <v>6884</v>
      </c>
      <c r="AA446">
        <v>372</v>
      </c>
      <c r="AB446" t="s">
        <v>65</v>
      </c>
      <c r="AC446">
        <v>20.7</v>
      </c>
      <c r="AD446">
        <v>44</v>
      </c>
      <c r="AE446">
        <v>46</v>
      </c>
      <c r="AF446" t="s">
        <v>112</v>
      </c>
      <c r="AG446">
        <v>39</v>
      </c>
      <c r="AH446" t="s">
        <v>94</v>
      </c>
      <c r="AI446" t="s">
        <v>95</v>
      </c>
      <c r="AJ446" t="s">
        <v>72</v>
      </c>
      <c r="AK446" t="s">
        <v>70</v>
      </c>
      <c r="AL446" t="s">
        <v>70</v>
      </c>
      <c r="AM446" t="s">
        <v>70</v>
      </c>
      <c r="AN446" t="s">
        <v>243</v>
      </c>
      <c r="AO446" t="s">
        <v>135</v>
      </c>
      <c r="AP446" t="s">
        <v>72</v>
      </c>
      <c r="AQ446" t="s">
        <v>117</v>
      </c>
      <c r="AR446" s="1">
        <v>41883</v>
      </c>
      <c r="AS446" t="s">
        <v>118</v>
      </c>
      <c r="AT446" t="s">
        <v>71</v>
      </c>
      <c r="AU446">
        <v>1162</v>
      </c>
      <c r="AV446" t="s">
        <v>76</v>
      </c>
    </row>
    <row r="447" spans="1:48" x14ac:dyDescent="0.25">
      <c r="A447" t="s">
        <v>734</v>
      </c>
      <c r="B447" t="s">
        <v>229</v>
      </c>
      <c r="C447" t="s">
        <v>369</v>
      </c>
      <c r="D447" t="s">
        <v>122</v>
      </c>
      <c r="E447">
        <v>24</v>
      </c>
      <c r="F447" t="s">
        <v>291</v>
      </c>
      <c r="G447" t="s">
        <v>279</v>
      </c>
      <c r="H447" t="s">
        <v>280</v>
      </c>
      <c r="I447" t="s">
        <v>185</v>
      </c>
      <c r="J447" t="s">
        <v>186</v>
      </c>
      <c r="K447" t="s">
        <v>187</v>
      </c>
      <c r="L447" t="s">
        <v>126</v>
      </c>
      <c r="M447" t="s">
        <v>249</v>
      </c>
      <c r="N447" t="s">
        <v>88</v>
      </c>
      <c r="O447" t="s">
        <v>176</v>
      </c>
      <c r="P447" s="1">
        <v>41023</v>
      </c>
      <c r="Q447">
        <v>12.1</v>
      </c>
      <c r="R447" t="s">
        <v>75</v>
      </c>
      <c r="S447" t="s">
        <v>219</v>
      </c>
      <c r="T447" t="s">
        <v>220</v>
      </c>
      <c r="U447">
        <v>0</v>
      </c>
      <c r="V447">
        <v>0</v>
      </c>
      <c r="W447">
        <v>6618</v>
      </c>
      <c r="X447">
        <v>0</v>
      </c>
      <c r="Y447">
        <v>266</v>
      </c>
      <c r="Z447">
        <v>6884</v>
      </c>
      <c r="AA447">
        <v>401</v>
      </c>
      <c r="AB447" t="s">
        <v>65</v>
      </c>
      <c r="AC447">
        <v>18.600000000000001</v>
      </c>
      <c r="AD447">
        <v>33</v>
      </c>
      <c r="AE447">
        <v>45</v>
      </c>
      <c r="AF447" t="s">
        <v>93</v>
      </c>
      <c r="AG447">
        <v>34</v>
      </c>
      <c r="AH447" t="s">
        <v>67</v>
      </c>
      <c r="AI447" t="s">
        <v>114</v>
      </c>
      <c r="AJ447" t="s">
        <v>69</v>
      </c>
      <c r="AK447" t="s">
        <v>70</v>
      </c>
      <c r="AL447" t="s">
        <v>70</v>
      </c>
      <c r="AM447" t="s">
        <v>70</v>
      </c>
      <c r="AN447" t="s">
        <v>72</v>
      </c>
      <c r="AO447" t="s">
        <v>73</v>
      </c>
      <c r="AP447" t="s">
        <v>72</v>
      </c>
      <c r="AQ447" t="s">
        <v>117</v>
      </c>
      <c r="AR447" s="1">
        <v>44614</v>
      </c>
      <c r="AS447" t="s">
        <v>198</v>
      </c>
      <c r="AT447" t="s">
        <v>71</v>
      </c>
      <c r="AU447">
        <v>730</v>
      </c>
      <c r="AV447" t="s">
        <v>76</v>
      </c>
    </row>
    <row r="448" spans="1:48" x14ac:dyDescent="0.25">
      <c r="A448" t="s">
        <v>735</v>
      </c>
      <c r="B448" t="s">
        <v>263</v>
      </c>
      <c r="C448" t="s">
        <v>501</v>
      </c>
      <c r="D448" t="s">
        <v>122</v>
      </c>
      <c r="E448">
        <v>32</v>
      </c>
      <c r="F448" t="s">
        <v>322</v>
      </c>
      <c r="G448" t="s">
        <v>169</v>
      </c>
      <c r="H448" t="s">
        <v>170</v>
      </c>
      <c r="I448" t="s">
        <v>83</v>
      </c>
      <c r="J448" t="s">
        <v>84</v>
      </c>
      <c r="K448" t="s">
        <v>85</v>
      </c>
      <c r="L448" t="s">
        <v>201</v>
      </c>
      <c r="M448" t="s">
        <v>275</v>
      </c>
      <c r="N448" t="s">
        <v>265</v>
      </c>
      <c r="O448" t="s">
        <v>109</v>
      </c>
      <c r="P448" s="1">
        <v>42592</v>
      </c>
      <c r="Q448">
        <v>7.8</v>
      </c>
      <c r="R448" t="s">
        <v>208</v>
      </c>
      <c r="S448" t="s">
        <v>91</v>
      </c>
      <c r="T448" t="s">
        <v>92</v>
      </c>
      <c r="U448">
        <v>5</v>
      </c>
      <c r="V448">
        <v>0</v>
      </c>
      <c r="W448">
        <v>3294</v>
      </c>
      <c r="X448">
        <v>0</v>
      </c>
      <c r="Y448">
        <v>422</v>
      </c>
      <c r="Z448">
        <v>3716</v>
      </c>
      <c r="AA448">
        <v>378</v>
      </c>
      <c r="AB448" t="s">
        <v>65</v>
      </c>
      <c r="AC448">
        <v>18.399999999999999</v>
      </c>
      <c r="AD448">
        <v>44</v>
      </c>
      <c r="AE448">
        <v>66</v>
      </c>
      <c r="AF448" t="s">
        <v>112</v>
      </c>
      <c r="AG448">
        <v>39</v>
      </c>
      <c r="AH448" t="s">
        <v>94</v>
      </c>
      <c r="AI448" t="s">
        <v>114</v>
      </c>
      <c r="AJ448" t="s">
        <v>188</v>
      </c>
      <c r="AK448" t="s">
        <v>70</v>
      </c>
      <c r="AL448" t="s">
        <v>70</v>
      </c>
      <c r="AM448" t="s">
        <v>70</v>
      </c>
      <c r="AN448" t="s">
        <v>72</v>
      </c>
      <c r="AO448" t="s">
        <v>72</v>
      </c>
      <c r="AP448" t="s">
        <v>178</v>
      </c>
      <c r="AQ448" t="s">
        <v>74</v>
      </c>
      <c r="AR448" s="1">
        <v>45496</v>
      </c>
      <c r="AS448" t="s">
        <v>198</v>
      </c>
      <c r="AT448" t="s">
        <v>71</v>
      </c>
      <c r="AU448">
        <v>1673</v>
      </c>
      <c r="AV448" t="s">
        <v>76</v>
      </c>
    </row>
    <row r="449" spans="1:48" x14ac:dyDescent="0.25">
      <c r="A449" t="s">
        <v>736</v>
      </c>
      <c r="B449" t="s">
        <v>259</v>
      </c>
      <c r="C449" t="s">
        <v>140</v>
      </c>
      <c r="D449" t="s">
        <v>51</v>
      </c>
      <c r="E449">
        <v>21</v>
      </c>
      <c r="F449" t="s">
        <v>168</v>
      </c>
      <c r="G449" t="s">
        <v>193</v>
      </c>
      <c r="H449" t="s">
        <v>194</v>
      </c>
      <c r="I449" t="s">
        <v>268</v>
      </c>
      <c r="J449" t="s">
        <v>269</v>
      </c>
      <c r="K449" t="s">
        <v>173</v>
      </c>
      <c r="L449" t="s">
        <v>174</v>
      </c>
      <c r="M449" t="s">
        <v>296</v>
      </c>
      <c r="N449" t="s">
        <v>88</v>
      </c>
      <c r="O449" t="s">
        <v>89</v>
      </c>
      <c r="P449" s="1">
        <v>40919</v>
      </c>
      <c r="Q449">
        <v>12.4</v>
      </c>
      <c r="R449" t="s">
        <v>150</v>
      </c>
      <c r="S449" t="s">
        <v>110</v>
      </c>
      <c r="T449" t="s">
        <v>111</v>
      </c>
      <c r="U449">
        <v>6</v>
      </c>
      <c r="V449">
        <v>1</v>
      </c>
      <c r="W449">
        <v>2259</v>
      </c>
      <c r="X449">
        <v>0</v>
      </c>
      <c r="Y449">
        <v>422</v>
      </c>
      <c r="Z449">
        <v>2681</v>
      </c>
      <c r="AA449">
        <v>451</v>
      </c>
      <c r="AB449" t="s">
        <v>65</v>
      </c>
      <c r="AC449">
        <v>15.1</v>
      </c>
      <c r="AD449">
        <v>24</v>
      </c>
      <c r="AE449">
        <v>53</v>
      </c>
      <c r="AF449" t="s">
        <v>132</v>
      </c>
      <c r="AG449">
        <v>31</v>
      </c>
      <c r="AH449" t="s">
        <v>67</v>
      </c>
      <c r="AI449" t="s">
        <v>152</v>
      </c>
      <c r="AJ449" t="s">
        <v>188</v>
      </c>
      <c r="AK449" t="s">
        <v>70</v>
      </c>
      <c r="AL449" t="s">
        <v>71</v>
      </c>
      <c r="AM449" t="s">
        <v>70</v>
      </c>
      <c r="AN449" t="s">
        <v>72</v>
      </c>
      <c r="AO449" t="s">
        <v>221</v>
      </c>
      <c r="AP449" t="s">
        <v>134</v>
      </c>
      <c r="AQ449" t="s">
        <v>117</v>
      </c>
      <c r="AR449" s="1">
        <v>45433</v>
      </c>
      <c r="AS449" t="s">
        <v>198</v>
      </c>
      <c r="AT449" t="s">
        <v>71</v>
      </c>
      <c r="AU449">
        <v>1423</v>
      </c>
      <c r="AV449" t="s">
        <v>76</v>
      </c>
    </row>
    <row r="450" spans="1:48" x14ac:dyDescent="0.25">
      <c r="A450" t="s">
        <v>737</v>
      </c>
      <c r="B450" t="s">
        <v>277</v>
      </c>
      <c r="C450" t="s">
        <v>182</v>
      </c>
      <c r="D450" t="s">
        <v>51</v>
      </c>
      <c r="E450">
        <v>20</v>
      </c>
      <c r="F450" t="s">
        <v>123</v>
      </c>
      <c r="G450" t="s">
        <v>124</v>
      </c>
      <c r="H450" t="s">
        <v>125</v>
      </c>
      <c r="I450" t="s">
        <v>236</v>
      </c>
      <c r="J450" t="s">
        <v>237</v>
      </c>
      <c r="K450" t="s">
        <v>238</v>
      </c>
      <c r="L450" t="s">
        <v>126</v>
      </c>
      <c r="M450" t="s">
        <v>127</v>
      </c>
      <c r="N450" t="s">
        <v>128</v>
      </c>
      <c r="O450" t="s">
        <v>89</v>
      </c>
      <c r="P450" s="1">
        <v>39463</v>
      </c>
      <c r="Q450">
        <v>16.399999999999999</v>
      </c>
      <c r="R450" t="s">
        <v>75</v>
      </c>
      <c r="S450" t="s">
        <v>91</v>
      </c>
      <c r="T450" t="s">
        <v>92</v>
      </c>
      <c r="U450">
        <v>15</v>
      </c>
      <c r="V450">
        <v>2</v>
      </c>
      <c r="W450">
        <v>2730</v>
      </c>
      <c r="X450">
        <v>1576</v>
      </c>
      <c r="Y450">
        <v>422</v>
      </c>
      <c r="Z450">
        <v>4728</v>
      </c>
      <c r="AA450">
        <v>475</v>
      </c>
      <c r="AB450" t="s">
        <v>65</v>
      </c>
      <c r="AC450">
        <v>13.9</v>
      </c>
      <c r="AD450">
        <v>21</v>
      </c>
      <c r="AE450">
        <v>67</v>
      </c>
      <c r="AF450" t="s">
        <v>132</v>
      </c>
      <c r="AG450">
        <v>34</v>
      </c>
      <c r="AH450" t="s">
        <v>67</v>
      </c>
      <c r="AI450" t="s">
        <v>114</v>
      </c>
      <c r="AJ450" t="s">
        <v>96</v>
      </c>
      <c r="AK450" t="s">
        <v>70</v>
      </c>
      <c r="AL450" t="s">
        <v>71</v>
      </c>
      <c r="AM450" t="s">
        <v>70</v>
      </c>
      <c r="AN450" t="s">
        <v>202</v>
      </c>
      <c r="AO450" t="s">
        <v>116</v>
      </c>
      <c r="AP450" t="s">
        <v>72</v>
      </c>
      <c r="AQ450" t="s">
        <v>136</v>
      </c>
      <c r="AR450" s="1">
        <v>40357</v>
      </c>
      <c r="AS450" t="s">
        <v>75</v>
      </c>
      <c r="AT450" t="s">
        <v>71</v>
      </c>
      <c r="AU450">
        <v>307</v>
      </c>
      <c r="AV450" t="s">
        <v>76</v>
      </c>
    </row>
    <row r="451" spans="1:48" x14ac:dyDescent="0.25">
      <c r="A451" t="s">
        <v>738</v>
      </c>
      <c r="B451" t="s">
        <v>259</v>
      </c>
      <c r="C451" t="s">
        <v>252</v>
      </c>
      <c r="D451" t="s">
        <v>51</v>
      </c>
      <c r="E451">
        <v>28</v>
      </c>
      <c r="F451" t="s">
        <v>214</v>
      </c>
      <c r="G451" t="s">
        <v>301</v>
      </c>
      <c r="H451" t="s">
        <v>302</v>
      </c>
      <c r="I451" t="s">
        <v>225</v>
      </c>
      <c r="J451" t="s">
        <v>226</v>
      </c>
      <c r="K451" t="s">
        <v>105</v>
      </c>
      <c r="L451" t="s">
        <v>126</v>
      </c>
      <c r="M451" t="s">
        <v>296</v>
      </c>
      <c r="N451" t="s">
        <v>148</v>
      </c>
      <c r="O451" t="s">
        <v>61</v>
      </c>
      <c r="P451" s="1">
        <v>41775</v>
      </c>
      <c r="Q451">
        <v>10</v>
      </c>
      <c r="R451" t="s">
        <v>129</v>
      </c>
      <c r="S451" t="s">
        <v>130</v>
      </c>
      <c r="T451" t="s">
        <v>131</v>
      </c>
      <c r="U451">
        <v>11</v>
      </c>
      <c r="V451">
        <v>1</v>
      </c>
      <c r="W451">
        <v>4188</v>
      </c>
      <c r="X451">
        <v>0</v>
      </c>
      <c r="Y451">
        <v>266</v>
      </c>
      <c r="Z451">
        <v>4454</v>
      </c>
      <c r="AA451">
        <v>302</v>
      </c>
      <c r="AB451" t="s">
        <v>151</v>
      </c>
      <c r="AC451">
        <v>16.899999999999999</v>
      </c>
      <c r="AD451">
        <v>82</v>
      </c>
      <c r="AE451">
        <v>63</v>
      </c>
      <c r="AF451" t="s">
        <v>132</v>
      </c>
      <c r="AG451">
        <v>26</v>
      </c>
      <c r="AH451" t="s">
        <v>113</v>
      </c>
      <c r="AI451" t="s">
        <v>68</v>
      </c>
      <c r="AJ451" t="s">
        <v>96</v>
      </c>
      <c r="AK451" t="s">
        <v>70</v>
      </c>
      <c r="AL451" t="s">
        <v>70</v>
      </c>
      <c r="AM451" t="s">
        <v>70</v>
      </c>
      <c r="AN451" t="s">
        <v>243</v>
      </c>
      <c r="AO451" t="s">
        <v>178</v>
      </c>
      <c r="AP451" t="s">
        <v>72</v>
      </c>
      <c r="AQ451" t="s">
        <v>98</v>
      </c>
      <c r="AR451" s="1">
        <v>43898</v>
      </c>
      <c r="AS451" t="s">
        <v>198</v>
      </c>
      <c r="AT451" t="s">
        <v>71</v>
      </c>
      <c r="AU451">
        <v>-372</v>
      </c>
      <c r="AV451" t="s">
        <v>179</v>
      </c>
    </row>
    <row r="452" spans="1:48" x14ac:dyDescent="0.25">
      <c r="A452" t="s">
        <v>739</v>
      </c>
      <c r="B452" t="s">
        <v>251</v>
      </c>
      <c r="C452" t="s">
        <v>50</v>
      </c>
      <c r="D452" t="s">
        <v>51</v>
      </c>
      <c r="E452">
        <v>26</v>
      </c>
      <c r="F452" t="s">
        <v>325</v>
      </c>
      <c r="G452" t="s">
        <v>234</v>
      </c>
      <c r="H452" t="s">
        <v>235</v>
      </c>
      <c r="I452" t="s">
        <v>217</v>
      </c>
      <c r="J452" t="s">
        <v>218</v>
      </c>
      <c r="K452" t="s">
        <v>146</v>
      </c>
      <c r="L452" t="s">
        <v>126</v>
      </c>
      <c r="M452" t="s">
        <v>107</v>
      </c>
      <c r="N452" t="s">
        <v>162</v>
      </c>
      <c r="O452" t="s">
        <v>109</v>
      </c>
      <c r="P452" s="1">
        <v>41534</v>
      </c>
      <c r="Q452">
        <v>10.7</v>
      </c>
      <c r="R452" t="s">
        <v>129</v>
      </c>
      <c r="S452" t="s">
        <v>163</v>
      </c>
      <c r="T452" t="s">
        <v>164</v>
      </c>
      <c r="U452">
        <v>8</v>
      </c>
      <c r="V452">
        <v>1</v>
      </c>
      <c r="W452">
        <v>1917</v>
      </c>
      <c r="X452">
        <v>1568</v>
      </c>
      <c r="Y452">
        <v>422</v>
      </c>
      <c r="Z452">
        <v>3907</v>
      </c>
      <c r="AA452">
        <v>507</v>
      </c>
      <c r="AB452" t="s">
        <v>65</v>
      </c>
      <c r="AC452">
        <v>15.6</v>
      </c>
      <c r="AD452">
        <v>52</v>
      </c>
      <c r="AE452">
        <v>80</v>
      </c>
      <c r="AF452" t="s">
        <v>132</v>
      </c>
      <c r="AG452">
        <v>38</v>
      </c>
      <c r="AH452" t="s">
        <v>94</v>
      </c>
      <c r="AI452" t="s">
        <v>95</v>
      </c>
      <c r="AJ452" t="s">
        <v>96</v>
      </c>
      <c r="AK452" t="s">
        <v>70</v>
      </c>
      <c r="AL452" t="s">
        <v>70</v>
      </c>
      <c r="AM452" t="s">
        <v>70</v>
      </c>
      <c r="AN452" t="s">
        <v>243</v>
      </c>
      <c r="AO452" t="s">
        <v>221</v>
      </c>
      <c r="AP452" t="s">
        <v>72</v>
      </c>
      <c r="AQ452" t="s">
        <v>117</v>
      </c>
      <c r="AR452" s="1">
        <v>45443</v>
      </c>
      <c r="AS452" t="s">
        <v>137</v>
      </c>
      <c r="AT452" t="s">
        <v>71</v>
      </c>
      <c r="AU452">
        <v>-36</v>
      </c>
      <c r="AV452" t="s">
        <v>179</v>
      </c>
    </row>
    <row r="453" spans="1:48" x14ac:dyDescent="0.25">
      <c r="A453" t="s">
        <v>740</v>
      </c>
      <c r="B453" t="s">
        <v>277</v>
      </c>
      <c r="C453" t="s">
        <v>233</v>
      </c>
      <c r="D453" t="s">
        <v>51</v>
      </c>
      <c r="E453">
        <v>19</v>
      </c>
      <c r="F453" t="s">
        <v>192</v>
      </c>
      <c r="G453" t="s">
        <v>53</v>
      </c>
      <c r="H453" t="s">
        <v>54</v>
      </c>
      <c r="I453" t="s">
        <v>171</v>
      </c>
      <c r="J453" t="s">
        <v>172</v>
      </c>
      <c r="K453" t="s">
        <v>173</v>
      </c>
      <c r="L453" t="s">
        <v>58</v>
      </c>
      <c r="M453" t="s">
        <v>161</v>
      </c>
      <c r="N453" t="s">
        <v>60</v>
      </c>
      <c r="O453" t="s">
        <v>149</v>
      </c>
      <c r="P453" s="1">
        <v>43038</v>
      </c>
      <c r="Q453">
        <v>6.6</v>
      </c>
      <c r="R453" t="s">
        <v>129</v>
      </c>
      <c r="S453" t="s">
        <v>196</v>
      </c>
      <c r="T453" t="s">
        <v>197</v>
      </c>
      <c r="U453">
        <v>0</v>
      </c>
      <c r="V453">
        <v>0</v>
      </c>
      <c r="W453">
        <v>4739</v>
      </c>
      <c r="X453">
        <v>0</v>
      </c>
      <c r="Y453">
        <v>422</v>
      </c>
      <c r="Z453">
        <v>5161</v>
      </c>
      <c r="AA453">
        <v>296</v>
      </c>
      <c r="AB453" t="s">
        <v>151</v>
      </c>
      <c r="AC453">
        <v>19.8</v>
      </c>
      <c r="AD453">
        <v>20</v>
      </c>
      <c r="AE453">
        <v>76</v>
      </c>
      <c r="AF453" t="s">
        <v>112</v>
      </c>
      <c r="AG453">
        <v>35</v>
      </c>
      <c r="AH453" t="s">
        <v>67</v>
      </c>
      <c r="AI453" t="s">
        <v>114</v>
      </c>
      <c r="AJ453" t="s">
        <v>96</v>
      </c>
      <c r="AK453" t="s">
        <v>71</v>
      </c>
      <c r="AL453" t="s">
        <v>70</v>
      </c>
      <c r="AM453" t="s">
        <v>71</v>
      </c>
      <c r="AN453" t="s">
        <v>72</v>
      </c>
      <c r="AO453" t="s">
        <v>97</v>
      </c>
      <c r="AP453" t="s">
        <v>72</v>
      </c>
      <c r="AQ453" t="s">
        <v>74</v>
      </c>
      <c r="AR453" s="1">
        <v>43111</v>
      </c>
      <c r="AS453" t="s">
        <v>137</v>
      </c>
      <c r="AT453" t="s">
        <v>71</v>
      </c>
      <c r="AU453">
        <v>-485</v>
      </c>
      <c r="AV453" t="s">
        <v>179</v>
      </c>
    </row>
    <row r="454" spans="1:48" x14ac:dyDescent="0.25">
      <c r="A454" t="s">
        <v>741</v>
      </c>
      <c r="B454" t="s">
        <v>210</v>
      </c>
      <c r="C454" t="s">
        <v>394</v>
      </c>
      <c r="D454" t="s">
        <v>122</v>
      </c>
      <c r="E454">
        <v>24</v>
      </c>
      <c r="F454" t="s">
        <v>80</v>
      </c>
      <c r="G454" t="s">
        <v>53</v>
      </c>
      <c r="H454" t="s">
        <v>54</v>
      </c>
      <c r="I454" t="s">
        <v>55</v>
      </c>
      <c r="J454" t="s">
        <v>56</v>
      </c>
      <c r="K454" t="s">
        <v>57</v>
      </c>
      <c r="L454" t="s">
        <v>174</v>
      </c>
      <c r="M454" t="s">
        <v>59</v>
      </c>
      <c r="N454" t="s">
        <v>60</v>
      </c>
      <c r="O454" t="s">
        <v>109</v>
      </c>
      <c r="P454" s="1">
        <v>40977</v>
      </c>
      <c r="Q454">
        <v>12.2</v>
      </c>
      <c r="R454" t="s">
        <v>75</v>
      </c>
      <c r="S454" t="s">
        <v>219</v>
      </c>
      <c r="T454" t="s">
        <v>220</v>
      </c>
      <c r="U454">
        <v>0</v>
      </c>
      <c r="V454">
        <v>0</v>
      </c>
      <c r="W454">
        <v>4739</v>
      </c>
      <c r="X454">
        <v>0</v>
      </c>
      <c r="Y454">
        <v>422</v>
      </c>
      <c r="Z454">
        <v>5161</v>
      </c>
      <c r="AA454">
        <v>543</v>
      </c>
      <c r="AB454" t="s">
        <v>65</v>
      </c>
      <c r="AC454">
        <v>16.5</v>
      </c>
      <c r="AD454">
        <v>32</v>
      </c>
      <c r="AE454">
        <v>75</v>
      </c>
      <c r="AF454" t="s">
        <v>93</v>
      </c>
      <c r="AG454">
        <v>31</v>
      </c>
      <c r="AH454" t="s">
        <v>67</v>
      </c>
      <c r="AI454" t="s">
        <v>114</v>
      </c>
      <c r="AJ454" t="s">
        <v>188</v>
      </c>
      <c r="AK454" t="s">
        <v>71</v>
      </c>
      <c r="AL454" t="s">
        <v>71</v>
      </c>
      <c r="AM454" t="s">
        <v>70</v>
      </c>
      <c r="AN454" t="s">
        <v>133</v>
      </c>
      <c r="AO454" t="s">
        <v>134</v>
      </c>
      <c r="AP454" t="s">
        <v>116</v>
      </c>
      <c r="AQ454" t="s">
        <v>136</v>
      </c>
      <c r="AR454" s="1">
        <v>41529</v>
      </c>
      <c r="AS454" t="s">
        <v>118</v>
      </c>
      <c r="AT454" t="s">
        <v>71</v>
      </c>
      <c r="AU454">
        <v>270</v>
      </c>
      <c r="AV454" t="s">
        <v>76</v>
      </c>
    </row>
    <row r="455" spans="1:48" x14ac:dyDescent="0.25">
      <c r="A455" t="s">
        <v>742</v>
      </c>
      <c r="B455" t="s">
        <v>120</v>
      </c>
      <c r="C455" t="s">
        <v>360</v>
      </c>
      <c r="D455" t="s">
        <v>51</v>
      </c>
      <c r="E455">
        <v>41</v>
      </c>
      <c r="F455" t="s">
        <v>214</v>
      </c>
      <c r="G455" t="s">
        <v>101</v>
      </c>
      <c r="H455" t="s">
        <v>102</v>
      </c>
      <c r="I455" t="s">
        <v>253</v>
      </c>
      <c r="J455" t="s">
        <v>254</v>
      </c>
      <c r="K455" t="s">
        <v>255</v>
      </c>
      <c r="L455" t="s">
        <v>106</v>
      </c>
      <c r="M455" t="s">
        <v>87</v>
      </c>
      <c r="N455" t="s">
        <v>88</v>
      </c>
      <c r="O455" t="s">
        <v>61</v>
      </c>
      <c r="P455" s="1">
        <v>41730</v>
      </c>
      <c r="Q455">
        <v>10.199999999999999</v>
      </c>
      <c r="R455" t="s">
        <v>150</v>
      </c>
      <c r="S455" t="s">
        <v>63</v>
      </c>
      <c r="T455" t="s">
        <v>64</v>
      </c>
      <c r="U455">
        <v>0</v>
      </c>
      <c r="V455">
        <v>0</v>
      </c>
      <c r="W455">
        <v>2980</v>
      </c>
      <c r="X455">
        <v>2111</v>
      </c>
      <c r="Y455">
        <v>422</v>
      </c>
      <c r="Z455">
        <v>5513</v>
      </c>
      <c r="AA455">
        <v>413</v>
      </c>
      <c r="AB455" t="s">
        <v>65</v>
      </c>
      <c r="AC455">
        <v>14.4</v>
      </c>
      <c r="AD455">
        <v>36</v>
      </c>
      <c r="AE455">
        <v>52</v>
      </c>
      <c r="AF455" t="s">
        <v>66</v>
      </c>
      <c r="AG455">
        <v>36</v>
      </c>
      <c r="AH455" t="s">
        <v>94</v>
      </c>
      <c r="AI455" t="s">
        <v>152</v>
      </c>
      <c r="AJ455" t="s">
        <v>72</v>
      </c>
      <c r="AK455" t="s">
        <v>71</v>
      </c>
      <c r="AL455" t="s">
        <v>70</v>
      </c>
      <c r="AM455" t="s">
        <v>70</v>
      </c>
      <c r="AN455" t="s">
        <v>72</v>
      </c>
      <c r="AO455" t="s">
        <v>72</v>
      </c>
      <c r="AP455" t="s">
        <v>72</v>
      </c>
      <c r="AQ455" t="s">
        <v>98</v>
      </c>
      <c r="AR455" s="1">
        <v>44771</v>
      </c>
      <c r="AS455" t="s">
        <v>198</v>
      </c>
      <c r="AT455" t="s">
        <v>71</v>
      </c>
      <c r="AU455">
        <v>1326</v>
      </c>
      <c r="AV455" t="s">
        <v>76</v>
      </c>
    </row>
    <row r="456" spans="1:48" x14ac:dyDescent="0.25">
      <c r="A456" t="s">
        <v>743</v>
      </c>
      <c r="B456" t="s">
        <v>267</v>
      </c>
      <c r="C456" t="s">
        <v>79</v>
      </c>
      <c r="D456" t="s">
        <v>51</v>
      </c>
      <c r="E456">
        <v>31</v>
      </c>
      <c r="F456" t="s">
        <v>278</v>
      </c>
      <c r="G456" t="s">
        <v>301</v>
      </c>
      <c r="H456" t="s">
        <v>302</v>
      </c>
      <c r="I456" t="s">
        <v>260</v>
      </c>
      <c r="J456" t="s">
        <v>261</v>
      </c>
      <c r="K456" t="s">
        <v>173</v>
      </c>
      <c r="L456" t="s">
        <v>106</v>
      </c>
      <c r="M456" t="s">
        <v>87</v>
      </c>
      <c r="N456" t="s">
        <v>265</v>
      </c>
      <c r="O456" t="s">
        <v>89</v>
      </c>
      <c r="P456" s="1">
        <v>43015</v>
      </c>
      <c r="Q456">
        <v>6.7</v>
      </c>
      <c r="R456" t="s">
        <v>62</v>
      </c>
      <c r="S456" t="s">
        <v>110</v>
      </c>
      <c r="T456" t="s">
        <v>111</v>
      </c>
      <c r="U456">
        <v>10</v>
      </c>
      <c r="V456">
        <v>1</v>
      </c>
      <c r="W456">
        <v>4188</v>
      </c>
      <c r="X456">
        <v>1723</v>
      </c>
      <c r="Y456">
        <v>266</v>
      </c>
      <c r="Z456">
        <v>6177</v>
      </c>
      <c r="AA456">
        <v>545</v>
      </c>
      <c r="AB456" t="s">
        <v>65</v>
      </c>
      <c r="AC456">
        <v>18.8</v>
      </c>
      <c r="AD456">
        <v>50</v>
      </c>
      <c r="AE456">
        <v>53</v>
      </c>
      <c r="AF456" t="s">
        <v>112</v>
      </c>
      <c r="AG456">
        <v>40</v>
      </c>
      <c r="AH456" t="s">
        <v>94</v>
      </c>
      <c r="AI456" t="s">
        <v>95</v>
      </c>
      <c r="AJ456" t="s">
        <v>188</v>
      </c>
      <c r="AK456" t="s">
        <v>71</v>
      </c>
      <c r="AL456" t="s">
        <v>70</v>
      </c>
      <c r="AM456" t="s">
        <v>70</v>
      </c>
      <c r="AN456" t="s">
        <v>231</v>
      </c>
      <c r="AO456" t="s">
        <v>287</v>
      </c>
      <c r="AP456" t="s">
        <v>72</v>
      </c>
      <c r="AQ456" t="s">
        <v>98</v>
      </c>
      <c r="AR456" s="1">
        <v>44635</v>
      </c>
      <c r="AS456" t="s">
        <v>75</v>
      </c>
      <c r="AT456" t="s">
        <v>71</v>
      </c>
      <c r="AU456">
        <v>1402</v>
      </c>
      <c r="AV456" t="s">
        <v>76</v>
      </c>
    </row>
    <row r="457" spans="1:48" x14ac:dyDescent="0.25">
      <c r="A457" t="s">
        <v>744</v>
      </c>
      <c r="B457" t="s">
        <v>377</v>
      </c>
      <c r="C457" t="s">
        <v>334</v>
      </c>
      <c r="D457" t="s">
        <v>122</v>
      </c>
      <c r="E457">
        <v>24</v>
      </c>
      <c r="F457" t="s">
        <v>316</v>
      </c>
      <c r="G457" t="s">
        <v>156</v>
      </c>
      <c r="H457" t="s">
        <v>157</v>
      </c>
      <c r="I457" t="s">
        <v>253</v>
      </c>
      <c r="J457" t="s">
        <v>254</v>
      </c>
      <c r="K457" t="s">
        <v>255</v>
      </c>
      <c r="L457" t="s">
        <v>174</v>
      </c>
      <c r="M457" t="s">
        <v>275</v>
      </c>
      <c r="N457" t="s">
        <v>128</v>
      </c>
      <c r="O457" t="s">
        <v>176</v>
      </c>
      <c r="P457" s="1">
        <v>41477</v>
      </c>
      <c r="Q457">
        <v>10.9</v>
      </c>
      <c r="R457" t="s">
        <v>75</v>
      </c>
      <c r="S457" t="s">
        <v>196</v>
      </c>
      <c r="T457" t="s">
        <v>197</v>
      </c>
      <c r="U457">
        <v>0</v>
      </c>
      <c r="V457">
        <v>0</v>
      </c>
      <c r="W457">
        <v>4836</v>
      </c>
      <c r="X457">
        <v>0</v>
      </c>
      <c r="Y457">
        <v>266</v>
      </c>
      <c r="Z457">
        <v>5102</v>
      </c>
      <c r="AA457">
        <v>378</v>
      </c>
      <c r="AB457" t="s">
        <v>65</v>
      </c>
      <c r="AC457">
        <v>15.9</v>
      </c>
      <c r="AD457">
        <v>20</v>
      </c>
      <c r="AE457">
        <v>57</v>
      </c>
      <c r="AF457" t="s">
        <v>93</v>
      </c>
      <c r="AG457">
        <v>34</v>
      </c>
      <c r="AH457" t="s">
        <v>67</v>
      </c>
      <c r="AI457" t="s">
        <v>95</v>
      </c>
      <c r="AJ457" t="s">
        <v>69</v>
      </c>
      <c r="AK457" t="s">
        <v>70</v>
      </c>
      <c r="AL457" t="s">
        <v>70</v>
      </c>
      <c r="AM457" t="s">
        <v>70</v>
      </c>
      <c r="AN457" t="s">
        <v>72</v>
      </c>
      <c r="AO457" t="s">
        <v>178</v>
      </c>
      <c r="AP457" t="s">
        <v>72</v>
      </c>
      <c r="AQ457" t="s">
        <v>136</v>
      </c>
      <c r="AR457" s="1">
        <v>43549</v>
      </c>
      <c r="AS457" t="s">
        <v>198</v>
      </c>
      <c r="AT457" t="s">
        <v>71</v>
      </c>
      <c r="AU457">
        <v>432</v>
      </c>
      <c r="AV457" t="s">
        <v>76</v>
      </c>
    </row>
    <row r="458" spans="1:48" x14ac:dyDescent="0.25">
      <c r="A458" t="s">
        <v>745</v>
      </c>
      <c r="B458" t="s">
        <v>100</v>
      </c>
      <c r="C458" t="s">
        <v>167</v>
      </c>
      <c r="D458" t="s">
        <v>51</v>
      </c>
      <c r="E458">
        <v>39</v>
      </c>
      <c r="F458" t="s">
        <v>305</v>
      </c>
      <c r="G458" t="s">
        <v>285</v>
      </c>
      <c r="H458" t="s">
        <v>286</v>
      </c>
      <c r="I458" t="s">
        <v>253</v>
      </c>
      <c r="J458" t="s">
        <v>254</v>
      </c>
      <c r="K458" t="s">
        <v>255</v>
      </c>
      <c r="L458" t="s">
        <v>126</v>
      </c>
      <c r="M458" t="s">
        <v>275</v>
      </c>
      <c r="N458" t="s">
        <v>162</v>
      </c>
      <c r="O458" t="s">
        <v>89</v>
      </c>
      <c r="P458" s="1">
        <v>41247</v>
      </c>
      <c r="Q458">
        <v>11.5</v>
      </c>
      <c r="R458" t="s">
        <v>129</v>
      </c>
      <c r="S458" t="s">
        <v>163</v>
      </c>
      <c r="T458" t="s">
        <v>164</v>
      </c>
      <c r="U458">
        <v>2</v>
      </c>
      <c r="V458">
        <v>0</v>
      </c>
      <c r="W458">
        <v>7668</v>
      </c>
      <c r="X458">
        <v>1462</v>
      </c>
      <c r="Y458">
        <v>266</v>
      </c>
      <c r="Z458">
        <v>9396</v>
      </c>
      <c r="AA458">
        <v>555</v>
      </c>
      <c r="AB458" t="s">
        <v>65</v>
      </c>
      <c r="AC458">
        <v>17.7</v>
      </c>
      <c r="AD458">
        <v>29</v>
      </c>
      <c r="AE458">
        <v>45</v>
      </c>
      <c r="AF458" t="s">
        <v>132</v>
      </c>
      <c r="AG458">
        <v>22</v>
      </c>
      <c r="AH458" t="s">
        <v>113</v>
      </c>
      <c r="AI458" t="s">
        <v>95</v>
      </c>
      <c r="AJ458" t="s">
        <v>188</v>
      </c>
      <c r="AK458" t="s">
        <v>70</v>
      </c>
      <c r="AL458" t="s">
        <v>70</v>
      </c>
      <c r="AM458" t="s">
        <v>70</v>
      </c>
      <c r="AN458" t="s">
        <v>115</v>
      </c>
      <c r="AO458" t="s">
        <v>227</v>
      </c>
      <c r="AP458" t="s">
        <v>72</v>
      </c>
      <c r="AQ458" t="s">
        <v>117</v>
      </c>
      <c r="AR458" s="1">
        <v>43218</v>
      </c>
      <c r="AS458" t="s">
        <v>137</v>
      </c>
      <c r="AT458" t="s">
        <v>71</v>
      </c>
      <c r="AU458">
        <v>897</v>
      </c>
      <c r="AV458" t="s">
        <v>76</v>
      </c>
    </row>
    <row r="459" spans="1:48" x14ac:dyDescent="0.25">
      <c r="A459" t="s">
        <v>746</v>
      </c>
      <c r="B459" t="s">
        <v>282</v>
      </c>
      <c r="C459" t="s">
        <v>233</v>
      </c>
      <c r="D459" t="s">
        <v>51</v>
      </c>
      <c r="E459">
        <v>37</v>
      </c>
      <c r="F459" t="s">
        <v>322</v>
      </c>
      <c r="G459" t="s">
        <v>285</v>
      </c>
      <c r="H459" t="s">
        <v>286</v>
      </c>
      <c r="I459" t="s">
        <v>171</v>
      </c>
      <c r="J459" t="s">
        <v>172</v>
      </c>
      <c r="K459" t="s">
        <v>173</v>
      </c>
      <c r="L459" t="s">
        <v>174</v>
      </c>
      <c r="M459" t="s">
        <v>249</v>
      </c>
      <c r="N459" t="s">
        <v>88</v>
      </c>
      <c r="O459" t="s">
        <v>109</v>
      </c>
      <c r="P459" s="1">
        <v>40369</v>
      </c>
      <c r="Q459">
        <v>13.9</v>
      </c>
      <c r="R459" t="s">
        <v>62</v>
      </c>
      <c r="S459" t="s">
        <v>130</v>
      </c>
      <c r="T459" t="s">
        <v>131</v>
      </c>
      <c r="U459">
        <v>10</v>
      </c>
      <c r="V459">
        <v>1</v>
      </c>
      <c r="W459">
        <v>7668</v>
      </c>
      <c r="X459">
        <v>1278</v>
      </c>
      <c r="Y459">
        <v>266</v>
      </c>
      <c r="Z459">
        <v>9212</v>
      </c>
      <c r="AA459">
        <v>433</v>
      </c>
      <c r="AB459" t="s">
        <v>65</v>
      </c>
      <c r="AC459">
        <v>17.899999999999999</v>
      </c>
      <c r="AD459">
        <v>77</v>
      </c>
      <c r="AE459">
        <v>60</v>
      </c>
      <c r="AF459" t="s">
        <v>112</v>
      </c>
      <c r="AG459">
        <v>34</v>
      </c>
      <c r="AH459" t="s">
        <v>67</v>
      </c>
      <c r="AI459" t="s">
        <v>114</v>
      </c>
      <c r="AJ459" t="s">
        <v>96</v>
      </c>
      <c r="AK459" t="s">
        <v>70</v>
      </c>
      <c r="AL459" t="s">
        <v>70</v>
      </c>
      <c r="AM459" t="s">
        <v>70</v>
      </c>
      <c r="AN459" t="s">
        <v>270</v>
      </c>
      <c r="AO459" t="s">
        <v>72</v>
      </c>
      <c r="AP459" t="s">
        <v>72</v>
      </c>
      <c r="AQ459" t="s">
        <v>98</v>
      </c>
      <c r="AR459" s="1">
        <v>42746</v>
      </c>
      <c r="AS459" t="s">
        <v>198</v>
      </c>
      <c r="AT459" t="s">
        <v>71</v>
      </c>
      <c r="AU459">
        <v>1592</v>
      </c>
      <c r="AV459" t="s">
        <v>76</v>
      </c>
    </row>
    <row r="460" spans="1:48" x14ac:dyDescent="0.25">
      <c r="A460" t="s">
        <v>747</v>
      </c>
      <c r="B460" t="s">
        <v>377</v>
      </c>
      <c r="C460" t="s">
        <v>375</v>
      </c>
      <c r="D460" t="s">
        <v>51</v>
      </c>
      <c r="E460">
        <v>33</v>
      </c>
      <c r="F460" t="s">
        <v>168</v>
      </c>
      <c r="G460" t="s">
        <v>215</v>
      </c>
      <c r="H460" t="s">
        <v>216</v>
      </c>
      <c r="I460" t="s">
        <v>171</v>
      </c>
      <c r="J460" t="s">
        <v>172</v>
      </c>
      <c r="K460" t="s">
        <v>173</v>
      </c>
      <c r="L460" t="s">
        <v>201</v>
      </c>
      <c r="M460" t="s">
        <v>249</v>
      </c>
      <c r="N460" t="s">
        <v>162</v>
      </c>
      <c r="O460" t="s">
        <v>61</v>
      </c>
      <c r="P460" s="1">
        <v>44315</v>
      </c>
      <c r="Q460">
        <v>3.1</v>
      </c>
      <c r="R460" t="s">
        <v>62</v>
      </c>
      <c r="S460" t="s">
        <v>110</v>
      </c>
      <c r="T460" t="s">
        <v>111</v>
      </c>
      <c r="U460">
        <v>2</v>
      </c>
      <c r="V460">
        <v>0</v>
      </c>
      <c r="W460">
        <v>3637</v>
      </c>
      <c r="X460">
        <v>1720</v>
      </c>
      <c r="Y460">
        <v>266</v>
      </c>
      <c r="Z460">
        <v>5623</v>
      </c>
      <c r="AA460">
        <v>431</v>
      </c>
      <c r="AB460" t="s">
        <v>65</v>
      </c>
      <c r="AC460">
        <v>19.100000000000001</v>
      </c>
      <c r="AD460">
        <v>70</v>
      </c>
      <c r="AE460">
        <v>79</v>
      </c>
      <c r="AF460" t="s">
        <v>93</v>
      </c>
      <c r="AG460">
        <v>27</v>
      </c>
      <c r="AH460" t="s">
        <v>113</v>
      </c>
      <c r="AI460" t="s">
        <v>114</v>
      </c>
      <c r="AJ460" t="s">
        <v>72</v>
      </c>
      <c r="AK460" t="s">
        <v>70</v>
      </c>
      <c r="AL460" t="s">
        <v>70</v>
      </c>
      <c r="AM460" t="s">
        <v>70</v>
      </c>
      <c r="AN460" t="s">
        <v>231</v>
      </c>
      <c r="AO460" t="s">
        <v>72</v>
      </c>
      <c r="AP460" t="s">
        <v>72</v>
      </c>
      <c r="AQ460" t="s">
        <v>98</v>
      </c>
      <c r="AR460" s="1">
        <v>44840</v>
      </c>
      <c r="AS460" t="s">
        <v>75</v>
      </c>
      <c r="AT460" t="s">
        <v>71</v>
      </c>
      <c r="AU460">
        <v>1696</v>
      </c>
      <c r="AV460" t="s">
        <v>76</v>
      </c>
    </row>
    <row r="461" spans="1:48" x14ac:dyDescent="0.25">
      <c r="A461" t="s">
        <v>748</v>
      </c>
      <c r="B461" t="s">
        <v>100</v>
      </c>
      <c r="C461" t="s">
        <v>155</v>
      </c>
      <c r="D461" t="s">
        <v>51</v>
      </c>
      <c r="E461">
        <v>42</v>
      </c>
      <c r="F461" t="s">
        <v>192</v>
      </c>
      <c r="G461" t="s">
        <v>81</v>
      </c>
      <c r="H461" t="s">
        <v>82</v>
      </c>
      <c r="I461" t="s">
        <v>217</v>
      </c>
      <c r="J461" t="s">
        <v>218</v>
      </c>
      <c r="K461" t="s">
        <v>146</v>
      </c>
      <c r="L461" t="s">
        <v>106</v>
      </c>
      <c r="M461" t="s">
        <v>296</v>
      </c>
      <c r="N461" t="s">
        <v>265</v>
      </c>
      <c r="O461" t="s">
        <v>149</v>
      </c>
      <c r="P461" s="1">
        <v>42641</v>
      </c>
      <c r="Q461">
        <v>7.7</v>
      </c>
      <c r="R461" t="s">
        <v>150</v>
      </c>
      <c r="S461" t="s">
        <v>196</v>
      </c>
      <c r="T461" t="s">
        <v>197</v>
      </c>
      <c r="U461">
        <v>0</v>
      </c>
      <c r="V461">
        <v>0</v>
      </c>
      <c r="W461">
        <v>2504</v>
      </c>
      <c r="X461">
        <v>1832</v>
      </c>
      <c r="Y461">
        <v>422</v>
      </c>
      <c r="Z461">
        <v>4758</v>
      </c>
      <c r="AA461">
        <v>295</v>
      </c>
      <c r="AB461" t="s">
        <v>151</v>
      </c>
      <c r="AC461">
        <v>14.6</v>
      </c>
      <c r="AD461">
        <v>44</v>
      </c>
      <c r="AE461">
        <v>57</v>
      </c>
      <c r="AF461" t="s">
        <v>112</v>
      </c>
      <c r="AG461">
        <v>24</v>
      </c>
      <c r="AH461" t="s">
        <v>113</v>
      </c>
      <c r="AI461" t="s">
        <v>95</v>
      </c>
      <c r="AJ461" t="s">
        <v>69</v>
      </c>
      <c r="AK461" t="s">
        <v>71</v>
      </c>
      <c r="AL461" t="s">
        <v>70</v>
      </c>
      <c r="AM461" t="s">
        <v>70</v>
      </c>
      <c r="AN461" t="s">
        <v>115</v>
      </c>
      <c r="AO461" t="s">
        <v>73</v>
      </c>
      <c r="AP461" t="s">
        <v>72</v>
      </c>
      <c r="AQ461" t="s">
        <v>136</v>
      </c>
      <c r="AR461" s="1">
        <v>44189</v>
      </c>
      <c r="AS461" t="s">
        <v>198</v>
      </c>
      <c r="AT461" t="s">
        <v>71</v>
      </c>
      <c r="AU461">
        <v>786</v>
      </c>
      <c r="AV461" t="s">
        <v>76</v>
      </c>
    </row>
    <row r="462" spans="1:48" x14ac:dyDescent="0.25">
      <c r="A462" t="s">
        <v>749</v>
      </c>
      <c r="B462" t="s">
        <v>229</v>
      </c>
      <c r="C462" t="s">
        <v>272</v>
      </c>
      <c r="D462" t="s">
        <v>51</v>
      </c>
      <c r="E462">
        <v>30</v>
      </c>
      <c r="F462" t="s">
        <v>123</v>
      </c>
      <c r="G462" t="s">
        <v>242</v>
      </c>
      <c r="H462" t="s">
        <v>54</v>
      </c>
      <c r="I462" t="s">
        <v>55</v>
      </c>
      <c r="J462" t="s">
        <v>56</v>
      </c>
      <c r="K462" t="s">
        <v>57</v>
      </c>
      <c r="L462" t="s">
        <v>106</v>
      </c>
      <c r="M462" t="s">
        <v>87</v>
      </c>
      <c r="N462" t="s">
        <v>162</v>
      </c>
      <c r="O462" t="s">
        <v>176</v>
      </c>
      <c r="P462" s="1">
        <v>39687</v>
      </c>
      <c r="Q462">
        <v>15.8</v>
      </c>
      <c r="R462" t="s">
        <v>208</v>
      </c>
      <c r="S462" t="s">
        <v>63</v>
      </c>
      <c r="T462" t="s">
        <v>64</v>
      </c>
      <c r="U462">
        <v>0</v>
      </c>
      <c r="V462">
        <v>0</v>
      </c>
      <c r="W462">
        <v>4739</v>
      </c>
      <c r="X462">
        <v>1063</v>
      </c>
      <c r="Y462">
        <v>422</v>
      </c>
      <c r="Z462">
        <v>6224</v>
      </c>
      <c r="AA462">
        <v>457</v>
      </c>
      <c r="AB462" t="s">
        <v>65</v>
      </c>
      <c r="AC462">
        <v>20.6</v>
      </c>
      <c r="AD462">
        <v>27</v>
      </c>
      <c r="AE462">
        <v>33</v>
      </c>
      <c r="AF462" t="s">
        <v>132</v>
      </c>
      <c r="AG462">
        <v>27</v>
      </c>
      <c r="AH462" t="s">
        <v>113</v>
      </c>
      <c r="AI462" t="s">
        <v>68</v>
      </c>
      <c r="AJ462" t="s">
        <v>72</v>
      </c>
      <c r="AK462" t="s">
        <v>70</v>
      </c>
      <c r="AL462" t="s">
        <v>70</v>
      </c>
      <c r="AM462" t="s">
        <v>70</v>
      </c>
      <c r="AN462" t="s">
        <v>243</v>
      </c>
      <c r="AO462" t="s">
        <v>178</v>
      </c>
      <c r="AP462" t="s">
        <v>72</v>
      </c>
      <c r="AQ462" t="s">
        <v>74</v>
      </c>
      <c r="AR462" s="1">
        <v>44081</v>
      </c>
      <c r="AS462" t="s">
        <v>137</v>
      </c>
      <c r="AT462" t="s">
        <v>71</v>
      </c>
      <c r="AU462">
        <v>-339</v>
      </c>
      <c r="AV462" t="s">
        <v>179</v>
      </c>
    </row>
    <row r="463" spans="1:48" x14ac:dyDescent="0.25">
      <c r="A463" t="s">
        <v>750</v>
      </c>
      <c r="B463" t="s">
        <v>308</v>
      </c>
      <c r="C463" t="s">
        <v>233</v>
      </c>
      <c r="D463" t="s">
        <v>51</v>
      </c>
      <c r="E463">
        <v>35</v>
      </c>
      <c r="F463" t="s">
        <v>325</v>
      </c>
      <c r="G463" t="s">
        <v>193</v>
      </c>
      <c r="H463" t="s">
        <v>194</v>
      </c>
      <c r="I463" t="s">
        <v>236</v>
      </c>
      <c r="J463" t="s">
        <v>237</v>
      </c>
      <c r="K463" t="s">
        <v>238</v>
      </c>
      <c r="L463" t="s">
        <v>174</v>
      </c>
      <c r="M463" t="s">
        <v>275</v>
      </c>
      <c r="N463" t="s">
        <v>108</v>
      </c>
      <c r="O463" t="s">
        <v>89</v>
      </c>
      <c r="P463" s="1">
        <v>42635</v>
      </c>
      <c r="Q463">
        <v>7.7</v>
      </c>
      <c r="R463" t="s">
        <v>208</v>
      </c>
      <c r="S463" t="s">
        <v>130</v>
      </c>
      <c r="T463" t="s">
        <v>131</v>
      </c>
      <c r="U463">
        <v>7</v>
      </c>
      <c r="V463">
        <v>1</v>
      </c>
      <c r="W463">
        <v>2259</v>
      </c>
      <c r="X463">
        <v>988</v>
      </c>
      <c r="Y463">
        <v>422</v>
      </c>
      <c r="Z463">
        <v>3669</v>
      </c>
      <c r="AA463">
        <v>501</v>
      </c>
      <c r="AB463" t="s">
        <v>65</v>
      </c>
      <c r="AC463">
        <v>20.8</v>
      </c>
      <c r="AD463">
        <v>41</v>
      </c>
      <c r="AE463">
        <v>35</v>
      </c>
      <c r="AF463" t="s">
        <v>112</v>
      </c>
      <c r="AG463">
        <v>40</v>
      </c>
      <c r="AH463" t="s">
        <v>94</v>
      </c>
      <c r="AI463" t="s">
        <v>114</v>
      </c>
      <c r="AJ463" t="s">
        <v>69</v>
      </c>
      <c r="AK463" t="s">
        <v>70</v>
      </c>
      <c r="AL463" t="s">
        <v>70</v>
      </c>
      <c r="AM463" t="s">
        <v>70</v>
      </c>
      <c r="AN463" t="s">
        <v>72</v>
      </c>
      <c r="AO463" t="s">
        <v>97</v>
      </c>
      <c r="AP463" t="s">
        <v>72</v>
      </c>
      <c r="AQ463" t="s">
        <v>136</v>
      </c>
      <c r="AR463" s="1">
        <v>45494</v>
      </c>
      <c r="AS463" t="s">
        <v>198</v>
      </c>
      <c r="AT463" t="s">
        <v>71</v>
      </c>
      <c r="AU463">
        <v>568</v>
      </c>
      <c r="AV463" t="s">
        <v>76</v>
      </c>
    </row>
    <row r="464" spans="1:48" x14ac:dyDescent="0.25">
      <c r="A464" t="s">
        <v>751</v>
      </c>
      <c r="B464" t="s">
        <v>205</v>
      </c>
      <c r="C464" t="s">
        <v>182</v>
      </c>
      <c r="D464" t="s">
        <v>51</v>
      </c>
      <c r="E464">
        <v>35</v>
      </c>
      <c r="F464" t="s">
        <v>325</v>
      </c>
      <c r="G464" t="s">
        <v>234</v>
      </c>
      <c r="H464" t="s">
        <v>235</v>
      </c>
      <c r="I464" t="s">
        <v>268</v>
      </c>
      <c r="J464" t="s">
        <v>269</v>
      </c>
      <c r="K464" t="s">
        <v>173</v>
      </c>
      <c r="L464" t="s">
        <v>106</v>
      </c>
      <c r="M464" t="s">
        <v>59</v>
      </c>
      <c r="N464" t="s">
        <v>108</v>
      </c>
      <c r="O464" t="s">
        <v>109</v>
      </c>
      <c r="P464" s="1">
        <v>38700</v>
      </c>
      <c r="Q464">
        <v>18.5</v>
      </c>
      <c r="R464" t="s">
        <v>208</v>
      </c>
      <c r="S464" t="s">
        <v>163</v>
      </c>
      <c r="T464" t="s">
        <v>164</v>
      </c>
      <c r="U464">
        <v>7</v>
      </c>
      <c r="V464">
        <v>1</v>
      </c>
      <c r="W464">
        <v>1917</v>
      </c>
      <c r="X464">
        <v>0</v>
      </c>
      <c r="Y464">
        <v>422</v>
      </c>
      <c r="Z464">
        <v>2339</v>
      </c>
      <c r="AA464">
        <v>453</v>
      </c>
      <c r="AB464" t="s">
        <v>65</v>
      </c>
      <c r="AC464">
        <v>20.6</v>
      </c>
      <c r="AD464">
        <v>28</v>
      </c>
      <c r="AE464">
        <v>62</v>
      </c>
      <c r="AF464" t="s">
        <v>112</v>
      </c>
      <c r="AG464">
        <v>28</v>
      </c>
      <c r="AH464" t="s">
        <v>113</v>
      </c>
      <c r="AI464" t="s">
        <v>177</v>
      </c>
      <c r="AJ464" t="s">
        <v>96</v>
      </c>
      <c r="AK464" t="s">
        <v>70</v>
      </c>
      <c r="AL464" t="s">
        <v>71</v>
      </c>
      <c r="AM464" t="s">
        <v>70</v>
      </c>
      <c r="AN464" t="s">
        <v>202</v>
      </c>
      <c r="AO464" t="s">
        <v>72</v>
      </c>
      <c r="AP464" t="s">
        <v>227</v>
      </c>
      <c r="AQ464" t="s">
        <v>136</v>
      </c>
      <c r="AR464" s="1">
        <v>40233</v>
      </c>
      <c r="AS464" t="s">
        <v>118</v>
      </c>
      <c r="AT464" t="s">
        <v>71</v>
      </c>
      <c r="AU464">
        <v>1513</v>
      </c>
      <c r="AV464" t="s">
        <v>76</v>
      </c>
    </row>
    <row r="465" spans="1:48" x14ac:dyDescent="0.25">
      <c r="A465" t="s">
        <v>752</v>
      </c>
      <c r="B465" t="s">
        <v>259</v>
      </c>
      <c r="C465" t="s">
        <v>332</v>
      </c>
      <c r="D465" t="s">
        <v>51</v>
      </c>
      <c r="E465">
        <v>37</v>
      </c>
      <c r="F465" t="s">
        <v>283</v>
      </c>
      <c r="G465" t="s">
        <v>301</v>
      </c>
      <c r="H465" t="s">
        <v>302</v>
      </c>
      <c r="I465" t="s">
        <v>103</v>
      </c>
      <c r="J465" t="s">
        <v>104</v>
      </c>
      <c r="K465" t="s">
        <v>105</v>
      </c>
      <c r="L465" t="s">
        <v>58</v>
      </c>
      <c r="M465" t="s">
        <v>212</v>
      </c>
      <c r="N465" t="s">
        <v>108</v>
      </c>
      <c r="O465" t="s">
        <v>149</v>
      </c>
      <c r="P465" s="1">
        <v>42745</v>
      </c>
      <c r="Q465">
        <v>7.4</v>
      </c>
      <c r="R465" t="s">
        <v>129</v>
      </c>
      <c r="S465" t="s">
        <v>163</v>
      </c>
      <c r="T465" t="s">
        <v>164</v>
      </c>
      <c r="U465">
        <v>9</v>
      </c>
      <c r="V465">
        <v>1</v>
      </c>
      <c r="W465">
        <v>4188</v>
      </c>
      <c r="X465">
        <v>1344</v>
      </c>
      <c r="Y465">
        <v>266</v>
      </c>
      <c r="Z465">
        <v>5798</v>
      </c>
      <c r="AA465">
        <v>421</v>
      </c>
      <c r="AB465" t="s">
        <v>65</v>
      </c>
      <c r="AC465">
        <v>16.8</v>
      </c>
      <c r="AD465">
        <v>30</v>
      </c>
      <c r="AE465">
        <v>42</v>
      </c>
      <c r="AF465" t="s">
        <v>112</v>
      </c>
      <c r="AG465">
        <v>22</v>
      </c>
      <c r="AH465" t="s">
        <v>113</v>
      </c>
      <c r="AI465" t="s">
        <v>95</v>
      </c>
      <c r="AJ465" t="s">
        <v>96</v>
      </c>
      <c r="AK465" t="s">
        <v>70</v>
      </c>
      <c r="AL465" t="s">
        <v>71</v>
      </c>
      <c r="AM465" t="s">
        <v>70</v>
      </c>
      <c r="AN465" t="s">
        <v>72</v>
      </c>
      <c r="AO465" t="s">
        <v>221</v>
      </c>
      <c r="AP465" t="s">
        <v>227</v>
      </c>
      <c r="AQ465" t="s">
        <v>136</v>
      </c>
      <c r="AR465" s="1">
        <v>42906</v>
      </c>
      <c r="AS465" t="s">
        <v>118</v>
      </c>
      <c r="AT465" t="s">
        <v>71</v>
      </c>
      <c r="AU465">
        <v>1087</v>
      </c>
      <c r="AV465" t="s">
        <v>76</v>
      </c>
    </row>
    <row r="466" spans="1:48" x14ac:dyDescent="0.25">
      <c r="A466" t="s">
        <v>753</v>
      </c>
      <c r="B466" t="s">
        <v>263</v>
      </c>
      <c r="C466" t="s">
        <v>155</v>
      </c>
      <c r="D466" t="s">
        <v>51</v>
      </c>
      <c r="E466">
        <v>41</v>
      </c>
      <c r="F466" t="s">
        <v>382</v>
      </c>
      <c r="G466" t="s">
        <v>142</v>
      </c>
      <c r="H466" t="s">
        <v>143</v>
      </c>
      <c r="I466" t="s">
        <v>144</v>
      </c>
      <c r="J466" t="s">
        <v>145</v>
      </c>
      <c r="K466" t="s">
        <v>146</v>
      </c>
      <c r="L466" t="s">
        <v>106</v>
      </c>
      <c r="M466" t="s">
        <v>175</v>
      </c>
      <c r="N466" t="s">
        <v>108</v>
      </c>
      <c r="O466" t="s">
        <v>61</v>
      </c>
      <c r="P466" s="1">
        <v>40838</v>
      </c>
      <c r="Q466">
        <v>12.6</v>
      </c>
      <c r="R466" t="s">
        <v>90</v>
      </c>
      <c r="S466" t="s">
        <v>110</v>
      </c>
      <c r="T466" t="s">
        <v>111</v>
      </c>
      <c r="U466">
        <v>14</v>
      </c>
      <c r="V466">
        <v>2</v>
      </c>
      <c r="W466">
        <v>5473</v>
      </c>
      <c r="X466">
        <v>0</v>
      </c>
      <c r="Y466">
        <v>422</v>
      </c>
      <c r="Z466">
        <v>5895</v>
      </c>
      <c r="AA466">
        <v>401</v>
      </c>
      <c r="AB466" t="s">
        <v>65</v>
      </c>
      <c r="AC466">
        <v>17.3</v>
      </c>
      <c r="AD466">
        <v>76</v>
      </c>
      <c r="AE466">
        <v>46</v>
      </c>
      <c r="AF466" t="s">
        <v>66</v>
      </c>
      <c r="AG466">
        <v>25</v>
      </c>
      <c r="AH466" t="s">
        <v>113</v>
      </c>
      <c r="AI466" t="s">
        <v>95</v>
      </c>
      <c r="AJ466" t="s">
        <v>96</v>
      </c>
      <c r="AK466" t="s">
        <v>70</v>
      </c>
      <c r="AL466" t="s">
        <v>70</v>
      </c>
      <c r="AM466" t="s">
        <v>70</v>
      </c>
      <c r="AN466" t="s">
        <v>202</v>
      </c>
      <c r="AO466" t="s">
        <v>135</v>
      </c>
      <c r="AP466" t="s">
        <v>72</v>
      </c>
      <c r="AQ466" t="s">
        <v>98</v>
      </c>
      <c r="AR466" s="1">
        <v>44571</v>
      </c>
      <c r="AS466" t="s">
        <v>198</v>
      </c>
      <c r="AT466" t="s">
        <v>71</v>
      </c>
      <c r="AU466">
        <v>1466</v>
      </c>
      <c r="AV466" t="s">
        <v>76</v>
      </c>
    </row>
    <row r="467" spans="1:48" x14ac:dyDescent="0.25">
      <c r="A467" t="s">
        <v>754</v>
      </c>
      <c r="B467" t="s">
        <v>259</v>
      </c>
      <c r="C467" t="s">
        <v>182</v>
      </c>
      <c r="D467" t="s">
        <v>51</v>
      </c>
      <c r="E467">
        <v>27</v>
      </c>
      <c r="F467" t="s">
        <v>214</v>
      </c>
      <c r="G467" t="s">
        <v>81</v>
      </c>
      <c r="H467" t="s">
        <v>82</v>
      </c>
      <c r="I467" t="s">
        <v>236</v>
      </c>
      <c r="J467" t="s">
        <v>237</v>
      </c>
      <c r="K467" t="s">
        <v>238</v>
      </c>
      <c r="L467" t="s">
        <v>174</v>
      </c>
      <c r="M467" t="s">
        <v>296</v>
      </c>
      <c r="N467" t="s">
        <v>148</v>
      </c>
      <c r="O467" t="s">
        <v>89</v>
      </c>
      <c r="P467" s="1">
        <v>38444</v>
      </c>
      <c r="Q467">
        <v>19.2</v>
      </c>
      <c r="R467" t="s">
        <v>150</v>
      </c>
      <c r="S467" t="s">
        <v>110</v>
      </c>
      <c r="T467" t="s">
        <v>111</v>
      </c>
      <c r="U467">
        <v>0</v>
      </c>
      <c r="V467">
        <v>0</v>
      </c>
      <c r="W467">
        <v>2504</v>
      </c>
      <c r="X467">
        <v>1421</v>
      </c>
      <c r="Y467">
        <v>422</v>
      </c>
      <c r="Z467">
        <v>4347</v>
      </c>
      <c r="AA467">
        <v>339</v>
      </c>
      <c r="AB467" t="s">
        <v>151</v>
      </c>
      <c r="AC467">
        <v>15.7</v>
      </c>
      <c r="AD467">
        <v>56</v>
      </c>
      <c r="AE467">
        <v>40</v>
      </c>
      <c r="AF467" t="s">
        <v>66</v>
      </c>
      <c r="AG467">
        <v>27</v>
      </c>
      <c r="AH467" t="s">
        <v>113</v>
      </c>
      <c r="AI467" t="s">
        <v>177</v>
      </c>
      <c r="AJ467" t="s">
        <v>96</v>
      </c>
      <c r="AK467" t="s">
        <v>70</v>
      </c>
      <c r="AL467" t="s">
        <v>70</v>
      </c>
      <c r="AM467" t="s">
        <v>71</v>
      </c>
      <c r="AN467" t="s">
        <v>72</v>
      </c>
      <c r="AO467" t="s">
        <v>73</v>
      </c>
      <c r="AP467" t="s">
        <v>227</v>
      </c>
      <c r="AQ467" t="s">
        <v>117</v>
      </c>
      <c r="AR467" s="1">
        <v>42096</v>
      </c>
      <c r="AS467" t="s">
        <v>75</v>
      </c>
      <c r="AT467" t="s">
        <v>71</v>
      </c>
      <c r="AU467">
        <v>338</v>
      </c>
      <c r="AV467" t="s">
        <v>76</v>
      </c>
    </row>
    <row r="468" spans="1:48" x14ac:dyDescent="0.25">
      <c r="A468" t="s">
        <v>755</v>
      </c>
      <c r="B468" t="s">
        <v>308</v>
      </c>
      <c r="C468" t="s">
        <v>50</v>
      </c>
      <c r="D468" t="s">
        <v>51</v>
      </c>
      <c r="E468">
        <v>31</v>
      </c>
      <c r="F468" t="s">
        <v>278</v>
      </c>
      <c r="G468" t="s">
        <v>101</v>
      </c>
      <c r="H468" t="s">
        <v>102</v>
      </c>
      <c r="I468" t="s">
        <v>268</v>
      </c>
      <c r="J468" t="s">
        <v>269</v>
      </c>
      <c r="K468" t="s">
        <v>173</v>
      </c>
      <c r="L468" t="s">
        <v>174</v>
      </c>
      <c r="M468" t="s">
        <v>127</v>
      </c>
      <c r="N468" t="s">
        <v>265</v>
      </c>
      <c r="O468" t="s">
        <v>149</v>
      </c>
      <c r="P468" s="1">
        <v>42082</v>
      </c>
      <c r="Q468">
        <v>9.1999999999999993</v>
      </c>
      <c r="R468" t="s">
        <v>75</v>
      </c>
      <c r="S468" t="s">
        <v>196</v>
      </c>
      <c r="T468" t="s">
        <v>197</v>
      </c>
      <c r="U468">
        <v>0</v>
      </c>
      <c r="V468">
        <v>0</v>
      </c>
      <c r="W468">
        <v>2980</v>
      </c>
      <c r="X468">
        <v>1987</v>
      </c>
      <c r="Y468">
        <v>422</v>
      </c>
      <c r="Z468">
        <v>5389</v>
      </c>
      <c r="AA468">
        <v>535</v>
      </c>
      <c r="AB468" t="s">
        <v>65</v>
      </c>
      <c r="AC468">
        <v>14.8</v>
      </c>
      <c r="AD468">
        <v>64</v>
      </c>
      <c r="AE468">
        <v>66</v>
      </c>
      <c r="AF468" t="s">
        <v>66</v>
      </c>
      <c r="AG468">
        <v>39</v>
      </c>
      <c r="AH468" t="s">
        <v>94</v>
      </c>
      <c r="AI468" t="s">
        <v>95</v>
      </c>
      <c r="AJ468" t="s">
        <v>69</v>
      </c>
      <c r="AK468" t="s">
        <v>71</v>
      </c>
      <c r="AL468" t="s">
        <v>71</v>
      </c>
      <c r="AM468" t="s">
        <v>70</v>
      </c>
      <c r="AN468" t="s">
        <v>115</v>
      </c>
      <c r="AO468" t="s">
        <v>72</v>
      </c>
      <c r="AP468" t="s">
        <v>72</v>
      </c>
      <c r="AQ468" t="s">
        <v>136</v>
      </c>
      <c r="AR468" s="1">
        <v>42185</v>
      </c>
      <c r="AS468" t="s">
        <v>118</v>
      </c>
      <c r="AT468" t="s">
        <v>71</v>
      </c>
      <c r="AU468">
        <v>-242</v>
      </c>
      <c r="AV468" t="s">
        <v>179</v>
      </c>
    </row>
    <row r="469" spans="1:48" x14ac:dyDescent="0.25">
      <c r="A469" t="s">
        <v>756</v>
      </c>
      <c r="B469" t="s">
        <v>308</v>
      </c>
      <c r="C469" t="s">
        <v>252</v>
      </c>
      <c r="D469" t="s">
        <v>51</v>
      </c>
      <c r="E469">
        <v>35</v>
      </c>
      <c r="F469" t="s">
        <v>123</v>
      </c>
      <c r="G469" t="s">
        <v>169</v>
      </c>
      <c r="H469" t="s">
        <v>170</v>
      </c>
      <c r="I469" t="s">
        <v>292</v>
      </c>
      <c r="J469" t="s">
        <v>293</v>
      </c>
      <c r="K469" t="s">
        <v>294</v>
      </c>
      <c r="L469" t="s">
        <v>86</v>
      </c>
      <c r="M469" t="s">
        <v>296</v>
      </c>
      <c r="N469" t="s">
        <v>265</v>
      </c>
      <c r="O469" t="s">
        <v>176</v>
      </c>
      <c r="P469" s="1">
        <v>39893</v>
      </c>
      <c r="Q469">
        <v>15.2</v>
      </c>
      <c r="R469" t="s">
        <v>195</v>
      </c>
      <c r="S469" t="s">
        <v>130</v>
      </c>
      <c r="T469" t="s">
        <v>131</v>
      </c>
      <c r="U469">
        <v>14</v>
      </c>
      <c r="V469">
        <v>2</v>
      </c>
      <c r="W469">
        <v>3294</v>
      </c>
      <c r="X469">
        <v>0</v>
      </c>
      <c r="Y469">
        <v>422</v>
      </c>
      <c r="Z469">
        <v>3716</v>
      </c>
      <c r="AA469">
        <v>576</v>
      </c>
      <c r="AB469" t="s">
        <v>65</v>
      </c>
      <c r="AC469">
        <v>19.899999999999999</v>
      </c>
      <c r="AD469">
        <v>73</v>
      </c>
      <c r="AE469">
        <v>57</v>
      </c>
      <c r="AF469" t="s">
        <v>132</v>
      </c>
      <c r="AG469">
        <v>23</v>
      </c>
      <c r="AH469" t="s">
        <v>113</v>
      </c>
      <c r="AI469" t="s">
        <v>68</v>
      </c>
      <c r="AJ469" t="s">
        <v>72</v>
      </c>
      <c r="AK469" t="s">
        <v>70</v>
      </c>
      <c r="AL469" t="s">
        <v>70</v>
      </c>
      <c r="AM469" t="s">
        <v>70</v>
      </c>
      <c r="AN469" t="s">
        <v>115</v>
      </c>
      <c r="AO469" t="s">
        <v>72</v>
      </c>
      <c r="AP469" t="s">
        <v>135</v>
      </c>
      <c r="AQ469" t="s">
        <v>117</v>
      </c>
      <c r="AR469" s="1">
        <v>41007</v>
      </c>
      <c r="AS469" t="s">
        <v>75</v>
      </c>
      <c r="AT469" t="s">
        <v>71</v>
      </c>
      <c r="AU469">
        <v>813</v>
      </c>
      <c r="AV469" t="s">
        <v>76</v>
      </c>
    </row>
    <row r="470" spans="1:48" x14ac:dyDescent="0.25">
      <c r="A470" t="s">
        <v>757</v>
      </c>
      <c r="B470" t="s">
        <v>181</v>
      </c>
      <c r="C470" t="s">
        <v>257</v>
      </c>
      <c r="D470" t="s">
        <v>51</v>
      </c>
      <c r="E470">
        <v>19</v>
      </c>
      <c r="F470" t="s">
        <v>382</v>
      </c>
      <c r="G470" t="s">
        <v>156</v>
      </c>
      <c r="H470" t="s">
        <v>157</v>
      </c>
      <c r="I470" t="s">
        <v>83</v>
      </c>
      <c r="J470" t="s">
        <v>84</v>
      </c>
      <c r="K470" t="s">
        <v>85</v>
      </c>
      <c r="L470" t="s">
        <v>126</v>
      </c>
      <c r="M470" t="s">
        <v>161</v>
      </c>
      <c r="N470" t="s">
        <v>128</v>
      </c>
      <c r="O470" t="s">
        <v>176</v>
      </c>
      <c r="P470" s="1">
        <v>39562</v>
      </c>
      <c r="Q470">
        <v>16.100000000000001</v>
      </c>
      <c r="R470" t="s">
        <v>129</v>
      </c>
      <c r="S470" t="s">
        <v>196</v>
      </c>
      <c r="T470" t="s">
        <v>197</v>
      </c>
      <c r="U470">
        <v>0</v>
      </c>
      <c r="V470">
        <v>0</v>
      </c>
      <c r="W470">
        <v>4836</v>
      </c>
      <c r="X470">
        <v>2177</v>
      </c>
      <c r="Y470">
        <v>266</v>
      </c>
      <c r="Z470">
        <v>7279</v>
      </c>
      <c r="AA470">
        <v>511</v>
      </c>
      <c r="AB470" t="s">
        <v>65</v>
      </c>
      <c r="AC470">
        <v>18.2</v>
      </c>
      <c r="AD470">
        <v>46</v>
      </c>
      <c r="AE470">
        <v>53</v>
      </c>
      <c r="AF470" t="s">
        <v>66</v>
      </c>
      <c r="AG470">
        <v>35</v>
      </c>
      <c r="AH470" t="s">
        <v>67</v>
      </c>
      <c r="AI470" t="s">
        <v>152</v>
      </c>
      <c r="AJ470" t="s">
        <v>69</v>
      </c>
      <c r="AK470" t="s">
        <v>70</v>
      </c>
      <c r="AL470" t="s">
        <v>70</v>
      </c>
      <c r="AM470" t="s">
        <v>70</v>
      </c>
      <c r="AN470" t="s">
        <v>115</v>
      </c>
      <c r="AO470" t="s">
        <v>134</v>
      </c>
      <c r="AP470" t="s">
        <v>221</v>
      </c>
      <c r="AQ470" t="s">
        <v>117</v>
      </c>
      <c r="AR470" s="1">
        <v>44631</v>
      </c>
      <c r="AS470" t="s">
        <v>118</v>
      </c>
      <c r="AT470" t="s">
        <v>71</v>
      </c>
      <c r="AU470">
        <v>153</v>
      </c>
      <c r="AV470" t="s">
        <v>179</v>
      </c>
    </row>
    <row r="471" spans="1:48" x14ac:dyDescent="0.25">
      <c r="A471" t="s">
        <v>758</v>
      </c>
      <c r="B471" t="s">
        <v>78</v>
      </c>
      <c r="C471" t="s">
        <v>155</v>
      </c>
      <c r="D471" t="s">
        <v>51</v>
      </c>
      <c r="E471">
        <v>25</v>
      </c>
      <c r="F471" t="s">
        <v>241</v>
      </c>
      <c r="G471" t="s">
        <v>193</v>
      </c>
      <c r="H471" t="s">
        <v>194</v>
      </c>
      <c r="I471" t="s">
        <v>144</v>
      </c>
      <c r="J471" t="s">
        <v>145</v>
      </c>
      <c r="K471" t="s">
        <v>146</v>
      </c>
      <c r="L471" t="s">
        <v>126</v>
      </c>
      <c r="M471" t="s">
        <v>127</v>
      </c>
      <c r="N471" t="s">
        <v>148</v>
      </c>
      <c r="O471" t="s">
        <v>61</v>
      </c>
      <c r="P471" s="1">
        <v>38696</v>
      </c>
      <c r="Q471">
        <v>18.5</v>
      </c>
      <c r="R471" t="s">
        <v>195</v>
      </c>
      <c r="S471" t="s">
        <v>63</v>
      </c>
      <c r="T471" t="s">
        <v>64</v>
      </c>
      <c r="U471">
        <v>0</v>
      </c>
      <c r="V471">
        <v>0</v>
      </c>
      <c r="W471">
        <v>2259</v>
      </c>
      <c r="X471">
        <v>0</v>
      </c>
      <c r="Y471">
        <v>422</v>
      </c>
      <c r="Z471">
        <v>2681</v>
      </c>
      <c r="AA471">
        <v>374</v>
      </c>
      <c r="AB471" t="s">
        <v>65</v>
      </c>
      <c r="AC471">
        <v>14.7</v>
      </c>
      <c r="AD471">
        <v>55</v>
      </c>
      <c r="AE471">
        <v>72</v>
      </c>
      <c r="AF471" t="s">
        <v>93</v>
      </c>
      <c r="AG471">
        <v>37</v>
      </c>
      <c r="AH471" t="s">
        <v>94</v>
      </c>
      <c r="AI471" t="s">
        <v>68</v>
      </c>
      <c r="AJ471" t="s">
        <v>96</v>
      </c>
      <c r="AK471" t="s">
        <v>70</v>
      </c>
      <c r="AL471" t="s">
        <v>70</v>
      </c>
      <c r="AM471" t="s">
        <v>70</v>
      </c>
      <c r="AN471" t="s">
        <v>270</v>
      </c>
      <c r="AO471" t="s">
        <v>72</v>
      </c>
      <c r="AP471" t="s">
        <v>287</v>
      </c>
      <c r="AQ471" t="s">
        <v>136</v>
      </c>
      <c r="AR471" s="1">
        <v>40202</v>
      </c>
      <c r="AS471" t="s">
        <v>198</v>
      </c>
      <c r="AT471" t="s">
        <v>71</v>
      </c>
      <c r="AU471">
        <v>1358</v>
      </c>
      <c r="AV471" t="s">
        <v>76</v>
      </c>
    </row>
    <row r="472" spans="1:48" x14ac:dyDescent="0.25">
      <c r="A472" t="s">
        <v>759</v>
      </c>
      <c r="B472" t="s">
        <v>346</v>
      </c>
      <c r="C472" t="s">
        <v>155</v>
      </c>
      <c r="D472" t="s">
        <v>51</v>
      </c>
      <c r="E472">
        <v>32</v>
      </c>
      <c r="F472" t="s">
        <v>311</v>
      </c>
      <c r="G472" t="s">
        <v>81</v>
      </c>
      <c r="H472" t="s">
        <v>82</v>
      </c>
      <c r="I472" t="s">
        <v>185</v>
      </c>
      <c r="J472" t="s">
        <v>186</v>
      </c>
      <c r="K472" t="s">
        <v>187</v>
      </c>
      <c r="L472" t="s">
        <v>58</v>
      </c>
      <c r="M472" t="s">
        <v>127</v>
      </c>
      <c r="N472" t="s">
        <v>265</v>
      </c>
      <c r="O472" t="s">
        <v>176</v>
      </c>
      <c r="P472" s="1">
        <v>40334</v>
      </c>
      <c r="Q472">
        <v>14</v>
      </c>
      <c r="R472" t="s">
        <v>62</v>
      </c>
      <c r="S472" t="s">
        <v>196</v>
      </c>
      <c r="T472" t="s">
        <v>197</v>
      </c>
      <c r="U472">
        <v>0</v>
      </c>
      <c r="V472">
        <v>0</v>
      </c>
      <c r="W472">
        <v>2504</v>
      </c>
      <c r="X472">
        <v>1631</v>
      </c>
      <c r="Y472">
        <v>422</v>
      </c>
      <c r="Z472">
        <v>4557</v>
      </c>
      <c r="AA472">
        <v>339</v>
      </c>
      <c r="AB472" t="s">
        <v>151</v>
      </c>
      <c r="AC472">
        <v>19.5</v>
      </c>
      <c r="AD472">
        <v>54</v>
      </c>
      <c r="AE472">
        <v>70</v>
      </c>
      <c r="AF472" t="s">
        <v>93</v>
      </c>
      <c r="AG472">
        <v>16</v>
      </c>
      <c r="AH472" t="s">
        <v>113</v>
      </c>
      <c r="AI472" t="s">
        <v>95</v>
      </c>
      <c r="AJ472" t="s">
        <v>188</v>
      </c>
      <c r="AK472" t="s">
        <v>71</v>
      </c>
      <c r="AL472" t="s">
        <v>71</v>
      </c>
      <c r="AM472" t="s">
        <v>70</v>
      </c>
      <c r="AN472" t="s">
        <v>270</v>
      </c>
      <c r="AO472" t="s">
        <v>135</v>
      </c>
      <c r="AP472" t="s">
        <v>72</v>
      </c>
      <c r="AQ472" t="s">
        <v>136</v>
      </c>
      <c r="AR472" s="1">
        <v>45074</v>
      </c>
      <c r="AS472" t="s">
        <v>75</v>
      </c>
      <c r="AT472" t="s">
        <v>71</v>
      </c>
      <c r="AU472">
        <v>729</v>
      </c>
      <c r="AV472" t="s">
        <v>76</v>
      </c>
    </row>
    <row r="473" spans="1:48" x14ac:dyDescent="0.25">
      <c r="A473" t="s">
        <v>760</v>
      </c>
      <c r="B473" t="s">
        <v>282</v>
      </c>
      <c r="C473" t="s">
        <v>375</v>
      </c>
      <c r="D473" t="s">
        <v>51</v>
      </c>
      <c r="E473">
        <v>37</v>
      </c>
      <c r="F473" t="s">
        <v>248</v>
      </c>
      <c r="G473" t="s">
        <v>169</v>
      </c>
      <c r="H473" t="s">
        <v>170</v>
      </c>
      <c r="I473" t="s">
        <v>217</v>
      </c>
      <c r="J473" t="s">
        <v>218</v>
      </c>
      <c r="K473" t="s">
        <v>146</v>
      </c>
      <c r="L473" t="s">
        <v>126</v>
      </c>
      <c r="M473" t="s">
        <v>87</v>
      </c>
      <c r="N473" t="s">
        <v>148</v>
      </c>
      <c r="O473" t="s">
        <v>109</v>
      </c>
      <c r="P473" s="1">
        <v>43556</v>
      </c>
      <c r="Q473">
        <v>5.2</v>
      </c>
      <c r="R473" t="s">
        <v>90</v>
      </c>
      <c r="S473" t="s">
        <v>63</v>
      </c>
      <c r="T473" t="s">
        <v>64</v>
      </c>
      <c r="U473">
        <v>0</v>
      </c>
      <c r="V473">
        <v>0</v>
      </c>
      <c r="W473">
        <v>3294</v>
      </c>
      <c r="X473">
        <v>0</v>
      </c>
      <c r="Y473">
        <v>422</v>
      </c>
      <c r="Z473">
        <v>3716</v>
      </c>
      <c r="AA473">
        <v>545</v>
      </c>
      <c r="AB473" t="s">
        <v>65</v>
      </c>
      <c r="AC473">
        <v>18.3</v>
      </c>
      <c r="AD473">
        <v>82</v>
      </c>
      <c r="AE473">
        <v>32</v>
      </c>
      <c r="AF473" t="s">
        <v>112</v>
      </c>
      <c r="AG473">
        <v>27</v>
      </c>
      <c r="AH473" t="s">
        <v>113</v>
      </c>
      <c r="AI473" t="s">
        <v>95</v>
      </c>
      <c r="AJ473" t="s">
        <v>69</v>
      </c>
      <c r="AK473" t="s">
        <v>71</v>
      </c>
      <c r="AL473" t="s">
        <v>70</v>
      </c>
      <c r="AM473" t="s">
        <v>70</v>
      </c>
      <c r="AN473" t="s">
        <v>72</v>
      </c>
      <c r="AO473" t="s">
        <v>135</v>
      </c>
      <c r="AP473" t="s">
        <v>72</v>
      </c>
      <c r="AQ473" t="s">
        <v>74</v>
      </c>
      <c r="AR473" s="1">
        <v>45462</v>
      </c>
      <c r="AS473" t="s">
        <v>137</v>
      </c>
      <c r="AT473" t="s">
        <v>71</v>
      </c>
      <c r="AU473">
        <v>-145</v>
      </c>
      <c r="AV473" t="s">
        <v>179</v>
      </c>
    </row>
    <row r="474" spans="1:48" x14ac:dyDescent="0.25">
      <c r="A474" t="s">
        <v>761</v>
      </c>
      <c r="B474" t="s">
        <v>245</v>
      </c>
      <c r="C474" t="s">
        <v>206</v>
      </c>
      <c r="D474" t="s">
        <v>122</v>
      </c>
      <c r="E474">
        <v>23</v>
      </c>
      <c r="F474" t="s">
        <v>278</v>
      </c>
      <c r="G474" t="s">
        <v>193</v>
      </c>
      <c r="H474" t="s">
        <v>194</v>
      </c>
      <c r="I474" t="s">
        <v>171</v>
      </c>
      <c r="J474" t="s">
        <v>172</v>
      </c>
      <c r="K474" t="s">
        <v>173</v>
      </c>
      <c r="L474" t="s">
        <v>58</v>
      </c>
      <c r="M474" t="s">
        <v>59</v>
      </c>
      <c r="N474" t="s">
        <v>128</v>
      </c>
      <c r="O474" t="s">
        <v>89</v>
      </c>
      <c r="P474" s="1">
        <v>42077</v>
      </c>
      <c r="Q474">
        <v>9.1999999999999993</v>
      </c>
      <c r="R474" t="s">
        <v>208</v>
      </c>
      <c r="S474" t="s">
        <v>91</v>
      </c>
      <c r="T474" t="s">
        <v>92</v>
      </c>
      <c r="U474">
        <v>10</v>
      </c>
      <c r="V474">
        <v>1</v>
      </c>
      <c r="W474">
        <v>2259</v>
      </c>
      <c r="X474">
        <v>1294</v>
      </c>
      <c r="Y474">
        <v>422</v>
      </c>
      <c r="Z474">
        <v>3975</v>
      </c>
      <c r="AA474">
        <v>521</v>
      </c>
      <c r="AB474" t="s">
        <v>65</v>
      </c>
      <c r="AC474">
        <v>12.8</v>
      </c>
      <c r="AD474">
        <v>39</v>
      </c>
      <c r="AE474">
        <v>65</v>
      </c>
      <c r="AF474" t="s">
        <v>93</v>
      </c>
      <c r="AG474">
        <v>35</v>
      </c>
      <c r="AH474" t="s">
        <v>67</v>
      </c>
      <c r="AI474" t="s">
        <v>68</v>
      </c>
      <c r="AJ474" t="s">
        <v>72</v>
      </c>
      <c r="AK474" t="s">
        <v>70</v>
      </c>
      <c r="AL474" t="s">
        <v>71</v>
      </c>
      <c r="AM474" t="s">
        <v>70</v>
      </c>
      <c r="AN474" t="s">
        <v>115</v>
      </c>
      <c r="AO474" t="s">
        <v>227</v>
      </c>
      <c r="AP474" t="s">
        <v>72</v>
      </c>
      <c r="AQ474" t="s">
        <v>98</v>
      </c>
      <c r="AR474" s="1">
        <v>44682</v>
      </c>
      <c r="AS474" t="s">
        <v>198</v>
      </c>
      <c r="AT474" t="s">
        <v>71</v>
      </c>
      <c r="AU474">
        <v>-301</v>
      </c>
      <c r="AV474" t="s">
        <v>179</v>
      </c>
    </row>
    <row r="475" spans="1:48" x14ac:dyDescent="0.25">
      <c r="A475" t="s">
        <v>762</v>
      </c>
      <c r="B475" t="s">
        <v>190</v>
      </c>
      <c r="C475" t="s">
        <v>140</v>
      </c>
      <c r="D475" t="s">
        <v>51</v>
      </c>
      <c r="E475">
        <v>25</v>
      </c>
      <c r="F475" t="s">
        <v>382</v>
      </c>
      <c r="G475" t="s">
        <v>285</v>
      </c>
      <c r="H475" t="s">
        <v>286</v>
      </c>
      <c r="I475" t="s">
        <v>273</v>
      </c>
      <c r="J475" t="s">
        <v>274</v>
      </c>
      <c r="K475" t="s">
        <v>57</v>
      </c>
      <c r="L475" t="s">
        <v>126</v>
      </c>
      <c r="M475" t="s">
        <v>207</v>
      </c>
      <c r="N475" t="s">
        <v>128</v>
      </c>
      <c r="O475" t="s">
        <v>149</v>
      </c>
      <c r="P475" s="1">
        <v>38679</v>
      </c>
      <c r="Q475">
        <v>18.5</v>
      </c>
      <c r="R475" t="s">
        <v>90</v>
      </c>
      <c r="S475" t="s">
        <v>110</v>
      </c>
      <c r="T475" t="s">
        <v>111</v>
      </c>
      <c r="U475">
        <v>10</v>
      </c>
      <c r="V475">
        <v>1</v>
      </c>
      <c r="W475">
        <v>7668</v>
      </c>
      <c r="X475">
        <v>0</v>
      </c>
      <c r="Y475">
        <v>266</v>
      </c>
      <c r="Z475">
        <v>7934</v>
      </c>
      <c r="AA475">
        <v>391</v>
      </c>
      <c r="AB475" t="s">
        <v>65</v>
      </c>
      <c r="AC475">
        <v>18.3</v>
      </c>
      <c r="AD475">
        <v>81</v>
      </c>
      <c r="AE475">
        <v>34</v>
      </c>
      <c r="AF475" t="s">
        <v>132</v>
      </c>
      <c r="AG475">
        <v>31</v>
      </c>
      <c r="AH475" t="s">
        <v>67</v>
      </c>
      <c r="AI475" t="s">
        <v>152</v>
      </c>
      <c r="AJ475" t="s">
        <v>69</v>
      </c>
      <c r="AK475" t="s">
        <v>71</v>
      </c>
      <c r="AL475" t="s">
        <v>70</v>
      </c>
      <c r="AM475" t="s">
        <v>70</v>
      </c>
      <c r="AN475" t="s">
        <v>72</v>
      </c>
      <c r="AO475" t="s">
        <v>73</v>
      </c>
      <c r="AP475" t="s">
        <v>72</v>
      </c>
      <c r="AQ475" t="s">
        <v>98</v>
      </c>
      <c r="AR475" s="1">
        <v>41995</v>
      </c>
      <c r="AS475" t="s">
        <v>198</v>
      </c>
      <c r="AT475" t="s">
        <v>71</v>
      </c>
      <c r="AU475">
        <v>-25</v>
      </c>
      <c r="AV475" t="s">
        <v>179</v>
      </c>
    </row>
    <row r="476" spans="1:48" x14ac:dyDescent="0.25">
      <c r="A476" t="s">
        <v>763</v>
      </c>
      <c r="B476" t="s">
        <v>377</v>
      </c>
      <c r="C476" t="s">
        <v>264</v>
      </c>
      <c r="D476" t="s">
        <v>51</v>
      </c>
      <c r="E476">
        <v>33</v>
      </c>
      <c r="F476" t="s">
        <v>291</v>
      </c>
      <c r="G476" t="s">
        <v>124</v>
      </c>
      <c r="H476" t="s">
        <v>125</v>
      </c>
      <c r="I476" t="s">
        <v>260</v>
      </c>
      <c r="J476" t="s">
        <v>261</v>
      </c>
      <c r="K476" t="s">
        <v>173</v>
      </c>
      <c r="L476" t="s">
        <v>201</v>
      </c>
      <c r="M476" t="s">
        <v>87</v>
      </c>
      <c r="N476" t="s">
        <v>60</v>
      </c>
      <c r="O476" t="s">
        <v>109</v>
      </c>
      <c r="P476" s="1">
        <v>42417</v>
      </c>
      <c r="Q476">
        <v>8.3000000000000007</v>
      </c>
      <c r="R476" t="s">
        <v>150</v>
      </c>
      <c r="S476" t="s">
        <v>110</v>
      </c>
      <c r="T476" t="s">
        <v>111</v>
      </c>
      <c r="U476">
        <v>13</v>
      </c>
      <c r="V476">
        <v>2</v>
      </c>
      <c r="W476">
        <v>2730</v>
      </c>
      <c r="X476">
        <v>842</v>
      </c>
      <c r="Y476">
        <v>422</v>
      </c>
      <c r="Z476">
        <v>3994</v>
      </c>
      <c r="AA476">
        <v>532</v>
      </c>
      <c r="AB476" t="s">
        <v>65</v>
      </c>
      <c r="AC476">
        <v>17.899999999999999</v>
      </c>
      <c r="AD476">
        <v>26</v>
      </c>
      <c r="AE476">
        <v>56</v>
      </c>
      <c r="AF476" t="s">
        <v>66</v>
      </c>
      <c r="AG476">
        <v>24</v>
      </c>
      <c r="AH476" t="s">
        <v>113</v>
      </c>
      <c r="AI476" t="s">
        <v>152</v>
      </c>
      <c r="AJ476" t="s">
        <v>72</v>
      </c>
      <c r="AK476" t="s">
        <v>70</v>
      </c>
      <c r="AL476" t="s">
        <v>70</v>
      </c>
      <c r="AM476" t="s">
        <v>70</v>
      </c>
      <c r="AN476" t="s">
        <v>202</v>
      </c>
      <c r="AO476" t="s">
        <v>227</v>
      </c>
      <c r="AP476" t="s">
        <v>227</v>
      </c>
      <c r="AQ476" t="s">
        <v>136</v>
      </c>
      <c r="AR476" s="1">
        <v>42865</v>
      </c>
      <c r="AS476" t="s">
        <v>118</v>
      </c>
      <c r="AT476" t="s">
        <v>71</v>
      </c>
      <c r="AU476">
        <v>-402</v>
      </c>
      <c r="AV476" t="s">
        <v>179</v>
      </c>
    </row>
    <row r="477" spans="1:48" x14ac:dyDescent="0.25">
      <c r="A477" t="s">
        <v>764</v>
      </c>
      <c r="B477" t="s">
        <v>251</v>
      </c>
      <c r="C477" t="s">
        <v>79</v>
      </c>
      <c r="D477" t="s">
        <v>51</v>
      </c>
      <c r="E477">
        <v>18</v>
      </c>
      <c r="F477" t="s">
        <v>248</v>
      </c>
      <c r="G477" t="s">
        <v>101</v>
      </c>
      <c r="H477" t="s">
        <v>102</v>
      </c>
      <c r="I477" t="s">
        <v>158</v>
      </c>
      <c r="J477" t="s">
        <v>159</v>
      </c>
      <c r="K477" t="s">
        <v>160</v>
      </c>
      <c r="L477" t="s">
        <v>58</v>
      </c>
      <c r="M477" t="s">
        <v>249</v>
      </c>
      <c r="N477" t="s">
        <v>265</v>
      </c>
      <c r="O477" t="s">
        <v>61</v>
      </c>
      <c r="P477" s="1">
        <v>41411</v>
      </c>
      <c r="Q477">
        <v>11</v>
      </c>
      <c r="R477" t="s">
        <v>62</v>
      </c>
      <c r="S477" t="s">
        <v>63</v>
      </c>
      <c r="T477" t="s">
        <v>64</v>
      </c>
      <c r="U477">
        <v>0</v>
      </c>
      <c r="V477">
        <v>0</v>
      </c>
      <c r="W477">
        <v>2980</v>
      </c>
      <c r="X477">
        <v>1338</v>
      </c>
      <c r="Y477">
        <v>422</v>
      </c>
      <c r="Z477">
        <v>4740</v>
      </c>
      <c r="AA477">
        <v>384</v>
      </c>
      <c r="AB477" t="s">
        <v>65</v>
      </c>
      <c r="AC477">
        <v>13.1</v>
      </c>
      <c r="AD477">
        <v>70</v>
      </c>
      <c r="AE477">
        <v>72</v>
      </c>
      <c r="AF477" t="s">
        <v>132</v>
      </c>
      <c r="AG477">
        <v>19</v>
      </c>
      <c r="AH477" t="s">
        <v>113</v>
      </c>
      <c r="AI477" t="s">
        <v>177</v>
      </c>
      <c r="AJ477" t="s">
        <v>96</v>
      </c>
      <c r="AK477" t="s">
        <v>70</v>
      </c>
      <c r="AL477" t="s">
        <v>70</v>
      </c>
      <c r="AM477" t="s">
        <v>70</v>
      </c>
      <c r="AN477" t="s">
        <v>72</v>
      </c>
      <c r="AO477" t="s">
        <v>203</v>
      </c>
      <c r="AP477" t="s">
        <v>72</v>
      </c>
      <c r="AQ477" t="s">
        <v>98</v>
      </c>
      <c r="AR477" s="1">
        <v>43453</v>
      </c>
      <c r="AS477" t="s">
        <v>137</v>
      </c>
      <c r="AT477" t="s">
        <v>71</v>
      </c>
      <c r="AU477">
        <v>1673</v>
      </c>
      <c r="AV477" t="s">
        <v>76</v>
      </c>
    </row>
    <row r="478" spans="1:48" x14ac:dyDescent="0.25">
      <c r="A478" t="s">
        <v>765</v>
      </c>
      <c r="B478" t="s">
        <v>377</v>
      </c>
      <c r="C478" t="s">
        <v>252</v>
      </c>
      <c r="D478" t="s">
        <v>51</v>
      </c>
      <c r="E478">
        <v>36</v>
      </c>
      <c r="F478" t="s">
        <v>123</v>
      </c>
      <c r="G478" t="s">
        <v>215</v>
      </c>
      <c r="H478" t="s">
        <v>216</v>
      </c>
      <c r="I478" t="s">
        <v>236</v>
      </c>
      <c r="J478" t="s">
        <v>237</v>
      </c>
      <c r="K478" t="s">
        <v>238</v>
      </c>
      <c r="L478" t="s">
        <v>58</v>
      </c>
      <c r="M478" t="s">
        <v>249</v>
      </c>
      <c r="N478" t="s">
        <v>128</v>
      </c>
      <c r="O478" t="s">
        <v>149</v>
      </c>
      <c r="P478" s="1">
        <v>39898</v>
      </c>
      <c r="Q478">
        <v>15.2</v>
      </c>
      <c r="R478" t="s">
        <v>90</v>
      </c>
      <c r="S478" t="s">
        <v>219</v>
      </c>
      <c r="T478" t="s">
        <v>220</v>
      </c>
      <c r="U478">
        <v>0</v>
      </c>
      <c r="V478">
        <v>0</v>
      </c>
      <c r="W478">
        <v>3637</v>
      </c>
      <c r="X478">
        <v>1772</v>
      </c>
      <c r="Y478">
        <v>266</v>
      </c>
      <c r="Z478">
        <v>5675</v>
      </c>
      <c r="AA478">
        <v>488</v>
      </c>
      <c r="AB478" t="s">
        <v>65</v>
      </c>
      <c r="AC478">
        <v>16.600000000000001</v>
      </c>
      <c r="AD478">
        <v>26</v>
      </c>
      <c r="AE478">
        <v>41</v>
      </c>
      <c r="AF478" t="s">
        <v>66</v>
      </c>
      <c r="AG478">
        <v>20</v>
      </c>
      <c r="AH478" t="s">
        <v>113</v>
      </c>
      <c r="AI478" t="s">
        <v>114</v>
      </c>
      <c r="AJ478" t="s">
        <v>72</v>
      </c>
      <c r="AK478" t="s">
        <v>70</v>
      </c>
      <c r="AL478" t="s">
        <v>70</v>
      </c>
      <c r="AM478" t="s">
        <v>71</v>
      </c>
      <c r="AN478" t="s">
        <v>243</v>
      </c>
      <c r="AO478" t="s">
        <v>72</v>
      </c>
      <c r="AP478" t="s">
        <v>72</v>
      </c>
      <c r="AQ478" t="s">
        <v>98</v>
      </c>
      <c r="AR478" s="1">
        <v>41660</v>
      </c>
      <c r="AS478" t="s">
        <v>198</v>
      </c>
      <c r="AT478" t="s">
        <v>71</v>
      </c>
      <c r="AU478">
        <v>575</v>
      </c>
      <c r="AV478" t="s">
        <v>76</v>
      </c>
    </row>
    <row r="479" spans="1:48" x14ac:dyDescent="0.25">
      <c r="A479" t="s">
        <v>766</v>
      </c>
      <c r="B479" t="s">
        <v>166</v>
      </c>
      <c r="C479" t="s">
        <v>501</v>
      </c>
      <c r="D479" t="s">
        <v>122</v>
      </c>
      <c r="E479">
        <v>37</v>
      </c>
      <c r="F479" t="s">
        <v>316</v>
      </c>
      <c r="G479" t="s">
        <v>298</v>
      </c>
      <c r="H479" t="s">
        <v>299</v>
      </c>
      <c r="I479" t="s">
        <v>144</v>
      </c>
      <c r="J479" t="s">
        <v>145</v>
      </c>
      <c r="K479" t="s">
        <v>146</v>
      </c>
      <c r="L479" t="s">
        <v>86</v>
      </c>
      <c r="M479" t="s">
        <v>212</v>
      </c>
      <c r="N479" t="s">
        <v>60</v>
      </c>
      <c r="O479" t="s">
        <v>149</v>
      </c>
      <c r="P479" s="1">
        <v>43855</v>
      </c>
      <c r="Q479">
        <v>4.4000000000000004</v>
      </c>
      <c r="R479" t="s">
        <v>62</v>
      </c>
      <c r="S479" t="s">
        <v>219</v>
      </c>
      <c r="T479" t="s">
        <v>220</v>
      </c>
      <c r="U479">
        <v>0</v>
      </c>
      <c r="V479">
        <v>0</v>
      </c>
      <c r="W479">
        <v>2149</v>
      </c>
      <c r="X479">
        <v>1565</v>
      </c>
      <c r="Y479">
        <v>422</v>
      </c>
      <c r="Z479">
        <v>4136</v>
      </c>
      <c r="AA479">
        <v>355</v>
      </c>
      <c r="AB479" t="s">
        <v>151</v>
      </c>
      <c r="AC479">
        <v>16.3</v>
      </c>
      <c r="AD479">
        <v>73</v>
      </c>
      <c r="AE479">
        <v>44</v>
      </c>
      <c r="AF479" t="s">
        <v>132</v>
      </c>
      <c r="AG479">
        <v>35</v>
      </c>
      <c r="AH479" t="s">
        <v>67</v>
      </c>
      <c r="AI479" t="s">
        <v>95</v>
      </c>
      <c r="AJ479" t="s">
        <v>96</v>
      </c>
      <c r="AK479" t="s">
        <v>70</v>
      </c>
      <c r="AL479" t="s">
        <v>71</v>
      </c>
      <c r="AM479" t="s">
        <v>70</v>
      </c>
      <c r="AN479" t="s">
        <v>133</v>
      </c>
      <c r="AO479" t="s">
        <v>72</v>
      </c>
      <c r="AP479" t="s">
        <v>227</v>
      </c>
      <c r="AQ479" t="s">
        <v>98</v>
      </c>
      <c r="AR479" s="1">
        <v>45657</v>
      </c>
      <c r="AS479" t="s">
        <v>137</v>
      </c>
      <c r="AT479" t="s">
        <v>71</v>
      </c>
      <c r="AU479">
        <v>96</v>
      </c>
      <c r="AV479" t="s">
        <v>179</v>
      </c>
    </row>
    <row r="480" spans="1:48" x14ac:dyDescent="0.25">
      <c r="A480" t="s">
        <v>767</v>
      </c>
      <c r="B480" t="s">
        <v>49</v>
      </c>
      <c r="C480" t="s">
        <v>332</v>
      </c>
      <c r="D480" t="s">
        <v>51</v>
      </c>
      <c r="E480">
        <v>28</v>
      </c>
      <c r="F480" t="s">
        <v>168</v>
      </c>
      <c r="G480" t="s">
        <v>156</v>
      </c>
      <c r="H480" t="s">
        <v>157</v>
      </c>
      <c r="I480" t="s">
        <v>217</v>
      </c>
      <c r="J480" t="s">
        <v>218</v>
      </c>
      <c r="K480" t="s">
        <v>146</v>
      </c>
      <c r="L480" t="s">
        <v>126</v>
      </c>
      <c r="M480" t="s">
        <v>175</v>
      </c>
      <c r="N480" t="s">
        <v>128</v>
      </c>
      <c r="O480" t="s">
        <v>176</v>
      </c>
      <c r="P480" s="1">
        <v>40839</v>
      </c>
      <c r="Q480">
        <v>12.6</v>
      </c>
      <c r="R480" t="s">
        <v>75</v>
      </c>
      <c r="S480" t="s">
        <v>196</v>
      </c>
      <c r="T480" t="s">
        <v>197</v>
      </c>
      <c r="U480">
        <v>0</v>
      </c>
      <c r="V480">
        <v>0</v>
      </c>
      <c r="W480">
        <v>4836</v>
      </c>
      <c r="X480">
        <v>1896</v>
      </c>
      <c r="Y480">
        <v>266</v>
      </c>
      <c r="Z480">
        <v>6998</v>
      </c>
      <c r="AA480">
        <v>551</v>
      </c>
      <c r="AB480" t="s">
        <v>65</v>
      </c>
      <c r="AC480">
        <v>20.3</v>
      </c>
      <c r="AD480">
        <v>74</v>
      </c>
      <c r="AE480">
        <v>60</v>
      </c>
      <c r="AF480" t="s">
        <v>132</v>
      </c>
      <c r="AG480">
        <v>28</v>
      </c>
      <c r="AH480" t="s">
        <v>113</v>
      </c>
      <c r="AI480" t="s">
        <v>152</v>
      </c>
      <c r="AJ480" t="s">
        <v>96</v>
      </c>
      <c r="AK480" t="s">
        <v>71</v>
      </c>
      <c r="AL480" t="s">
        <v>70</v>
      </c>
      <c r="AM480" t="s">
        <v>70</v>
      </c>
      <c r="AN480" t="s">
        <v>72</v>
      </c>
      <c r="AO480" t="s">
        <v>72</v>
      </c>
      <c r="AP480" t="s">
        <v>72</v>
      </c>
      <c r="AQ480" t="s">
        <v>98</v>
      </c>
      <c r="AR480" s="1">
        <v>42741</v>
      </c>
      <c r="AS480" t="s">
        <v>137</v>
      </c>
      <c r="AT480" t="s">
        <v>71</v>
      </c>
      <c r="AU480">
        <v>611</v>
      </c>
      <c r="AV480" t="s">
        <v>76</v>
      </c>
    </row>
    <row r="481" spans="1:48" x14ac:dyDescent="0.25">
      <c r="A481" t="s">
        <v>768</v>
      </c>
      <c r="B481" t="s">
        <v>267</v>
      </c>
      <c r="C481" t="s">
        <v>182</v>
      </c>
      <c r="D481" t="s">
        <v>51</v>
      </c>
      <c r="E481">
        <v>34</v>
      </c>
      <c r="F481" t="s">
        <v>123</v>
      </c>
      <c r="G481" t="s">
        <v>215</v>
      </c>
      <c r="H481" t="s">
        <v>216</v>
      </c>
      <c r="I481" t="s">
        <v>236</v>
      </c>
      <c r="J481" t="s">
        <v>237</v>
      </c>
      <c r="K481" t="s">
        <v>238</v>
      </c>
      <c r="L481" t="s">
        <v>58</v>
      </c>
      <c r="M481" t="s">
        <v>87</v>
      </c>
      <c r="N481" t="s">
        <v>108</v>
      </c>
      <c r="O481" t="s">
        <v>176</v>
      </c>
      <c r="P481" s="1">
        <v>40862</v>
      </c>
      <c r="Q481">
        <v>12.5</v>
      </c>
      <c r="R481" t="s">
        <v>129</v>
      </c>
      <c r="S481" t="s">
        <v>130</v>
      </c>
      <c r="T481" t="s">
        <v>131</v>
      </c>
      <c r="U481">
        <v>10</v>
      </c>
      <c r="V481">
        <v>1</v>
      </c>
      <c r="W481">
        <v>3637</v>
      </c>
      <c r="X481">
        <v>1860</v>
      </c>
      <c r="Y481">
        <v>266</v>
      </c>
      <c r="Z481">
        <v>5763</v>
      </c>
      <c r="AA481">
        <v>386</v>
      </c>
      <c r="AB481" t="s">
        <v>65</v>
      </c>
      <c r="AC481">
        <v>14.9</v>
      </c>
      <c r="AD481">
        <v>58</v>
      </c>
      <c r="AE481">
        <v>57</v>
      </c>
      <c r="AF481" t="s">
        <v>93</v>
      </c>
      <c r="AG481">
        <v>40</v>
      </c>
      <c r="AH481" t="s">
        <v>94</v>
      </c>
      <c r="AI481" t="s">
        <v>177</v>
      </c>
      <c r="AJ481" t="s">
        <v>96</v>
      </c>
      <c r="AK481" t="s">
        <v>70</v>
      </c>
      <c r="AL481" t="s">
        <v>70</v>
      </c>
      <c r="AM481" t="s">
        <v>70</v>
      </c>
      <c r="AN481" t="s">
        <v>202</v>
      </c>
      <c r="AO481" t="s">
        <v>72</v>
      </c>
      <c r="AP481" t="s">
        <v>72</v>
      </c>
      <c r="AQ481" t="s">
        <v>117</v>
      </c>
      <c r="AR481" s="1">
        <v>45443</v>
      </c>
      <c r="AS481" t="s">
        <v>75</v>
      </c>
      <c r="AT481" t="s">
        <v>71</v>
      </c>
      <c r="AU481">
        <v>881</v>
      </c>
      <c r="AV481" t="s">
        <v>76</v>
      </c>
    </row>
    <row r="482" spans="1:48" x14ac:dyDescent="0.25">
      <c r="A482" t="s">
        <v>769</v>
      </c>
      <c r="B482" t="s">
        <v>282</v>
      </c>
      <c r="C482" t="s">
        <v>167</v>
      </c>
      <c r="D482" t="s">
        <v>51</v>
      </c>
      <c r="E482">
        <v>36</v>
      </c>
      <c r="F482" t="s">
        <v>80</v>
      </c>
      <c r="G482" t="s">
        <v>53</v>
      </c>
      <c r="H482" t="s">
        <v>54</v>
      </c>
      <c r="I482" t="s">
        <v>253</v>
      </c>
      <c r="J482" t="s">
        <v>254</v>
      </c>
      <c r="K482" t="s">
        <v>255</v>
      </c>
      <c r="L482" t="s">
        <v>126</v>
      </c>
      <c r="M482" t="s">
        <v>59</v>
      </c>
      <c r="N482" t="s">
        <v>88</v>
      </c>
      <c r="O482" t="s">
        <v>61</v>
      </c>
      <c r="P482" s="1">
        <v>42113</v>
      </c>
      <c r="Q482">
        <v>9.1</v>
      </c>
      <c r="R482" t="s">
        <v>90</v>
      </c>
      <c r="S482" t="s">
        <v>63</v>
      </c>
      <c r="T482" t="s">
        <v>64</v>
      </c>
      <c r="U482">
        <v>0</v>
      </c>
      <c r="V482">
        <v>0</v>
      </c>
      <c r="W482">
        <v>4739</v>
      </c>
      <c r="X482">
        <v>0</v>
      </c>
      <c r="Y482">
        <v>422</v>
      </c>
      <c r="Z482">
        <v>5161</v>
      </c>
      <c r="AA482">
        <v>353</v>
      </c>
      <c r="AB482" t="s">
        <v>151</v>
      </c>
      <c r="AC482">
        <v>14.7</v>
      </c>
      <c r="AD482">
        <v>24</v>
      </c>
      <c r="AE482">
        <v>46</v>
      </c>
      <c r="AF482" t="s">
        <v>132</v>
      </c>
      <c r="AG482">
        <v>33</v>
      </c>
      <c r="AH482" t="s">
        <v>67</v>
      </c>
      <c r="AI482" t="s">
        <v>152</v>
      </c>
      <c r="AJ482" t="s">
        <v>96</v>
      </c>
      <c r="AK482" t="s">
        <v>70</v>
      </c>
      <c r="AL482" t="s">
        <v>70</v>
      </c>
      <c r="AM482" t="s">
        <v>70</v>
      </c>
      <c r="AN482" t="s">
        <v>72</v>
      </c>
      <c r="AO482" t="s">
        <v>227</v>
      </c>
      <c r="AP482" t="s">
        <v>72</v>
      </c>
      <c r="AQ482" t="s">
        <v>98</v>
      </c>
      <c r="AR482" s="1">
        <v>42213</v>
      </c>
      <c r="AS482" t="s">
        <v>198</v>
      </c>
      <c r="AT482" t="s">
        <v>71</v>
      </c>
      <c r="AU482">
        <v>1251</v>
      </c>
      <c r="AV482" t="s">
        <v>76</v>
      </c>
    </row>
    <row r="483" spans="1:48" x14ac:dyDescent="0.25">
      <c r="A483" t="s">
        <v>770</v>
      </c>
      <c r="B483" t="s">
        <v>277</v>
      </c>
      <c r="C483" t="s">
        <v>330</v>
      </c>
      <c r="D483" t="s">
        <v>122</v>
      </c>
      <c r="E483">
        <v>28</v>
      </c>
      <c r="F483" t="s">
        <v>305</v>
      </c>
      <c r="G483" t="s">
        <v>285</v>
      </c>
      <c r="H483" t="s">
        <v>286</v>
      </c>
      <c r="I483" t="s">
        <v>253</v>
      </c>
      <c r="J483" t="s">
        <v>254</v>
      </c>
      <c r="K483" t="s">
        <v>255</v>
      </c>
      <c r="L483" t="s">
        <v>126</v>
      </c>
      <c r="M483" t="s">
        <v>161</v>
      </c>
      <c r="N483" t="s">
        <v>60</v>
      </c>
      <c r="O483" t="s">
        <v>149</v>
      </c>
      <c r="P483" s="1">
        <v>39836</v>
      </c>
      <c r="Q483">
        <v>15.4</v>
      </c>
      <c r="R483" t="s">
        <v>62</v>
      </c>
      <c r="S483" t="s">
        <v>163</v>
      </c>
      <c r="T483" t="s">
        <v>164</v>
      </c>
      <c r="U483">
        <v>11</v>
      </c>
      <c r="V483">
        <v>1</v>
      </c>
      <c r="W483">
        <v>7668</v>
      </c>
      <c r="X483">
        <v>0</v>
      </c>
      <c r="Y483">
        <v>266</v>
      </c>
      <c r="Z483">
        <v>7934</v>
      </c>
      <c r="AA483">
        <v>570</v>
      </c>
      <c r="AB483" t="s">
        <v>65</v>
      </c>
      <c r="AC483">
        <v>19.7</v>
      </c>
      <c r="AD483">
        <v>37</v>
      </c>
      <c r="AE483">
        <v>36</v>
      </c>
      <c r="AF483" t="s">
        <v>112</v>
      </c>
      <c r="AG483">
        <v>20</v>
      </c>
      <c r="AH483" t="s">
        <v>113</v>
      </c>
      <c r="AI483" t="s">
        <v>68</v>
      </c>
      <c r="AJ483" t="s">
        <v>72</v>
      </c>
      <c r="AK483" t="s">
        <v>71</v>
      </c>
      <c r="AL483" t="s">
        <v>71</v>
      </c>
      <c r="AM483" t="s">
        <v>71</v>
      </c>
      <c r="AN483" t="s">
        <v>202</v>
      </c>
      <c r="AO483" t="s">
        <v>72</v>
      </c>
      <c r="AP483" t="s">
        <v>72</v>
      </c>
      <c r="AQ483" t="s">
        <v>74</v>
      </c>
      <c r="AR483" s="1">
        <v>41619</v>
      </c>
      <c r="AS483" t="s">
        <v>75</v>
      </c>
      <c r="AT483" t="s">
        <v>71</v>
      </c>
      <c r="AU483">
        <v>592</v>
      </c>
      <c r="AV483" t="s">
        <v>76</v>
      </c>
    </row>
    <row r="484" spans="1:48" x14ac:dyDescent="0.25">
      <c r="A484" t="s">
        <v>771</v>
      </c>
      <c r="B484" t="s">
        <v>377</v>
      </c>
      <c r="C484" t="s">
        <v>182</v>
      </c>
      <c r="D484" t="s">
        <v>51</v>
      </c>
      <c r="E484">
        <v>23</v>
      </c>
      <c r="F484" t="s">
        <v>322</v>
      </c>
      <c r="G484" t="s">
        <v>234</v>
      </c>
      <c r="H484" t="s">
        <v>235</v>
      </c>
      <c r="I484" t="s">
        <v>103</v>
      </c>
      <c r="J484" t="s">
        <v>104</v>
      </c>
      <c r="K484" t="s">
        <v>105</v>
      </c>
      <c r="L484" t="s">
        <v>201</v>
      </c>
      <c r="M484" t="s">
        <v>161</v>
      </c>
      <c r="N484" t="s">
        <v>128</v>
      </c>
      <c r="O484" t="s">
        <v>149</v>
      </c>
      <c r="P484" s="1">
        <v>39760</v>
      </c>
      <c r="Q484">
        <v>15.6</v>
      </c>
      <c r="R484" t="s">
        <v>62</v>
      </c>
      <c r="S484" t="s">
        <v>196</v>
      </c>
      <c r="T484" t="s">
        <v>197</v>
      </c>
      <c r="U484">
        <v>0</v>
      </c>
      <c r="V484">
        <v>0</v>
      </c>
      <c r="W484">
        <v>1917</v>
      </c>
      <c r="X484">
        <v>0</v>
      </c>
      <c r="Y484">
        <v>422</v>
      </c>
      <c r="Z484">
        <v>2339</v>
      </c>
      <c r="AA484">
        <v>336</v>
      </c>
      <c r="AB484" t="s">
        <v>151</v>
      </c>
      <c r="AC484">
        <v>17.100000000000001</v>
      </c>
      <c r="AD484">
        <v>21</v>
      </c>
      <c r="AE484">
        <v>40</v>
      </c>
      <c r="AF484" t="s">
        <v>112</v>
      </c>
      <c r="AG484">
        <v>31</v>
      </c>
      <c r="AH484" t="s">
        <v>67</v>
      </c>
      <c r="AI484" t="s">
        <v>68</v>
      </c>
      <c r="AJ484" t="s">
        <v>188</v>
      </c>
      <c r="AK484" t="s">
        <v>70</v>
      </c>
      <c r="AL484" t="s">
        <v>70</v>
      </c>
      <c r="AM484" t="s">
        <v>70</v>
      </c>
      <c r="AN484" t="s">
        <v>72</v>
      </c>
      <c r="AO484" t="s">
        <v>97</v>
      </c>
      <c r="AP484" t="s">
        <v>72</v>
      </c>
      <c r="AQ484" t="s">
        <v>74</v>
      </c>
      <c r="AR484" s="1">
        <v>44946</v>
      </c>
      <c r="AS484" t="s">
        <v>137</v>
      </c>
      <c r="AT484" t="s">
        <v>71</v>
      </c>
      <c r="AU484">
        <v>763</v>
      </c>
      <c r="AV484" t="s">
        <v>76</v>
      </c>
    </row>
    <row r="485" spans="1:48" x14ac:dyDescent="0.25">
      <c r="A485" t="s">
        <v>772</v>
      </c>
      <c r="B485" t="s">
        <v>100</v>
      </c>
      <c r="C485" t="s">
        <v>330</v>
      </c>
      <c r="D485" t="s">
        <v>122</v>
      </c>
      <c r="E485">
        <v>34</v>
      </c>
      <c r="F485" t="s">
        <v>305</v>
      </c>
      <c r="G485" t="s">
        <v>156</v>
      </c>
      <c r="H485" t="s">
        <v>157</v>
      </c>
      <c r="I485" t="s">
        <v>185</v>
      </c>
      <c r="J485" t="s">
        <v>186</v>
      </c>
      <c r="K485" t="s">
        <v>187</v>
      </c>
      <c r="L485" t="s">
        <v>58</v>
      </c>
      <c r="M485" t="s">
        <v>107</v>
      </c>
      <c r="N485" t="s">
        <v>60</v>
      </c>
      <c r="O485" t="s">
        <v>89</v>
      </c>
      <c r="P485" s="1">
        <v>41699</v>
      </c>
      <c r="Q485">
        <v>10.3</v>
      </c>
      <c r="R485" t="s">
        <v>75</v>
      </c>
      <c r="S485" t="s">
        <v>219</v>
      </c>
      <c r="T485" t="s">
        <v>220</v>
      </c>
      <c r="U485">
        <v>0</v>
      </c>
      <c r="V485">
        <v>0</v>
      </c>
      <c r="W485">
        <v>4836</v>
      </c>
      <c r="X485">
        <v>1709</v>
      </c>
      <c r="Y485">
        <v>266</v>
      </c>
      <c r="Z485">
        <v>6811</v>
      </c>
      <c r="AA485">
        <v>484</v>
      </c>
      <c r="AB485" t="s">
        <v>65</v>
      </c>
      <c r="AC485">
        <v>13.8</v>
      </c>
      <c r="AD485">
        <v>76</v>
      </c>
      <c r="AE485">
        <v>54</v>
      </c>
      <c r="AF485" t="s">
        <v>66</v>
      </c>
      <c r="AG485">
        <v>33</v>
      </c>
      <c r="AH485" t="s">
        <v>67</v>
      </c>
      <c r="AI485" t="s">
        <v>95</v>
      </c>
      <c r="AJ485" t="s">
        <v>96</v>
      </c>
      <c r="AK485" t="s">
        <v>70</v>
      </c>
      <c r="AL485" t="s">
        <v>71</v>
      </c>
      <c r="AM485" t="s">
        <v>70</v>
      </c>
      <c r="AN485" t="s">
        <v>243</v>
      </c>
      <c r="AO485" t="s">
        <v>72</v>
      </c>
      <c r="AP485" t="s">
        <v>72</v>
      </c>
      <c r="AQ485" t="s">
        <v>74</v>
      </c>
      <c r="AR485" s="1">
        <v>42231</v>
      </c>
      <c r="AS485" t="s">
        <v>198</v>
      </c>
      <c r="AT485" t="s">
        <v>71</v>
      </c>
      <c r="AU485">
        <v>-184</v>
      </c>
      <c r="AV485" t="s">
        <v>179</v>
      </c>
    </row>
    <row r="486" spans="1:48" x14ac:dyDescent="0.25">
      <c r="A486" t="s">
        <v>773</v>
      </c>
      <c r="B486" t="s">
        <v>78</v>
      </c>
      <c r="C486" t="s">
        <v>334</v>
      </c>
      <c r="D486" t="s">
        <v>122</v>
      </c>
      <c r="E486">
        <v>33</v>
      </c>
      <c r="F486" t="s">
        <v>52</v>
      </c>
      <c r="G486" t="s">
        <v>169</v>
      </c>
      <c r="H486" t="s">
        <v>170</v>
      </c>
      <c r="I486" t="s">
        <v>55</v>
      </c>
      <c r="J486" t="s">
        <v>56</v>
      </c>
      <c r="K486" t="s">
        <v>57</v>
      </c>
      <c r="L486" t="s">
        <v>86</v>
      </c>
      <c r="M486" t="s">
        <v>161</v>
      </c>
      <c r="N486" t="s">
        <v>162</v>
      </c>
      <c r="O486" t="s">
        <v>176</v>
      </c>
      <c r="P486" s="1">
        <v>40390</v>
      </c>
      <c r="Q486">
        <v>13.8</v>
      </c>
      <c r="R486" t="s">
        <v>75</v>
      </c>
      <c r="S486" t="s">
        <v>219</v>
      </c>
      <c r="T486" t="s">
        <v>220</v>
      </c>
      <c r="U486">
        <v>0</v>
      </c>
      <c r="V486">
        <v>0</v>
      </c>
      <c r="W486">
        <v>3294</v>
      </c>
      <c r="X486">
        <v>0</v>
      </c>
      <c r="Y486">
        <v>422</v>
      </c>
      <c r="Z486">
        <v>3716</v>
      </c>
      <c r="AA486">
        <v>302</v>
      </c>
      <c r="AB486" t="s">
        <v>151</v>
      </c>
      <c r="AC486">
        <v>15.7</v>
      </c>
      <c r="AD486">
        <v>76</v>
      </c>
      <c r="AE486">
        <v>60</v>
      </c>
      <c r="AF486" t="s">
        <v>93</v>
      </c>
      <c r="AG486">
        <v>36</v>
      </c>
      <c r="AH486" t="s">
        <v>94</v>
      </c>
      <c r="AI486" t="s">
        <v>95</v>
      </c>
      <c r="AJ486" t="s">
        <v>96</v>
      </c>
      <c r="AK486" t="s">
        <v>70</v>
      </c>
      <c r="AL486" t="s">
        <v>70</v>
      </c>
      <c r="AM486" t="s">
        <v>71</v>
      </c>
      <c r="AN486" t="s">
        <v>72</v>
      </c>
      <c r="AO486" t="s">
        <v>72</v>
      </c>
      <c r="AP486" t="s">
        <v>72</v>
      </c>
      <c r="AQ486" t="s">
        <v>136</v>
      </c>
      <c r="AR486" s="1">
        <v>42267</v>
      </c>
      <c r="AS486" t="s">
        <v>198</v>
      </c>
      <c r="AT486" t="s">
        <v>71</v>
      </c>
      <c r="AU486">
        <v>926</v>
      </c>
      <c r="AV486" t="s">
        <v>76</v>
      </c>
    </row>
    <row r="487" spans="1:48" x14ac:dyDescent="0.25">
      <c r="A487" t="s">
        <v>774</v>
      </c>
      <c r="B487" t="s">
        <v>282</v>
      </c>
      <c r="C487" t="s">
        <v>272</v>
      </c>
      <c r="D487" t="s">
        <v>51</v>
      </c>
      <c r="E487">
        <v>26</v>
      </c>
      <c r="F487" t="s">
        <v>278</v>
      </c>
      <c r="G487" t="s">
        <v>242</v>
      </c>
      <c r="H487" t="s">
        <v>54</v>
      </c>
      <c r="I487" t="s">
        <v>185</v>
      </c>
      <c r="J487" t="s">
        <v>186</v>
      </c>
      <c r="K487" t="s">
        <v>187</v>
      </c>
      <c r="L487" t="s">
        <v>58</v>
      </c>
      <c r="M487" t="s">
        <v>275</v>
      </c>
      <c r="N487" t="s">
        <v>108</v>
      </c>
      <c r="O487" t="s">
        <v>61</v>
      </c>
      <c r="P487" s="1">
        <v>43636</v>
      </c>
      <c r="Q487">
        <v>5</v>
      </c>
      <c r="R487" t="s">
        <v>150</v>
      </c>
      <c r="S487" t="s">
        <v>63</v>
      </c>
      <c r="T487" t="s">
        <v>64</v>
      </c>
      <c r="U487">
        <v>0</v>
      </c>
      <c r="V487">
        <v>0</v>
      </c>
      <c r="W487">
        <v>4739</v>
      </c>
      <c r="X487">
        <v>0</v>
      </c>
      <c r="Y487">
        <v>422</v>
      </c>
      <c r="Z487">
        <v>5161</v>
      </c>
      <c r="AA487">
        <v>476</v>
      </c>
      <c r="AB487" t="s">
        <v>65</v>
      </c>
      <c r="AC487">
        <v>19.7</v>
      </c>
      <c r="AD487">
        <v>82</v>
      </c>
      <c r="AE487">
        <v>54</v>
      </c>
      <c r="AF487" t="s">
        <v>66</v>
      </c>
      <c r="AG487">
        <v>40</v>
      </c>
      <c r="AH487" t="s">
        <v>94</v>
      </c>
      <c r="AI487" t="s">
        <v>114</v>
      </c>
      <c r="AJ487" t="s">
        <v>72</v>
      </c>
      <c r="AK487" t="s">
        <v>70</v>
      </c>
      <c r="AL487" t="s">
        <v>71</v>
      </c>
      <c r="AM487" t="s">
        <v>70</v>
      </c>
      <c r="AN487" t="s">
        <v>72</v>
      </c>
      <c r="AO487" t="s">
        <v>73</v>
      </c>
      <c r="AP487" t="s">
        <v>72</v>
      </c>
      <c r="AQ487" t="s">
        <v>98</v>
      </c>
      <c r="AR487" s="1">
        <v>45251</v>
      </c>
      <c r="AS487" t="s">
        <v>75</v>
      </c>
      <c r="AT487" t="s">
        <v>71</v>
      </c>
      <c r="AU487">
        <v>640</v>
      </c>
      <c r="AV487" t="s">
        <v>76</v>
      </c>
    </row>
    <row r="488" spans="1:48" x14ac:dyDescent="0.25">
      <c r="A488" t="s">
        <v>775</v>
      </c>
      <c r="B488" t="s">
        <v>166</v>
      </c>
      <c r="C488" t="s">
        <v>182</v>
      </c>
      <c r="D488" t="s">
        <v>51</v>
      </c>
      <c r="E488">
        <v>42</v>
      </c>
      <c r="F488" t="s">
        <v>248</v>
      </c>
      <c r="G488" t="s">
        <v>142</v>
      </c>
      <c r="H488" t="s">
        <v>143</v>
      </c>
      <c r="I488" t="s">
        <v>273</v>
      </c>
      <c r="J488" t="s">
        <v>274</v>
      </c>
      <c r="K488" t="s">
        <v>57</v>
      </c>
      <c r="L488" t="s">
        <v>201</v>
      </c>
      <c r="M488" t="s">
        <v>127</v>
      </c>
      <c r="N488" t="s">
        <v>108</v>
      </c>
      <c r="O488" t="s">
        <v>89</v>
      </c>
      <c r="P488" s="1">
        <v>43439</v>
      </c>
      <c r="Q488">
        <v>5.5</v>
      </c>
      <c r="R488" t="s">
        <v>195</v>
      </c>
      <c r="S488" t="s">
        <v>163</v>
      </c>
      <c r="T488" t="s">
        <v>164</v>
      </c>
      <c r="U488">
        <v>5</v>
      </c>
      <c r="V488">
        <v>0</v>
      </c>
      <c r="W488">
        <v>5473</v>
      </c>
      <c r="X488">
        <v>1390</v>
      </c>
      <c r="Y488">
        <v>422</v>
      </c>
      <c r="Z488">
        <v>7285</v>
      </c>
      <c r="AA488">
        <v>410</v>
      </c>
      <c r="AB488" t="s">
        <v>65</v>
      </c>
      <c r="AC488">
        <v>20.5</v>
      </c>
      <c r="AD488">
        <v>77</v>
      </c>
      <c r="AE488">
        <v>40</v>
      </c>
      <c r="AF488" t="s">
        <v>66</v>
      </c>
      <c r="AG488">
        <v>22</v>
      </c>
      <c r="AH488" t="s">
        <v>113</v>
      </c>
      <c r="AI488" t="s">
        <v>114</v>
      </c>
      <c r="AJ488" t="s">
        <v>188</v>
      </c>
      <c r="AK488" t="s">
        <v>71</v>
      </c>
      <c r="AL488" t="s">
        <v>70</v>
      </c>
      <c r="AM488" t="s">
        <v>70</v>
      </c>
      <c r="AN488" t="s">
        <v>202</v>
      </c>
      <c r="AO488" t="s">
        <v>116</v>
      </c>
      <c r="AP488" t="s">
        <v>97</v>
      </c>
      <c r="AQ488" t="s">
        <v>136</v>
      </c>
      <c r="AR488" s="1">
        <v>44107</v>
      </c>
      <c r="AS488" t="s">
        <v>118</v>
      </c>
      <c r="AT488" t="s">
        <v>71</v>
      </c>
      <c r="AU488">
        <v>-465</v>
      </c>
      <c r="AV488" t="s">
        <v>179</v>
      </c>
    </row>
    <row r="489" spans="1:48" x14ac:dyDescent="0.25">
      <c r="A489" t="s">
        <v>776</v>
      </c>
      <c r="B489" t="s">
        <v>49</v>
      </c>
      <c r="C489" t="s">
        <v>264</v>
      </c>
      <c r="D489" t="s">
        <v>51</v>
      </c>
      <c r="E489">
        <v>42</v>
      </c>
      <c r="F489" t="s">
        <v>214</v>
      </c>
      <c r="G489" t="s">
        <v>234</v>
      </c>
      <c r="H489" t="s">
        <v>235</v>
      </c>
      <c r="I489" t="s">
        <v>103</v>
      </c>
      <c r="J489" t="s">
        <v>104</v>
      </c>
      <c r="K489" t="s">
        <v>105</v>
      </c>
      <c r="L489" t="s">
        <v>201</v>
      </c>
      <c r="M489" t="s">
        <v>296</v>
      </c>
      <c r="N489" t="s">
        <v>162</v>
      </c>
      <c r="O489" t="s">
        <v>149</v>
      </c>
      <c r="P489" s="1">
        <v>39721</v>
      </c>
      <c r="Q489">
        <v>15.7</v>
      </c>
      <c r="R489" t="s">
        <v>129</v>
      </c>
      <c r="S489" t="s">
        <v>163</v>
      </c>
      <c r="T489" t="s">
        <v>164</v>
      </c>
      <c r="U489">
        <v>15</v>
      </c>
      <c r="V489">
        <v>2</v>
      </c>
      <c r="W489">
        <v>1917</v>
      </c>
      <c r="X489">
        <v>0</v>
      </c>
      <c r="Y489">
        <v>422</v>
      </c>
      <c r="Z489">
        <v>2339</v>
      </c>
      <c r="AA489">
        <v>583</v>
      </c>
      <c r="AB489" t="s">
        <v>65</v>
      </c>
      <c r="AC489">
        <v>14.6</v>
      </c>
      <c r="AD489">
        <v>58</v>
      </c>
      <c r="AE489">
        <v>53</v>
      </c>
      <c r="AF489" t="s">
        <v>112</v>
      </c>
      <c r="AG489">
        <v>30</v>
      </c>
      <c r="AH489" t="s">
        <v>67</v>
      </c>
      <c r="AI489" t="s">
        <v>177</v>
      </c>
      <c r="AJ489" t="s">
        <v>188</v>
      </c>
      <c r="AK489" t="s">
        <v>70</v>
      </c>
      <c r="AL489" t="s">
        <v>70</v>
      </c>
      <c r="AM489" t="s">
        <v>70</v>
      </c>
      <c r="AN489" t="s">
        <v>72</v>
      </c>
      <c r="AO489" t="s">
        <v>73</v>
      </c>
      <c r="AP489" t="s">
        <v>72</v>
      </c>
      <c r="AQ489" t="s">
        <v>136</v>
      </c>
      <c r="AR489" s="1">
        <v>41800</v>
      </c>
      <c r="AS489" t="s">
        <v>198</v>
      </c>
      <c r="AT489" t="s">
        <v>71</v>
      </c>
      <c r="AU489">
        <v>1387</v>
      </c>
      <c r="AV489" t="s">
        <v>76</v>
      </c>
    </row>
    <row r="490" spans="1:48" x14ac:dyDescent="0.25">
      <c r="A490" t="s">
        <v>777</v>
      </c>
      <c r="B490" t="s">
        <v>78</v>
      </c>
      <c r="C490" t="s">
        <v>240</v>
      </c>
      <c r="D490" t="s">
        <v>122</v>
      </c>
      <c r="E490">
        <v>31</v>
      </c>
      <c r="F490" t="s">
        <v>291</v>
      </c>
      <c r="G490" t="s">
        <v>156</v>
      </c>
      <c r="H490" t="s">
        <v>157</v>
      </c>
      <c r="I490" t="s">
        <v>236</v>
      </c>
      <c r="J490" t="s">
        <v>237</v>
      </c>
      <c r="K490" t="s">
        <v>238</v>
      </c>
      <c r="L490" t="s">
        <v>201</v>
      </c>
      <c r="M490" t="s">
        <v>249</v>
      </c>
      <c r="N490" t="s">
        <v>265</v>
      </c>
      <c r="O490" t="s">
        <v>61</v>
      </c>
      <c r="P490" s="1">
        <v>41252</v>
      </c>
      <c r="Q490">
        <v>11.5</v>
      </c>
      <c r="R490" t="s">
        <v>208</v>
      </c>
      <c r="S490" t="s">
        <v>196</v>
      </c>
      <c r="T490" t="s">
        <v>197</v>
      </c>
      <c r="U490">
        <v>0</v>
      </c>
      <c r="V490">
        <v>0</v>
      </c>
      <c r="W490">
        <v>4836</v>
      </c>
      <c r="X490">
        <v>2040</v>
      </c>
      <c r="Y490">
        <v>266</v>
      </c>
      <c r="Z490">
        <v>7142</v>
      </c>
      <c r="AA490">
        <v>375</v>
      </c>
      <c r="AB490" t="s">
        <v>65</v>
      </c>
      <c r="AC490">
        <v>18.899999999999999</v>
      </c>
      <c r="AD490">
        <v>53</v>
      </c>
      <c r="AE490">
        <v>56</v>
      </c>
      <c r="AF490" t="s">
        <v>132</v>
      </c>
      <c r="AG490">
        <v>20</v>
      </c>
      <c r="AH490" t="s">
        <v>113</v>
      </c>
      <c r="AI490" t="s">
        <v>95</v>
      </c>
      <c r="AJ490" t="s">
        <v>96</v>
      </c>
      <c r="AK490" t="s">
        <v>70</v>
      </c>
      <c r="AL490" t="s">
        <v>71</v>
      </c>
      <c r="AM490" t="s">
        <v>70</v>
      </c>
      <c r="AN490" t="s">
        <v>72</v>
      </c>
      <c r="AO490" t="s">
        <v>72</v>
      </c>
      <c r="AP490" t="s">
        <v>72</v>
      </c>
      <c r="AQ490" t="s">
        <v>136</v>
      </c>
      <c r="AR490" s="1">
        <v>43485</v>
      </c>
      <c r="AS490" t="s">
        <v>75</v>
      </c>
      <c r="AT490" t="s">
        <v>71</v>
      </c>
      <c r="AU490">
        <v>1495</v>
      </c>
      <c r="AV490" t="s">
        <v>76</v>
      </c>
    </row>
    <row r="491" spans="1:48" x14ac:dyDescent="0.25">
      <c r="A491" t="s">
        <v>778</v>
      </c>
      <c r="B491" t="s">
        <v>263</v>
      </c>
      <c r="C491" t="s">
        <v>50</v>
      </c>
      <c r="D491" t="s">
        <v>51</v>
      </c>
      <c r="E491">
        <v>19</v>
      </c>
      <c r="F491" t="s">
        <v>322</v>
      </c>
      <c r="G491" t="s">
        <v>183</v>
      </c>
      <c r="H491" t="s">
        <v>184</v>
      </c>
      <c r="I491" t="s">
        <v>292</v>
      </c>
      <c r="J491" t="s">
        <v>293</v>
      </c>
      <c r="K491" t="s">
        <v>294</v>
      </c>
      <c r="L491" t="s">
        <v>106</v>
      </c>
      <c r="M491" t="s">
        <v>275</v>
      </c>
      <c r="N491" t="s">
        <v>162</v>
      </c>
      <c r="O491" t="s">
        <v>61</v>
      </c>
      <c r="P491" s="1">
        <v>44828</v>
      </c>
      <c r="Q491">
        <v>1.7</v>
      </c>
      <c r="R491" t="s">
        <v>195</v>
      </c>
      <c r="S491" t="s">
        <v>196</v>
      </c>
      <c r="T491" t="s">
        <v>197</v>
      </c>
      <c r="U491">
        <v>0</v>
      </c>
      <c r="V491">
        <v>0</v>
      </c>
      <c r="W491">
        <v>5696</v>
      </c>
      <c r="X491">
        <v>1086</v>
      </c>
      <c r="Y491">
        <v>266</v>
      </c>
      <c r="Z491">
        <v>7048</v>
      </c>
      <c r="AA491">
        <v>406</v>
      </c>
      <c r="AB491" t="s">
        <v>65</v>
      </c>
      <c r="AC491">
        <v>15.9</v>
      </c>
      <c r="AD491">
        <v>29</v>
      </c>
      <c r="AE491">
        <v>31</v>
      </c>
      <c r="AF491" t="s">
        <v>132</v>
      </c>
      <c r="AG491">
        <v>24</v>
      </c>
      <c r="AH491" t="s">
        <v>113</v>
      </c>
      <c r="AI491" t="s">
        <v>114</v>
      </c>
      <c r="AJ491" t="s">
        <v>188</v>
      </c>
      <c r="AK491" t="s">
        <v>70</v>
      </c>
      <c r="AL491" t="s">
        <v>71</v>
      </c>
      <c r="AM491" t="s">
        <v>70</v>
      </c>
      <c r="AN491" t="s">
        <v>72</v>
      </c>
      <c r="AO491" t="s">
        <v>287</v>
      </c>
      <c r="AP491" t="s">
        <v>72</v>
      </c>
      <c r="AQ491" t="s">
        <v>74</v>
      </c>
      <c r="AR491" s="1">
        <v>44670</v>
      </c>
      <c r="AS491" t="s">
        <v>137</v>
      </c>
      <c r="AT491" t="s">
        <v>70</v>
      </c>
      <c r="AU491">
        <v>935</v>
      </c>
      <c r="AV491" t="s">
        <v>76</v>
      </c>
    </row>
    <row r="492" spans="1:48" x14ac:dyDescent="0.25">
      <c r="A492" t="s">
        <v>779</v>
      </c>
      <c r="B492" t="s">
        <v>139</v>
      </c>
      <c r="C492" t="s">
        <v>369</v>
      </c>
      <c r="D492" t="s">
        <v>122</v>
      </c>
      <c r="E492">
        <v>29</v>
      </c>
      <c r="F492" t="s">
        <v>316</v>
      </c>
      <c r="G492" t="s">
        <v>183</v>
      </c>
      <c r="H492" t="s">
        <v>184</v>
      </c>
      <c r="I492" t="s">
        <v>171</v>
      </c>
      <c r="J492" t="s">
        <v>172</v>
      </c>
      <c r="K492" t="s">
        <v>173</v>
      </c>
      <c r="L492" t="s">
        <v>201</v>
      </c>
      <c r="M492" t="s">
        <v>207</v>
      </c>
      <c r="N492" t="s">
        <v>88</v>
      </c>
      <c r="O492" t="s">
        <v>61</v>
      </c>
      <c r="P492" s="1">
        <v>42871</v>
      </c>
      <c r="Q492">
        <v>7</v>
      </c>
      <c r="R492" t="s">
        <v>150</v>
      </c>
      <c r="S492" t="s">
        <v>91</v>
      </c>
      <c r="T492" t="s">
        <v>92</v>
      </c>
      <c r="U492">
        <v>1</v>
      </c>
      <c r="V492">
        <v>0</v>
      </c>
      <c r="W492">
        <v>5696</v>
      </c>
      <c r="X492">
        <v>0</v>
      </c>
      <c r="Y492">
        <v>266</v>
      </c>
      <c r="Z492">
        <v>5962</v>
      </c>
      <c r="AA492">
        <v>549</v>
      </c>
      <c r="AB492" t="s">
        <v>65</v>
      </c>
      <c r="AC492">
        <v>15.5</v>
      </c>
      <c r="AD492">
        <v>32</v>
      </c>
      <c r="AE492">
        <v>49</v>
      </c>
      <c r="AF492" t="s">
        <v>93</v>
      </c>
      <c r="AG492">
        <v>16</v>
      </c>
      <c r="AH492" t="s">
        <v>113</v>
      </c>
      <c r="AI492" t="s">
        <v>95</v>
      </c>
      <c r="AJ492" t="s">
        <v>72</v>
      </c>
      <c r="AK492" t="s">
        <v>70</v>
      </c>
      <c r="AL492" t="s">
        <v>70</v>
      </c>
      <c r="AM492" t="s">
        <v>70</v>
      </c>
      <c r="AN492" t="s">
        <v>72</v>
      </c>
      <c r="AO492" t="s">
        <v>97</v>
      </c>
      <c r="AP492" t="s">
        <v>72</v>
      </c>
      <c r="AQ492" t="s">
        <v>117</v>
      </c>
      <c r="AR492" s="1">
        <v>45246</v>
      </c>
      <c r="AS492" t="s">
        <v>198</v>
      </c>
      <c r="AT492" t="s">
        <v>71</v>
      </c>
      <c r="AU492">
        <v>1385</v>
      </c>
      <c r="AV492" t="s">
        <v>76</v>
      </c>
    </row>
    <row r="493" spans="1:48" x14ac:dyDescent="0.25">
      <c r="A493" t="s">
        <v>780</v>
      </c>
      <c r="B493" t="s">
        <v>154</v>
      </c>
      <c r="C493" t="s">
        <v>360</v>
      </c>
      <c r="D493" t="s">
        <v>51</v>
      </c>
      <c r="E493">
        <v>20</v>
      </c>
      <c r="F493" t="s">
        <v>305</v>
      </c>
      <c r="G493" t="s">
        <v>301</v>
      </c>
      <c r="H493" t="s">
        <v>302</v>
      </c>
      <c r="I493" t="s">
        <v>268</v>
      </c>
      <c r="J493" t="s">
        <v>269</v>
      </c>
      <c r="K493" t="s">
        <v>173</v>
      </c>
      <c r="L493" t="s">
        <v>201</v>
      </c>
      <c r="M493" t="s">
        <v>87</v>
      </c>
      <c r="N493" t="s">
        <v>60</v>
      </c>
      <c r="O493" t="s">
        <v>109</v>
      </c>
      <c r="P493" s="1">
        <v>44566</v>
      </c>
      <c r="Q493">
        <v>2.4</v>
      </c>
      <c r="R493" t="s">
        <v>129</v>
      </c>
      <c r="S493" t="s">
        <v>91</v>
      </c>
      <c r="T493" t="s">
        <v>92</v>
      </c>
      <c r="U493">
        <v>13</v>
      </c>
      <c r="V493">
        <v>2</v>
      </c>
      <c r="W493">
        <v>4188</v>
      </c>
      <c r="X493">
        <v>0</v>
      </c>
      <c r="Y493">
        <v>266</v>
      </c>
      <c r="Z493">
        <v>4454</v>
      </c>
      <c r="AA493">
        <v>579</v>
      </c>
      <c r="AB493" t="s">
        <v>65</v>
      </c>
      <c r="AC493">
        <v>18.2</v>
      </c>
      <c r="AD493">
        <v>55</v>
      </c>
      <c r="AE493">
        <v>76</v>
      </c>
      <c r="AF493" t="s">
        <v>66</v>
      </c>
      <c r="AG493">
        <v>20</v>
      </c>
      <c r="AH493" t="s">
        <v>113</v>
      </c>
      <c r="AI493" t="s">
        <v>95</v>
      </c>
      <c r="AJ493" t="s">
        <v>96</v>
      </c>
      <c r="AK493" t="s">
        <v>70</v>
      </c>
      <c r="AL493" t="s">
        <v>71</v>
      </c>
      <c r="AM493" t="s">
        <v>70</v>
      </c>
      <c r="AN493" t="s">
        <v>72</v>
      </c>
      <c r="AO493" t="s">
        <v>227</v>
      </c>
      <c r="AP493" t="s">
        <v>72</v>
      </c>
      <c r="AQ493" t="s">
        <v>74</v>
      </c>
      <c r="AR493" s="1">
        <v>44647</v>
      </c>
      <c r="AS493" t="s">
        <v>75</v>
      </c>
      <c r="AT493" t="s">
        <v>71</v>
      </c>
      <c r="AU493">
        <v>-320</v>
      </c>
      <c r="AV493" t="s">
        <v>179</v>
      </c>
    </row>
    <row r="494" spans="1:48" x14ac:dyDescent="0.25">
      <c r="A494" t="s">
        <v>781</v>
      </c>
      <c r="B494" t="s">
        <v>377</v>
      </c>
      <c r="C494" t="s">
        <v>50</v>
      </c>
      <c r="D494" t="s">
        <v>51</v>
      </c>
      <c r="E494">
        <v>21</v>
      </c>
      <c r="F494" t="s">
        <v>325</v>
      </c>
      <c r="G494" t="s">
        <v>169</v>
      </c>
      <c r="H494" t="s">
        <v>170</v>
      </c>
      <c r="I494" t="s">
        <v>253</v>
      </c>
      <c r="J494" t="s">
        <v>254</v>
      </c>
      <c r="K494" t="s">
        <v>255</v>
      </c>
      <c r="L494" t="s">
        <v>201</v>
      </c>
      <c r="M494" t="s">
        <v>107</v>
      </c>
      <c r="N494" t="s">
        <v>162</v>
      </c>
      <c r="O494" t="s">
        <v>149</v>
      </c>
      <c r="P494" s="1">
        <v>41850</v>
      </c>
      <c r="Q494">
        <v>9.8000000000000007</v>
      </c>
      <c r="R494" t="s">
        <v>62</v>
      </c>
      <c r="S494" t="s">
        <v>63</v>
      </c>
      <c r="T494" t="s">
        <v>64</v>
      </c>
      <c r="U494">
        <v>0</v>
      </c>
      <c r="V494">
        <v>0</v>
      </c>
      <c r="W494">
        <v>3294</v>
      </c>
      <c r="X494">
        <v>1963</v>
      </c>
      <c r="Y494">
        <v>422</v>
      </c>
      <c r="Z494">
        <v>5679</v>
      </c>
      <c r="AA494">
        <v>323</v>
      </c>
      <c r="AB494" t="s">
        <v>151</v>
      </c>
      <c r="AC494">
        <v>20.9</v>
      </c>
      <c r="AD494">
        <v>33</v>
      </c>
      <c r="AE494">
        <v>30</v>
      </c>
      <c r="AF494" t="s">
        <v>93</v>
      </c>
      <c r="AG494">
        <v>17</v>
      </c>
      <c r="AH494" t="s">
        <v>113</v>
      </c>
      <c r="AI494" t="s">
        <v>95</v>
      </c>
      <c r="AJ494" t="s">
        <v>69</v>
      </c>
      <c r="AK494" t="s">
        <v>70</v>
      </c>
      <c r="AL494" t="s">
        <v>70</v>
      </c>
      <c r="AM494" t="s">
        <v>70</v>
      </c>
      <c r="AN494" t="s">
        <v>243</v>
      </c>
      <c r="AO494" t="s">
        <v>134</v>
      </c>
      <c r="AP494" t="s">
        <v>72</v>
      </c>
      <c r="AQ494" t="s">
        <v>136</v>
      </c>
      <c r="AR494" s="1">
        <v>45124</v>
      </c>
      <c r="AS494" t="s">
        <v>75</v>
      </c>
      <c r="AT494" t="s">
        <v>71</v>
      </c>
      <c r="AU494">
        <v>1420</v>
      </c>
      <c r="AV494" t="s">
        <v>76</v>
      </c>
    </row>
    <row r="495" spans="1:48" x14ac:dyDescent="0.25">
      <c r="A495" t="s">
        <v>782</v>
      </c>
      <c r="B495" t="s">
        <v>139</v>
      </c>
      <c r="C495" t="s">
        <v>360</v>
      </c>
      <c r="D495" t="s">
        <v>51</v>
      </c>
      <c r="E495">
        <v>35</v>
      </c>
      <c r="F495" t="s">
        <v>322</v>
      </c>
      <c r="G495" t="s">
        <v>215</v>
      </c>
      <c r="H495" t="s">
        <v>216</v>
      </c>
      <c r="I495" t="s">
        <v>103</v>
      </c>
      <c r="J495" t="s">
        <v>104</v>
      </c>
      <c r="K495" t="s">
        <v>105</v>
      </c>
      <c r="L495" t="s">
        <v>58</v>
      </c>
      <c r="M495" t="s">
        <v>175</v>
      </c>
      <c r="N495" t="s">
        <v>265</v>
      </c>
      <c r="O495" t="s">
        <v>61</v>
      </c>
      <c r="P495" s="1">
        <v>42613</v>
      </c>
      <c r="Q495">
        <v>7.8</v>
      </c>
      <c r="R495" t="s">
        <v>150</v>
      </c>
      <c r="S495" t="s">
        <v>219</v>
      </c>
      <c r="T495" t="s">
        <v>220</v>
      </c>
      <c r="U495">
        <v>0</v>
      </c>
      <c r="V495">
        <v>0</v>
      </c>
      <c r="W495">
        <v>3637</v>
      </c>
      <c r="X495">
        <v>0</v>
      </c>
      <c r="Y495">
        <v>266</v>
      </c>
      <c r="Z495">
        <v>3903</v>
      </c>
      <c r="AA495">
        <v>537</v>
      </c>
      <c r="AB495" t="s">
        <v>65</v>
      </c>
      <c r="AC495">
        <v>14.4</v>
      </c>
      <c r="AD495">
        <v>21</v>
      </c>
      <c r="AE495">
        <v>57</v>
      </c>
      <c r="AF495" t="s">
        <v>112</v>
      </c>
      <c r="AG495">
        <v>26</v>
      </c>
      <c r="AH495" t="s">
        <v>113</v>
      </c>
      <c r="AI495" t="s">
        <v>114</v>
      </c>
      <c r="AJ495" t="s">
        <v>96</v>
      </c>
      <c r="AK495" t="s">
        <v>70</v>
      </c>
      <c r="AL495" t="s">
        <v>71</v>
      </c>
      <c r="AM495" t="s">
        <v>70</v>
      </c>
      <c r="AN495" t="s">
        <v>202</v>
      </c>
      <c r="AO495" t="s">
        <v>203</v>
      </c>
      <c r="AP495" t="s">
        <v>72</v>
      </c>
      <c r="AQ495" t="s">
        <v>74</v>
      </c>
      <c r="AR495" s="1">
        <v>42773</v>
      </c>
      <c r="AS495" t="s">
        <v>118</v>
      </c>
      <c r="AT495" t="s">
        <v>71</v>
      </c>
      <c r="AU495">
        <v>1720</v>
      </c>
      <c r="AV495" t="s">
        <v>76</v>
      </c>
    </row>
    <row r="496" spans="1:48" x14ac:dyDescent="0.25">
      <c r="A496" t="s">
        <v>783</v>
      </c>
      <c r="B496" t="s">
        <v>78</v>
      </c>
      <c r="C496" t="s">
        <v>257</v>
      </c>
      <c r="D496" t="s">
        <v>51</v>
      </c>
      <c r="E496">
        <v>33</v>
      </c>
      <c r="F496" t="s">
        <v>141</v>
      </c>
      <c r="G496" t="s">
        <v>183</v>
      </c>
      <c r="H496" t="s">
        <v>184</v>
      </c>
      <c r="I496" t="s">
        <v>225</v>
      </c>
      <c r="J496" t="s">
        <v>226</v>
      </c>
      <c r="K496" t="s">
        <v>105</v>
      </c>
      <c r="L496" t="s">
        <v>86</v>
      </c>
      <c r="M496" t="s">
        <v>207</v>
      </c>
      <c r="N496" t="s">
        <v>60</v>
      </c>
      <c r="O496" t="s">
        <v>149</v>
      </c>
      <c r="P496" s="1">
        <v>39683</v>
      </c>
      <c r="Q496">
        <v>15.8</v>
      </c>
      <c r="R496" t="s">
        <v>195</v>
      </c>
      <c r="S496" t="s">
        <v>63</v>
      </c>
      <c r="T496" t="s">
        <v>64</v>
      </c>
      <c r="U496">
        <v>0</v>
      </c>
      <c r="V496">
        <v>0</v>
      </c>
      <c r="W496">
        <v>5696</v>
      </c>
      <c r="X496">
        <v>0</v>
      </c>
      <c r="Y496">
        <v>266</v>
      </c>
      <c r="Z496">
        <v>5962</v>
      </c>
      <c r="AA496">
        <v>513</v>
      </c>
      <c r="AB496" t="s">
        <v>65</v>
      </c>
      <c r="AC496">
        <v>19.100000000000001</v>
      </c>
      <c r="AD496">
        <v>79</v>
      </c>
      <c r="AE496">
        <v>33</v>
      </c>
      <c r="AF496" t="s">
        <v>132</v>
      </c>
      <c r="AG496">
        <v>29</v>
      </c>
      <c r="AH496" t="s">
        <v>113</v>
      </c>
      <c r="AI496" t="s">
        <v>95</v>
      </c>
      <c r="AJ496" t="s">
        <v>96</v>
      </c>
      <c r="AK496" t="s">
        <v>71</v>
      </c>
      <c r="AL496" t="s">
        <v>70</v>
      </c>
      <c r="AM496" t="s">
        <v>70</v>
      </c>
      <c r="AN496" t="s">
        <v>202</v>
      </c>
      <c r="AO496" t="s">
        <v>178</v>
      </c>
      <c r="AP496" t="s">
        <v>72</v>
      </c>
      <c r="AQ496" t="s">
        <v>136</v>
      </c>
      <c r="AR496" s="1">
        <v>41794</v>
      </c>
      <c r="AS496" t="s">
        <v>118</v>
      </c>
      <c r="AT496" t="s">
        <v>71</v>
      </c>
      <c r="AU496">
        <v>496</v>
      </c>
      <c r="AV496" t="s">
        <v>76</v>
      </c>
    </row>
    <row r="497" spans="1:48" x14ac:dyDescent="0.25">
      <c r="A497" t="s">
        <v>784</v>
      </c>
      <c r="B497" t="s">
        <v>181</v>
      </c>
      <c r="C497" t="s">
        <v>360</v>
      </c>
      <c r="D497" t="s">
        <v>51</v>
      </c>
      <c r="E497">
        <v>20</v>
      </c>
      <c r="F497" t="s">
        <v>214</v>
      </c>
      <c r="G497" t="s">
        <v>215</v>
      </c>
      <c r="H497" t="s">
        <v>216</v>
      </c>
      <c r="I497" t="s">
        <v>225</v>
      </c>
      <c r="J497" t="s">
        <v>226</v>
      </c>
      <c r="K497" t="s">
        <v>105</v>
      </c>
      <c r="L497" t="s">
        <v>126</v>
      </c>
      <c r="M497" t="s">
        <v>127</v>
      </c>
      <c r="N497" t="s">
        <v>60</v>
      </c>
      <c r="O497" t="s">
        <v>89</v>
      </c>
      <c r="P497" s="1">
        <v>39027</v>
      </c>
      <c r="Q497">
        <v>17.600000000000001</v>
      </c>
      <c r="R497" t="s">
        <v>195</v>
      </c>
      <c r="S497" t="s">
        <v>196</v>
      </c>
      <c r="T497" t="s">
        <v>197</v>
      </c>
      <c r="U497">
        <v>0</v>
      </c>
      <c r="V497">
        <v>0</v>
      </c>
      <c r="W497">
        <v>3637</v>
      </c>
      <c r="X497">
        <v>0</v>
      </c>
      <c r="Y497">
        <v>266</v>
      </c>
      <c r="Z497">
        <v>3903</v>
      </c>
      <c r="AA497">
        <v>367</v>
      </c>
      <c r="AB497" t="s">
        <v>65</v>
      </c>
      <c r="AC497">
        <v>17.100000000000001</v>
      </c>
      <c r="AD497">
        <v>51</v>
      </c>
      <c r="AE497">
        <v>35</v>
      </c>
      <c r="AF497" t="s">
        <v>66</v>
      </c>
      <c r="AG497">
        <v>16</v>
      </c>
      <c r="AH497" t="s">
        <v>113</v>
      </c>
      <c r="AI497" t="s">
        <v>114</v>
      </c>
      <c r="AJ497" t="s">
        <v>96</v>
      </c>
      <c r="AK497" t="s">
        <v>70</v>
      </c>
      <c r="AL497" t="s">
        <v>70</v>
      </c>
      <c r="AM497" t="s">
        <v>70</v>
      </c>
      <c r="AN497" t="s">
        <v>72</v>
      </c>
      <c r="AO497" t="s">
        <v>287</v>
      </c>
      <c r="AP497" t="s">
        <v>72</v>
      </c>
      <c r="AQ497" t="s">
        <v>98</v>
      </c>
      <c r="AR497" s="1">
        <v>39037</v>
      </c>
      <c r="AS497" t="s">
        <v>75</v>
      </c>
      <c r="AT497" t="s">
        <v>71</v>
      </c>
      <c r="AU497">
        <v>-163</v>
      </c>
      <c r="AV497" t="s">
        <v>179</v>
      </c>
    </row>
    <row r="498" spans="1:48" x14ac:dyDescent="0.25">
      <c r="A498" t="s">
        <v>785</v>
      </c>
      <c r="B498" t="s">
        <v>263</v>
      </c>
      <c r="C498" t="s">
        <v>50</v>
      </c>
      <c r="D498" t="s">
        <v>51</v>
      </c>
      <c r="E498">
        <v>45</v>
      </c>
      <c r="F498" t="s">
        <v>382</v>
      </c>
      <c r="G498" t="s">
        <v>101</v>
      </c>
      <c r="H498" t="s">
        <v>102</v>
      </c>
      <c r="I498" t="s">
        <v>236</v>
      </c>
      <c r="J498" t="s">
        <v>237</v>
      </c>
      <c r="K498" t="s">
        <v>238</v>
      </c>
      <c r="L498" t="s">
        <v>126</v>
      </c>
      <c r="M498" t="s">
        <v>249</v>
      </c>
      <c r="N498" t="s">
        <v>60</v>
      </c>
      <c r="O498" t="s">
        <v>176</v>
      </c>
      <c r="P498" s="1">
        <v>43213</v>
      </c>
      <c r="Q498">
        <v>6.1</v>
      </c>
      <c r="R498" t="s">
        <v>208</v>
      </c>
      <c r="S498" t="s">
        <v>110</v>
      </c>
      <c r="T498" t="s">
        <v>111</v>
      </c>
      <c r="U498">
        <v>2</v>
      </c>
      <c r="V498">
        <v>0</v>
      </c>
      <c r="W498">
        <v>2980</v>
      </c>
      <c r="X498">
        <v>2054</v>
      </c>
      <c r="Y498">
        <v>422</v>
      </c>
      <c r="Z498">
        <v>5456</v>
      </c>
      <c r="AA498">
        <v>423</v>
      </c>
      <c r="AB498" t="s">
        <v>65</v>
      </c>
      <c r="AC498">
        <v>13.7</v>
      </c>
      <c r="AD498">
        <v>49</v>
      </c>
      <c r="AE498">
        <v>68</v>
      </c>
      <c r="AF498" t="s">
        <v>93</v>
      </c>
      <c r="AG498">
        <v>36</v>
      </c>
      <c r="AH498" t="s">
        <v>94</v>
      </c>
      <c r="AI498" t="s">
        <v>114</v>
      </c>
      <c r="AJ498" t="s">
        <v>188</v>
      </c>
      <c r="AK498" t="s">
        <v>70</v>
      </c>
      <c r="AL498" t="s">
        <v>71</v>
      </c>
      <c r="AM498" t="s">
        <v>70</v>
      </c>
      <c r="AN498" t="s">
        <v>243</v>
      </c>
      <c r="AO498" t="s">
        <v>72</v>
      </c>
      <c r="AP498" t="s">
        <v>97</v>
      </c>
      <c r="AQ498" t="s">
        <v>74</v>
      </c>
      <c r="AR498" s="1">
        <v>45185</v>
      </c>
      <c r="AS498" t="s">
        <v>198</v>
      </c>
      <c r="AT498" t="s">
        <v>71</v>
      </c>
      <c r="AU498">
        <v>755</v>
      </c>
      <c r="AV498" t="s">
        <v>76</v>
      </c>
    </row>
    <row r="499" spans="1:48" x14ac:dyDescent="0.25">
      <c r="A499" t="s">
        <v>786</v>
      </c>
      <c r="B499" t="s">
        <v>166</v>
      </c>
      <c r="C499" t="s">
        <v>375</v>
      </c>
      <c r="D499" t="s">
        <v>51</v>
      </c>
      <c r="E499">
        <v>40</v>
      </c>
      <c r="F499" t="s">
        <v>141</v>
      </c>
      <c r="G499" t="s">
        <v>53</v>
      </c>
      <c r="H499" t="s">
        <v>54</v>
      </c>
      <c r="I499" t="s">
        <v>292</v>
      </c>
      <c r="J499" t="s">
        <v>293</v>
      </c>
      <c r="K499" t="s">
        <v>294</v>
      </c>
      <c r="L499" t="s">
        <v>86</v>
      </c>
      <c r="M499" t="s">
        <v>175</v>
      </c>
      <c r="N499" t="s">
        <v>88</v>
      </c>
      <c r="O499" t="s">
        <v>149</v>
      </c>
      <c r="P499" s="1">
        <v>40324</v>
      </c>
      <c r="Q499">
        <v>14</v>
      </c>
      <c r="R499" t="s">
        <v>195</v>
      </c>
      <c r="S499" t="s">
        <v>91</v>
      </c>
      <c r="T499" t="s">
        <v>92</v>
      </c>
      <c r="U499">
        <v>4</v>
      </c>
      <c r="V499">
        <v>0</v>
      </c>
      <c r="W499">
        <v>4739</v>
      </c>
      <c r="X499">
        <v>0</v>
      </c>
      <c r="Y499">
        <v>422</v>
      </c>
      <c r="Z499">
        <v>5161</v>
      </c>
      <c r="AA499">
        <v>365</v>
      </c>
      <c r="AB499" t="s">
        <v>65</v>
      </c>
      <c r="AC499">
        <v>13.2</v>
      </c>
      <c r="AD499">
        <v>57</v>
      </c>
      <c r="AE499">
        <v>37</v>
      </c>
      <c r="AF499" t="s">
        <v>66</v>
      </c>
      <c r="AG499">
        <v>30</v>
      </c>
      <c r="AH499" t="s">
        <v>67</v>
      </c>
      <c r="AI499" t="s">
        <v>95</v>
      </c>
      <c r="AJ499" t="s">
        <v>96</v>
      </c>
      <c r="AK499" t="s">
        <v>70</v>
      </c>
      <c r="AL499" t="s">
        <v>70</v>
      </c>
      <c r="AM499" t="s">
        <v>70</v>
      </c>
      <c r="AN499" t="s">
        <v>72</v>
      </c>
      <c r="AO499" t="s">
        <v>178</v>
      </c>
      <c r="AP499" t="s">
        <v>72</v>
      </c>
      <c r="AQ499" t="s">
        <v>136</v>
      </c>
      <c r="AR499" s="1">
        <v>45457</v>
      </c>
      <c r="AS499" t="s">
        <v>198</v>
      </c>
      <c r="AT499" t="s">
        <v>71</v>
      </c>
      <c r="AU499">
        <v>1761</v>
      </c>
      <c r="AV499" t="s">
        <v>76</v>
      </c>
    </row>
    <row r="500" spans="1:48" x14ac:dyDescent="0.25">
      <c r="A500" t="s">
        <v>787</v>
      </c>
      <c r="B500" t="s">
        <v>308</v>
      </c>
      <c r="C500" t="s">
        <v>155</v>
      </c>
      <c r="D500" t="s">
        <v>51</v>
      </c>
      <c r="E500">
        <v>26</v>
      </c>
      <c r="F500" t="s">
        <v>52</v>
      </c>
      <c r="G500" t="s">
        <v>298</v>
      </c>
      <c r="H500" t="s">
        <v>299</v>
      </c>
      <c r="I500" t="s">
        <v>83</v>
      </c>
      <c r="J500" t="s">
        <v>84</v>
      </c>
      <c r="K500" t="s">
        <v>85</v>
      </c>
      <c r="L500" t="s">
        <v>58</v>
      </c>
      <c r="M500" t="s">
        <v>212</v>
      </c>
      <c r="N500" t="s">
        <v>108</v>
      </c>
      <c r="O500" t="s">
        <v>176</v>
      </c>
      <c r="P500" s="1">
        <v>38894</v>
      </c>
      <c r="Q500">
        <v>17.899999999999999</v>
      </c>
      <c r="R500" t="s">
        <v>129</v>
      </c>
      <c r="S500" t="s">
        <v>163</v>
      </c>
      <c r="T500" t="s">
        <v>164</v>
      </c>
      <c r="U500">
        <v>1</v>
      </c>
      <c r="V500">
        <v>0</v>
      </c>
      <c r="W500">
        <v>2149</v>
      </c>
      <c r="X500">
        <v>1316</v>
      </c>
      <c r="Y500">
        <v>422</v>
      </c>
      <c r="Z500">
        <v>3887</v>
      </c>
      <c r="AA500">
        <v>493</v>
      </c>
      <c r="AB500" t="s">
        <v>65</v>
      </c>
      <c r="AC500">
        <v>14.1</v>
      </c>
      <c r="AD500">
        <v>51</v>
      </c>
      <c r="AE500">
        <v>59</v>
      </c>
      <c r="AF500" t="s">
        <v>112</v>
      </c>
      <c r="AG500">
        <v>30</v>
      </c>
      <c r="AH500" t="s">
        <v>67</v>
      </c>
      <c r="AI500" t="s">
        <v>177</v>
      </c>
      <c r="AJ500" t="s">
        <v>96</v>
      </c>
      <c r="AK500" t="s">
        <v>70</v>
      </c>
      <c r="AL500" t="s">
        <v>71</v>
      </c>
      <c r="AM500" t="s">
        <v>70</v>
      </c>
      <c r="AN500" t="s">
        <v>243</v>
      </c>
      <c r="AO500" t="s">
        <v>178</v>
      </c>
      <c r="AP500" t="s">
        <v>72</v>
      </c>
      <c r="AQ500" t="s">
        <v>74</v>
      </c>
      <c r="AR500" s="1">
        <v>39931</v>
      </c>
      <c r="AS500" t="s">
        <v>198</v>
      </c>
      <c r="AT500" t="s">
        <v>71</v>
      </c>
      <c r="AU500">
        <v>-328</v>
      </c>
      <c r="AV500" t="s">
        <v>179</v>
      </c>
    </row>
    <row r="501" spans="1:48" x14ac:dyDescent="0.25">
      <c r="A501" t="s">
        <v>788</v>
      </c>
      <c r="B501" t="s">
        <v>190</v>
      </c>
      <c r="C501" t="s">
        <v>182</v>
      </c>
      <c r="D501" t="s">
        <v>51</v>
      </c>
      <c r="E501">
        <v>26</v>
      </c>
      <c r="F501" t="s">
        <v>283</v>
      </c>
      <c r="G501" t="s">
        <v>285</v>
      </c>
      <c r="H501" t="s">
        <v>286</v>
      </c>
      <c r="I501" t="s">
        <v>217</v>
      </c>
      <c r="J501" t="s">
        <v>218</v>
      </c>
      <c r="K501" t="s">
        <v>146</v>
      </c>
      <c r="L501" t="s">
        <v>58</v>
      </c>
      <c r="M501" t="s">
        <v>59</v>
      </c>
      <c r="N501" t="s">
        <v>108</v>
      </c>
      <c r="O501" t="s">
        <v>109</v>
      </c>
      <c r="P501" s="1">
        <v>38667</v>
      </c>
      <c r="Q501">
        <v>18.600000000000001</v>
      </c>
      <c r="R501" t="s">
        <v>62</v>
      </c>
      <c r="S501" t="s">
        <v>196</v>
      </c>
      <c r="T501" t="s">
        <v>197</v>
      </c>
      <c r="U501">
        <v>0</v>
      </c>
      <c r="V501">
        <v>0</v>
      </c>
      <c r="W501">
        <v>7668</v>
      </c>
      <c r="X501">
        <v>818</v>
      </c>
      <c r="Y501">
        <v>266</v>
      </c>
      <c r="Z501">
        <v>8752</v>
      </c>
      <c r="AA501">
        <v>480</v>
      </c>
      <c r="AB501" t="s">
        <v>65</v>
      </c>
      <c r="AC501">
        <v>18.5</v>
      </c>
      <c r="AD501">
        <v>71</v>
      </c>
      <c r="AE501">
        <v>69</v>
      </c>
      <c r="AF501" t="s">
        <v>112</v>
      </c>
      <c r="AG501">
        <v>16</v>
      </c>
      <c r="AH501" t="s">
        <v>113</v>
      </c>
      <c r="AI501" t="s">
        <v>95</v>
      </c>
      <c r="AJ501" t="s">
        <v>188</v>
      </c>
      <c r="AK501" t="s">
        <v>70</v>
      </c>
      <c r="AL501" t="s">
        <v>70</v>
      </c>
      <c r="AM501" t="s">
        <v>70</v>
      </c>
      <c r="AN501" t="s">
        <v>133</v>
      </c>
      <c r="AO501" t="s">
        <v>97</v>
      </c>
      <c r="AP501" t="s">
        <v>72</v>
      </c>
      <c r="AQ501" t="s">
        <v>98</v>
      </c>
      <c r="AR501" s="1">
        <v>44908</v>
      </c>
      <c r="AS501" t="s">
        <v>118</v>
      </c>
      <c r="AT501" t="s">
        <v>71</v>
      </c>
      <c r="AU501">
        <v>-339</v>
      </c>
      <c r="AV50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6549-2813-4E1E-B6BE-26F48DBB0B57}">
  <dimension ref="A1:BO501"/>
  <sheetViews>
    <sheetView tabSelected="1" topLeftCell="BB7" workbookViewId="0">
      <selection activeCell="BE5" sqref="BE5"/>
    </sheetView>
  </sheetViews>
  <sheetFormatPr defaultColWidth="12.28515625" defaultRowHeight="15" x14ac:dyDescent="0.25"/>
  <cols>
    <col min="1" max="1" width="11.140625" bestFit="1" customWidth="1"/>
    <col min="2" max="2" width="11.5703125" bestFit="1" customWidth="1"/>
    <col min="3" max="3" width="12.140625" bestFit="1" customWidth="1"/>
    <col min="4" max="4" width="8.140625" bestFit="1" customWidth="1"/>
    <col min="5" max="5" width="4.5703125" bestFit="1" customWidth="1"/>
    <col min="6" max="6" width="12.85546875" bestFit="1" customWidth="1"/>
    <col min="7" max="7" width="6" bestFit="1" customWidth="1"/>
    <col min="8" max="8" width="11.42578125" bestFit="1" customWidth="1"/>
    <col min="9" max="9" width="11.140625" bestFit="1" customWidth="1"/>
    <col min="10" max="10" width="32.42578125" bestFit="1" customWidth="1"/>
    <col min="11" max="11" width="16.42578125" bestFit="1" customWidth="1"/>
    <col min="12" max="12" width="8.7109375" bestFit="1" customWidth="1"/>
    <col min="13" max="13" width="11" bestFit="1" customWidth="1"/>
    <col min="14" max="14" width="10.140625" bestFit="1" customWidth="1"/>
    <col min="15" max="15" width="9.5703125" bestFit="1" customWidth="1"/>
    <col min="16" max="16" width="17.85546875" bestFit="1" customWidth="1"/>
    <col min="17" max="17" width="18.28515625" bestFit="1" customWidth="1"/>
    <col min="18" max="18" width="12.5703125" bestFit="1" customWidth="1"/>
    <col min="19" max="19" width="13.140625" bestFit="1" customWidth="1"/>
    <col min="21" max="21" width="16.7109375" bestFit="1" customWidth="1"/>
    <col min="22" max="22" width="15.7109375" bestFit="1" customWidth="1"/>
    <col min="23" max="23" width="14.5703125" style="2" bestFit="1" customWidth="1"/>
    <col min="24" max="24" width="10.5703125" style="2" bestFit="1" customWidth="1"/>
    <col min="25" max="25" width="9" style="2" bestFit="1" customWidth="1"/>
    <col min="26" max="26" width="25.85546875" style="2" bestFit="1" customWidth="1"/>
    <col min="27" max="27" width="19" bestFit="1" customWidth="1"/>
    <col min="28" max="28" width="13.140625" bestFit="1" customWidth="1"/>
    <col min="29" max="29" width="15.140625" bestFit="1" customWidth="1"/>
    <col min="30" max="30" width="16.5703125" bestFit="1" customWidth="1"/>
    <col min="31" max="31" width="14.42578125" bestFit="1" customWidth="1"/>
    <col min="32" max="32" width="11" bestFit="1" customWidth="1"/>
    <col min="33" max="33" width="16" bestFit="1" customWidth="1"/>
    <col min="34" max="34" width="24.42578125" bestFit="1" customWidth="1"/>
    <col min="35" max="35" width="14.5703125" bestFit="1" customWidth="1"/>
    <col min="36" max="37" width="20.7109375" bestFit="1" customWidth="1"/>
    <col min="38" max="38" width="23.42578125" bestFit="1" customWidth="1"/>
    <col min="39" max="39" width="12.7109375" bestFit="1" customWidth="1"/>
    <col min="40" max="40" width="18.7109375" bestFit="1" customWidth="1"/>
    <col min="41" max="42" width="26.42578125" bestFit="1" customWidth="1"/>
    <col min="43" max="43" width="19.5703125" bestFit="1" customWidth="1"/>
    <col min="44" max="44" width="23.42578125" bestFit="1" customWidth="1"/>
    <col min="45" max="45" width="14.85546875" bestFit="1" customWidth="1"/>
    <col min="46" max="46" width="17.5703125" bestFit="1" customWidth="1"/>
    <col min="47" max="47" width="15.85546875" bestFit="1" customWidth="1"/>
    <col min="48" max="48" width="11.5703125" bestFit="1" customWidth="1"/>
    <col min="49" max="58" width="11.5703125" customWidth="1"/>
    <col min="59" max="59" width="12.7109375" style="2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3" t="s">
        <v>789</v>
      </c>
      <c r="AX1" t="s">
        <v>790</v>
      </c>
      <c r="AY1" t="s">
        <v>791</v>
      </c>
      <c r="AZ1" t="s">
        <v>792</v>
      </c>
      <c r="BA1" t="s">
        <v>793</v>
      </c>
      <c r="BB1" t="s">
        <v>794</v>
      </c>
      <c r="BC1" t="s">
        <v>795</v>
      </c>
      <c r="BD1" t="s">
        <v>796</v>
      </c>
      <c r="BE1" t="s">
        <v>797</v>
      </c>
      <c r="BG1" s="2" t="s">
        <v>789</v>
      </c>
      <c r="BH1" t="s">
        <v>790</v>
      </c>
      <c r="BI1" t="s">
        <v>791</v>
      </c>
      <c r="BJ1" t="s">
        <v>792</v>
      </c>
      <c r="BK1" t="s">
        <v>793</v>
      </c>
      <c r="BL1" t="s">
        <v>794</v>
      </c>
      <c r="BM1" t="s">
        <v>795</v>
      </c>
      <c r="BN1" t="s">
        <v>796</v>
      </c>
      <c r="BO1" t="s">
        <v>797</v>
      </c>
    </row>
    <row r="2" spans="1:67" x14ac:dyDescent="0.25">
      <c r="A2" t="s">
        <v>48</v>
      </c>
      <c r="B2" t="s">
        <v>49</v>
      </c>
      <c r="C2" t="s">
        <v>50</v>
      </c>
      <c r="D2" t="s">
        <v>51</v>
      </c>
      <c r="E2">
        <v>40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s="1">
        <v>39065</v>
      </c>
      <c r="Q2">
        <v>17.5</v>
      </c>
      <c r="R2" t="s">
        <v>62</v>
      </c>
      <c r="S2" t="s">
        <v>63</v>
      </c>
      <c r="T2" t="s">
        <v>64</v>
      </c>
      <c r="U2">
        <v>0</v>
      </c>
      <c r="V2">
        <v>0</v>
      </c>
      <c r="W2" s="2">
        <v>4739</v>
      </c>
      <c r="X2" s="2">
        <v>0</v>
      </c>
      <c r="Y2" s="2">
        <v>422</v>
      </c>
      <c r="Z2" s="2">
        <v>5161</v>
      </c>
      <c r="AA2">
        <v>548</v>
      </c>
      <c r="AB2" t="s">
        <v>65</v>
      </c>
      <c r="AC2">
        <v>12.8</v>
      </c>
      <c r="AD2">
        <v>33</v>
      </c>
      <c r="AE2">
        <v>44</v>
      </c>
      <c r="AF2" t="s">
        <v>66</v>
      </c>
      <c r="AG2">
        <v>33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70</v>
      </c>
      <c r="AN2" t="s">
        <v>72</v>
      </c>
      <c r="AO2" t="s">
        <v>73</v>
      </c>
      <c r="AP2" t="s">
        <v>72</v>
      </c>
      <c r="AQ2" t="s">
        <v>74</v>
      </c>
      <c r="AR2" s="1">
        <v>44972</v>
      </c>
      <c r="AS2" t="s">
        <v>75</v>
      </c>
      <c r="AT2" t="s">
        <v>71</v>
      </c>
      <c r="AU2">
        <v>878</v>
      </c>
      <c r="AV2" t="s">
        <v>76</v>
      </c>
      <c r="AW2" s="3">
        <v>61932</v>
      </c>
      <c r="AX2" t="s">
        <v>798</v>
      </c>
      <c r="AY2" t="s">
        <v>799</v>
      </c>
      <c r="AZ2" t="s">
        <v>76</v>
      </c>
      <c r="BA2" t="s">
        <v>800</v>
      </c>
      <c r="BB2" t="s">
        <v>801</v>
      </c>
      <c r="BC2" t="s">
        <v>802</v>
      </c>
      <c r="BD2" s="3">
        <v>0.10618097267971323</v>
      </c>
      <c r="BE2">
        <v>624.4</v>
      </c>
      <c r="BG2" s="2">
        <f>Z2*12</f>
        <v>61932</v>
      </c>
      <c r="BH2" t="str" cm="1">
        <f t="array" ref="BH2">_xlfn.IFS(Q2&lt;5,"0-5 Years",Q2&lt;10,"5-10 Years",Q2&lt;15,"10-15 Years",TRUE,"15+ Years")</f>
        <v>15+ Years</v>
      </c>
      <c r="BI2" t="str" cm="1">
        <f t="array" ref="BI2">_xlfn.IFS(AA2&gt;=540,"A",AA2&gt;=480,"B",AA2&gt;=420,"C",AA2&gt;=360,"D",TRUE,"F")</f>
        <v>A</v>
      </c>
      <c r="BJ2" t="str" cm="1">
        <f t="array" ref="BJ2">_xlfn.IFS(AU2&lt;0,"Separated",AU2&lt;=90,"High Risk",AU2&lt;=180,"Medium Risk",TRUE,"Retained")</f>
        <v>Retained</v>
      </c>
      <c r="BK2" t="str" cm="1">
        <f t="array" ref="BK2">_xlfn.IFS(V2=0,"No Combat",V2=1,"1 Tour",V2=2,"2 Tours",TRUE,"3+ Tours")</f>
        <v>No Combat</v>
      </c>
      <c r="BL2" t="str">
        <f>IF(AND(AA2&gt;=500,AG2&gt;=35,AQ2="Outstanding"),"High Performer","Standard")</f>
        <v>Standard</v>
      </c>
      <c r="BM2" t="str">
        <f>IF(AND(OR(G2="SGT",G2="SSG",G2="SFC"),AQ2="Outstanding"),"Promotion Ready","Not Ready")</f>
        <v>Not Ready</v>
      </c>
      <c r="BN2" s="3">
        <f>AA2/Z2</f>
        <v>0.10618097267971323</v>
      </c>
      <c r="BO2">
        <f>(AA2+0.4)+(AG2*10*0.2)+(IF(AK2="YES",100,0)*0.1)+(IF(AL2="YES",100,0)*0.1)+(IF(AM2="YES",100,0)*0.2)</f>
        <v>624.4</v>
      </c>
    </row>
    <row r="3" spans="1:67" x14ac:dyDescent="0.25">
      <c r="A3" t="s">
        <v>77</v>
      </c>
      <c r="B3" t="s">
        <v>78</v>
      </c>
      <c r="C3" t="s">
        <v>79</v>
      </c>
      <c r="D3" t="s">
        <v>51</v>
      </c>
      <c r="E3">
        <v>30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s="1">
        <v>44330</v>
      </c>
      <c r="Q3">
        <v>3</v>
      </c>
      <c r="R3" t="s">
        <v>90</v>
      </c>
      <c r="S3" t="s">
        <v>91</v>
      </c>
      <c r="T3" t="s">
        <v>92</v>
      </c>
      <c r="U3">
        <v>3</v>
      </c>
      <c r="V3">
        <v>0</v>
      </c>
      <c r="W3" s="2">
        <v>2504</v>
      </c>
      <c r="X3" s="2">
        <v>0</v>
      </c>
      <c r="Y3" s="2">
        <v>422</v>
      </c>
      <c r="Z3" s="2">
        <v>2926</v>
      </c>
      <c r="AA3">
        <v>475</v>
      </c>
      <c r="AB3" t="s">
        <v>65</v>
      </c>
      <c r="AC3">
        <v>17.2</v>
      </c>
      <c r="AD3">
        <v>73</v>
      </c>
      <c r="AE3">
        <v>70</v>
      </c>
      <c r="AF3" t="s">
        <v>93</v>
      </c>
      <c r="AG3">
        <v>38</v>
      </c>
      <c r="AH3" t="s">
        <v>94</v>
      </c>
      <c r="AI3" t="s">
        <v>95</v>
      </c>
      <c r="AJ3" t="s">
        <v>96</v>
      </c>
      <c r="AK3" t="s">
        <v>71</v>
      </c>
      <c r="AL3" t="s">
        <v>71</v>
      </c>
      <c r="AM3" t="s">
        <v>71</v>
      </c>
      <c r="AN3" t="s">
        <v>72</v>
      </c>
      <c r="AO3" t="s">
        <v>97</v>
      </c>
      <c r="AP3" t="s">
        <v>72</v>
      </c>
      <c r="AQ3" t="s">
        <v>98</v>
      </c>
      <c r="AR3" s="1">
        <v>44924</v>
      </c>
      <c r="AS3" t="s">
        <v>75</v>
      </c>
      <c r="AT3" t="s">
        <v>71</v>
      </c>
      <c r="AU3">
        <v>358</v>
      </c>
      <c r="AV3" t="s">
        <v>76</v>
      </c>
      <c r="AW3" s="3">
        <v>35112</v>
      </c>
      <c r="AX3" t="s">
        <v>803</v>
      </c>
      <c r="AY3" t="s">
        <v>804</v>
      </c>
      <c r="AZ3" t="s">
        <v>76</v>
      </c>
      <c r="BA3" t="s">
        <v>800</v>
      </c>
      <c r="BB3" t="s">
        <v>801</v>
      </c>
      <c r="BC3" t="s">
        <v>802</v>
      </c>
      <c r="BD3" s="3">
        <v>0.16233766233766234</v>
      </c>
      <c r="BE3">
        <v>591.4</v>
      </c>
      <c r="BG3" s="2">
        <f>Z3*12</f>
        <v>35112</v>
      </c>
      <c r="BH3" t="str" cm="1">
        <f t="array" ref="BH3">_xlfn.IFS(Q3&lt;5,"0-5 Years",Q3&lt;10,"5-10 Years",Q3&lt;15,"10-15 Years",TRUE,"15+ Years")</f>
        <v>0-5 Years</v>
      </c>
      <c r="BI3" t="str" cm="1">
        <f t="array" ref="BI3">_xlfn.IFS(AA3&gt;=540,"A",AA3&gt;=480,"B",AA3&gt;=420,"C",AA3&gt;=360,"D",TRUE,"F")</f>
        <v>C</v>
      </c>
      <c r="BJ3" t="str" cm="1">
        <f t="array" ref="BJ3">_xlfn.IFS(AU3&lt;0,"Separated",AU3&lt;=90,"High Risk",AU3&lt;=180,"Medium Risk",TRUE,"Retained")</f>
        <v>Retained</v>
      </c>
      <c r="BK3" t="str" cm="1">
        <f t="array" ref="BK3">_xlfn.IFS(V3=0,"No Combat",V3=1,"1 Tour",V3=2,"2 Tours",TRUE,"3+ Tours")</f>
        <v>No Combat</v>
      </c>
      <c r="BL3" t="str">
        <f t="shared" ref="BL3:BL66" si="0">IF(AND(AA3&gt;=500,AG3&gt;=35,AQ3="Outstanding"),"High Performer","Standard")</f>
        <v>Standard</v>
      </c>
      <c r="BM3" t="str">
        <f t="shared" ref="BM3:BM66" si="1">IF(AND(OR(G3="SGT",G3="SSG",G3="SFC"),AQ3="Outstanding"),"Promotion Ready","Not Ready")</f>
        <v>Not Ready</v>
      </c>
      <c r="BN3" s="3">
        <f t="shared" ref="BN3:BN66" si="2">AA3/Z3</f>
        <v>0.16233766233766234</v>
      </c>
      <c r="BO3">
        <f t="shared" ref="BO3:BO66" si="3">(AA3+0.4)+(AG3*10*0.2)+(IF(AK3="YES",100,0)*0.1)+(IF(AL3="YES",100,0)*0.1)+(IF(AM3="YES",100,0)*0.2)</f>
        <v>591.4</v>
      </c>
    </row>
    <row r="4" spans="1:67" x14ac:dyDescent="0.25">
      <c r="A4" t="s">
        <v>99</v>
      </c>
      <c r="B4" t="s">
        <v>100</v>
      </c>
      <c r="C4" t="s">
        <v>79</v>
      </c>
      <c r="D4" t="s">
        <v>51</v>
      </c>
      <c r="E4">
        <v>22</v>
      </c>
      <c r="F4" t="s">
        <v>80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109</v>
      </c>
      <c r="P4" s="1">
        <v>41461</v>
      </c>
      <c r="Q4">
        <v>10.9</v>
      </c>
      <c r="R4" t="s">
        <v>62</v>
      </c>
      <c r="S4" t="s">
        <v>110</v>
      </c>
      <c r="T4" t="s">
        <v>111</v>
      </c>
      <c r="U4">
        <v>7</v>
      </c>
      <c r="V4">
        <v>1</v>
      </c>
      <c r="W4" s="2">
        <v>2980</v>
      </c>
      <c r="X4" s="2">
        <v>0</v>
      </c>
      <c r="Y4" s="2">
        <v>422</v>
      </c>
      <c r="Z4" s="2">
        <v>3402</v>
      </c>
      <c r="AA4">
        <v>495</v>
      </c>
      <c r="AB4" t="s">
        <v>65</v>
      </c>
      <c r="AC4">
        <v>14.4</v>
      </c>
      <c r="AD4">
        <v>22</v>
      </c>
      <c r="AE4">
        <v>50</v>
      </c>
      <c r="AF4" t="s">
        <v>112</v>
      </c>
      <c r="AG4">
        <v>18</v>
      </c>
      <c r="AH4" t="s">
        <v>113</v>
      </c>
      <c r="AI4" t="s">
        <v>114</v>
      </c>
      <c r="AJ4" t="s">
        <v>69</v>
      </c>
      <c r="AK4" t="s">
        <v>70</v>
      </c>
      <c r="AL4" t="s">
        <v>70</v>
      </c>
      <c r="AM4" t="s">
        <v>70</v>
      </c>
      <c r="AN4" t="s">
        <v>115</v>
      </c>
      <c r="AO4" t="s">
        <v>73</v>
      </c>
      <c r="AP4" t="s">
        <v>116</v>
      </c>
      <c r="AQ4" t="s">
        <v>117</v>
      </c>
      <c r="AR4" s="1">
        <v>43427</v>
      </c>
      <c r="AS4" t="s">
        <v>118</v>
      </c>
      <c r="AT4" t="s">
        <v>71</v>
      </c>
      <c r="AU4">
        <v>1254</v>
      </c>
      <c r="AV4" t="s">
        <v>76</v>
      </c>
      <c r="AW4" s="3">
        <v>40824</v>
      </c>
      <c r="AX4" t="s">
        <v>805</v>
      </c>
      <c r="AY4" t="s">
        <v>806</v>
      </c>
      <c r="AZ4" t="s">
        <v>76</v>
      </c>
      <c r="BA4" t="s">
        <v>807</v>
      </c>
      <c r="BB4" t="s">
        <v>801</v>
      </c>
      <c r="BC4" t="s">
        <v>802</v>
      </c>
      <c r="BD4" s="3">
        <v>0.14550264550264549</v>
      </c>
      <c r="BE4">
        <v>531.4</v>
      </c>
      <c r="BG4" s="2">
        <f>Z4*12</f>
        <v>40824</v>
      </c>
      <c r="BH4" t="str" cm="1">
        <f t="array" ref="BH4">_xlfn.IFS(Q4&lt;5,"0-5 Years",Q4&lt;10,"5-10 Years",Q4&lt;15,"10-15 Years",TRUE,"15+ Years")</f>
        <v>10-15 Years</v>
      </c>
      <c r="BI4" t="str" cm="1">
        <f t="array" ref="BI4">_xlfn.IFS(AA4&gt;=540,"A",AA4&gt;=480,"B",AA4&gt;=420,"C",AA4&gt;=360,"D",TRUE,"F")</f>
        <v>B</v>
      </c>
      <c r="BJ4" t="str" cm="1">
        <f t="array" ref="BJ4">_xlfn.IFS(AU4&lt;0,"Separated",AU4&lt;=90,"High Risk",AU4&lt;=180,"Medium Risk",TRUE,"Retained")</f>
        <v>Retained</v>
      </c>
      <c r="BK4" t="str" cm="1">
        <f t="array" ref="BK4">_xlfn.IFS(V4=0,"No Combat",V4=1,"1 Tour",V4=2,"2 Tours",TRUE,"3+ Tours")</f>
        <v>1 Tour</v>
      </c>
      <c r="BL4" t="str">
        <f t="shared" si="0"/>
        <v>Standard</v>
      </c>
      <c r="BM4" t="str">
        <f t="shared" si="1"/>
        <v>Not Ready</v>
      </c>
      <c r="BN4" s="3">
        <f t="shared" si="2"/>
        <v>0.14550264550264549</v>
      </c>
      <c r="BO4">
        <f t="shared" si="3"/>
        <v>531.4</v>
      </c>
    </row>
    <row r="5" spans="1:67" x14ac:dyDescent="0.25">
      <c r="A5" t="s">
        <v>119</v>
      </c>
      <c r="B5" t="s">
        <v>120</v>
      </c>
      <c r="C5" t="s">
        <v>121</v>
      </c>
      <c r="D5" t="s">
        <v>122</v>
      </c>
      <c r="E5">
        <v>31</v>
      </c>
      <c r="F5" t="s">
        <v>123</v>
      </c>
      <c r="G5" t="s">
        <v>124</v>
      </c>
      <c r="H5" t="s">
        <v>125</v>
      </c>
      <c r="I5" t="s">
        <v>103</v>
      </c>
      <c r="J5" t="s">
        <v>104</v>
      </c>
      <c r="K5" t="s">
        <v>105</v>
      </c>
      <c r="L5" t="s">
        <v>126</v>
      </c>
      <c r="M5" t="s">
        <v>127</v>
      </c>
      <c r="N5" t="s">
        <v>128</v>
      </c>
      <c r="O5" t="s">
        <v>89</v>
      </c>
      <c r="P5" s="1">
        <v>39251</v>
      </c>
      <c r="Q5">
        <v>17</v>
      </c>
      <c r="R5" t="s">
        <v>129</v>
      </c>
      <c r="S5" t="s">
        <v>130</v>
      </c>
      <c r="T5" t="s">
        <v>131</v>
      </c>
      <c r="U5">
        <v>5</v>
      </c>
      <c r="V5">
        <v>0</v>
      </c>
      <c r="W5" s="2">
        <v>2730</v>
      </c>
      <c r="X5" s="2">
        <v>2193</v>
      </c>
      <c r="Y5" s="2">
        <v>422</v>
      </c>
      <c r="Z5" s="2">
        <v>5345</v>
      </c>
      <c r="AA5">
        <v>595</v>
      </c>
      <c r="AB5" t="s">
        <v>65</v>
      </c>
      <c r="AC5">
        <v>17.600000000000001</v>
      </c>
      <c r="AD5">
        <v>44</v>
      </c>
      <c r="AE5">
        <v>54</v>
      </c>
      <c r="AF5" t="s">
        <v>132</v>
      </c>
      <c r="AG5">
        <v>32</v>
      </c>
      <c r="AH5" t="s">
        <v>67</v>
      </c>
      <c r="AI5" t="s">
        <v>95</v>
      </c>
      <c r="AJ5" t="s">
        <v>96</v>
      </c>
      <c r="AK5" t="s">
        <v>70</v>
      </c>
      <c r="AL5" t="s">
        <v>71</v>
      </c>
      <c r="AM5" t="s">
        <v>70</v>
      </c>
      <c r="AN5" t="s">
        <v>133</v>
      </c>
      <c r="AO5" t="s">
        <v>134</v>
      </c>
      <c r="AP5" t="s">
        <v>135</v>
      </c>
      <c r="AQ5" t="s">
        <v>136</v>
      </c>
      <c r="AR5" s="1">
        <v>41240</v>
      </c>
      <c r="AS5" t="s">
        <v>137</v>
      </c>
      <c r="AT5" t="s">
        <v>71</v>
      </c>
      <c r="AU5">
        <v>1550</v>
      </c>
      <c r="AV5" t="s">
        <v>76</v>
      </c>
      <c r="AW5" s="3">
        <v>64140</v>
      </c>
      <c r="AX5" t="s">
        <v>798</v>
      </c>
      <c r="AY5" t="s">
        <v>799</v>
      </c>
      <c r="AZ5" t="s">
        <v>76</v>
      </c>
      <c r="BA5" t="s">
        <v>800</v>
      </c>
      <c r="BB5" t="s">
        <v>801</v>
      </c>
      <c r="BC5" t="s">
        <v>802</v>
      </c>
      <c r="BD5" s="3">
        <v>0.11131898971000935</v>
      </c>
      <c r="BE5">
        <v>669.4</v>
      </c>
      <c r="BG5" s="2">
        <f>Z5*12</f>
        <v>64140</v>
      </c>
      <c r="BH5" t="str" cm="1">
        <f t="array" ref="BH5">_xlfn.IFS(Q5&lt;5,"0-5 Years",Q5&lt;10,"5-10 Years",Q5&lt;15,"10-15 Years",TRUE,"15+ Years")</f>
        <v>15+ Years</v>
      </c>
      <c r="BI5" t="str" cm="1">
        <f t="array" ref="BI5">_xlfn.IFS(AA5&gt;=540,"A",AA5&gt;=480,"B",AA5&gt;=420,"C",AA5&gt;=360,"D",TRUE,"F")</f>
        <v>A</v>
      </c>
      <c r="BJ5" t="str" cm="1">
        <f t="array" ref="BJ5">_xlfn.IFS(AU5&lt;0,"Separated",AU5&lt;=90,"High Risk",AU5&lt;=180,"Medium Risk",TRUE,"Retained")</f>
        <v>Retained</v>
      </c>
      <c r="BK5" t="str" cm="1">
        <f t="array" ref="BK5">_xlfn.IFS(V5=0,"No Combat",V5=1,"1 Tour",V5=2,"2 Tours",TRUE,"3+ Tours")</f>
        <v>No Combat</v>
      </c>
      <c r="BL5" t="str">
        <f t="shared" si="0"/>
        <v>Standard</v>
      </c>
      <c r="BM5" t="str">
        <f t="shared" si="1"/>
        <v>Not Ready</v>
      </c>
      <c r="BN5" s="3">
        <f t="shared" si="2"/>
        <v>0.11131898971000935</v>
      </c>
      <c r="BO5">
        <f t="shared" si="3"/>
        <v>669.4</v>
      </c>
    </row>
    <row r="6" spans="1:67" x14ac:dyDescent="0.25">
      <c r="A6" t="s">
        <v>138</v>
      </c>
      <c r="B6" t="s">
        <v>139</v>
      </c>
      <c r="C6" t="s">
        <v>140</v>
      </c>
      <c r="D6" t="s">
        <v>51</v>
      </c>
      <c r="E6">
        <v>22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106</v>
      </c>
      <c r="M6" t="s">
        <v>147</v>
      </c>
      <c r="N6" t="s">
        <v>148</v>
      </c>
      <c r="O6" t="s">
        <v>149</v>
      </c>
      <c r="P6" s="1">
        <v>39605</v>
      </c>
      <c r="Q6">
        <v>16</v>
      </c>
      <c r="R6" t="s">
        <v>150</v>
      </c>
      <c r="S6" t="s">
        <v>110</v>
      </c>
      <c r="T6" t="s">
        <v>111</v>
      </c>
      <c r="U6">
        <v>5</v>
      </c>
      <c r="V6">
        <v>0</v>
      </c>
      <c r="W6" s="2">
        <v>5473</v>
      </c>
      <c r="X6" s="2">
        <v>0</v>
      </c>
      <c r="Y6" s="2">
        <v>422</v>
      </c>
      <c r="Z6" s="2">
        <v>5895</v>
      </c>
      <c r="AA6">
        <v>347</v>
      </c>
      <c r="AB6" t="s">
        <v>151</v>
      </c>
      <c r="AC6">
        <v>17.600000000000001</v>
      </c>
      <c r="AD6">
        <v>51</v>
      </c>
      <c r="AE6">
        <v>31</v>
      </c>
      <c r="AF6" t="s">
        <v>112</v>
      </c>
      <c r="AG6">
        <v>25</v>
      </c>
      <c r="AH6" t="s">
        <v>113</v>
      </c>
      <c r="AI6" t="s">
        <v>152</v>
      </c>
      <c r="AJ6" t="s">
        <v>69</v>
      </c>
      <c r="AK6" t="s">
        <v>71</v>
      </c>
      <c r="AL6" t="s">
        <v>70</v>
      </c>
      <c r="AM6" t="s">
        <v>70</v>
      </c>
      <c r="AN6" t="s">
        <v>72</v>
      </c>
      <c r="AO6" t="s">
        <v>73</v>
      </c>
      <c r="AP6" t="s">
        <v>72</v>
      </c>
      <c r="AQ6" t="s">
        <v>136</v>
      </c>
      <c r="AR6" s="1">
        <v>44417</v>
      </c>
      <c r="AS6" t="s">
        <v>118</v>
      </c>
      <c r="AT6" t="s">
        <v>71</v>
      </c>
      <c r="AU6">
        <v>1233</v>
      </c>
      <c r="AV6" t="s">
        <v>76</v>
      </c>
      <c r="AW6" s="3">
        <v>70740</v>
      </c>
      <c r="AX6" t="s">
        <v>798</v>
      </c>
      <c r="AY6" t="s">
        <v>122</v>
      </c>
      <c r="AZ6" t="s">
        <v>76</v>
      </c>
      <c r="BA6" t="s">
        <v>800</v>
      </c>
      <c r="BB6" t="s">
        <v>801</v>
      </c>
      <c r="BC6" t="s">
        <v>802</v>
      </c>
      <c r="BD6" s="3">
        <v>5.8863443596268022E-2</v>
      </c>
      <c r="BE6">
        <v>407.4</v>
      </c>
      <c r="BG6" s="2">
        <f>Z6*12</f>
        <v>70740</v>
      </c>
      <c r="BH6" t="str" cm="1">
        <f t="array" ref="BH6">_xlfn.IFS(Q6&lt;5,"0-5 Years",Q6&lt;10,"5-10 Years",Q6&lt;15,"10-15 Years",TRUE,"15+ Years")</f>
        <v>15+ Years</v>
      </c>
      <c r="BI6" t="str" cm="1">
        <f t="array" ref="BI6">_xlfn.IFS(AA6&gt;=540,"A",AA6&gt;=480,"B",AA6&gt;=420,"C",AA6&gt;=360,"D",TRUE,"F")</f>
        <v>F</v>
      </c>
      <c r="BJ6" t="str" cm="1">
        <f t="array" ref="BJ6">_xlfn.IFS(AU6&lt;0,"Separated",AU6&lt;=90,"High Risk",AU6&lt;=180,"Medium Risk",TRUE,"Retained")</f>
        <v>Retained</v>
      </c>
      <c r="BK6" t="str" cm="1">
        <f t="array" ref="BK6">_xlfn.IFS(V6=0,"No Combat",V6=1,"1 Tour",V6=2,"2 Tours",TRUE,"3+ Tours")</f>
        <v>No Combat</v>
      </c>
      <c r="BL6" t="str">
        <f t="shared" si="0"/>
        <v>Standard</v>
      </c>
      <c r="BM6" t="str">
        <f t="shared" si="1"/>
        <v>Not Ready</v>
      </c>
      <c r="BN6" s="3">
        <f t="shared" si="2"/>
        <v>5.8863443596268022E-2</v>
      </c>
      <c r="BO6">
        <f t="shared" si="3"/>
        <v>407.4</v>
      </c>
    </row>
    <row r="7" spans="1:67" x14ac:dyDescent="0.25">
      <c r="A7" t="s">
        <v>153</v>
      </c>
      <c r="B7" t="s">
        <v>154</v>
      </c>
      <c r="C7" t="s">
        <v>155</v>
      </c>
      <c r="D7" t="s">
        <v>51</v>
      </c>
      <c r="E7">
        <v>25</v>
      </c>
      <c r="F7" t="s">
        <v>80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t="s">
        <v>106</v>
      </c>
      <c r="M7" t="s">
        <v>161</v>
      </c>
      <c r="N7" t="s">
        <v>162</v>
      </c>
      <c r="O7" t="s">
        <v>61</v>
      </c>
      <c r="P7" s="1">
        <v>42051</v>
      </c>
      <c r="Q7">
        <v>9.3000000000000007</v>
      </c>
      <c r="R7" t="s">
        <v>150</v>
      </c>
      <c r="S7" t="s">
        <v>163</v>
      </c>
      <c r="T7" t="s">
        <v>164</v>
      </c>
      <c r="U7">
        <v>7</v>
      </c>
      <c r="V7">
        <v>1</v>
      </c>
      <c r="W7" s="2">
        <v>4836</v>
      </c>
      <c r="X7" s="2">
        <v>0</v>
      </c>
      <c r="Y7" s="2">
        <v>266</v>
      </c>
      <c r="Z7" s="2">
        <v>5102</v>
      </c>
      <c r="AA7">
        <v>407</v>
      </c>
      <c r="AB7" t="s">
        <v>65</v>
      </c>
      <c r="AC7">
        <v>15.4</v>
      </c>
      <c r="AD7">
        <v>57</v>
      </c>
      <c r="AE7">
        <v>65</v>
      </c>
      <c r="AF7" t="s">
        <v>93</v>
      </c>
      <c r="AG7">
        <v>16</v>
      </c>
      <c r="AH7" t="s">
        <v>113</v>
      </c>
      <c r="AI7" t="s">
        <v>95</v>
      </c>
      <c r="AJ7" t="s">
        <v>72</v>
      </c>
      <c r="AK7" t="s">
        <v>70</v>
      </c>
      <c r="AL7" t="s">
        <v>71</v>
      </c>
      <c r="AM7" t="s">
        <v>70</v>
      </c>
      <c r="AN7" t="s">
        <v>133</v>
      </c>
      <c r="AO7" t="s">
        <v>97</v>
      </c>
      <c r="AP7" t="s">
        <v>135</v>
      </c>
      <c r="AQ7" t="s">
        <v>98</v>
      </c>
      <c r="AR7" s="1">
        <v>45619</v>
      </c>
      <c r="AS7" t="s">
        <v>118</v>
      </c>
      <c r="AT7" t="s">
        <v>71</v>
      </c>
      <c r="AU7">
        <v>1436</v>
      </c>
      <c r="AV7" t="s">
        <v>76</v>
      </c>
      <c r="AW7" s="3">
        <v>61224</v>
      </c>
      <c r="AX7" t="s">
        <v>808</v>
      </c>
      <c r="AY7" t="s">
        <v>809</v>
      </c>
      <c r="AZ7" t="s">
        <v>76</v>
      </c>
      <c r="BA7" t="s">
        <v>807</v>
      </c>
      <c r="BB7" t="s">
        <v>801</v>
      </c>
      <c r="BC7" t="s">
        <v>802</v>
      </c>
      <c r="BD7" s="3">
        <v>7.9772638181105443E-2</v>
      </c>
      <c r="BE7">
        <v>449.4</v>
      </c>
      <c r="BG7" s="2">
        <f>Z7*12</f>
        <v>61224</v>
      </c>
      <c r="BH7" t="str" cm="1">
        <f t="array" ref="BH7">_xlfn.IFS(Q7&lt;5,"0-5 Years",Q7&lt;10,"5-10 Years",Q7&lt;15,"10-15 Years",TRUE,"15+ Years")</f>
        <v>5-10 Years</v>
      </c>
      <c r="BI7" t="str" cm="1">
        <f t="array" ref="BI7">_xlfn.IFS(AA7&gt;=540,"A",AA7&gt;=480,"B",AA7&gt;=420,"C",AA7&gt;=360,"D",TRUE,"F")</f>
        <v>D</v>
      </c>
      <c r="BJ7" t="str" cm="1">
        <f t="array" ref="BJ7">_xlfn.IFS(AU7&lt;0,"Separated",AU7&lt;=90,"High Risk",AU7&lt;=180,"Medium Risk",TRUE,"Retained")</f>
        <v>Retained</v>
      </c>
      <c r="BK7" t="str" cm="1">
        <f t="array" ref="BK7">_xlfn.IFS(V7=0,"No Combat",V7=1,"1 Tour",V7=2,"2 Tours",TRUE,"3+ Tours")</f>
        <v>1 Tour</v>
      </c>
      <c r="BL7" t="str">
        <f t="shared" si="0"/>
        <v>Standard</v>
      </c>
      <c r="BM7" t="str">
        <f t="shared" si="1"/>
        <v>Not Ready</v>
      </c>
      <c r="BN7" s="3">
        <f t="shared" si="2"/>
        <v>7.9772638181105443E-2</v>
      </c>
      <c r="BO7">
        <f t="shared" si="3"/>
        <v>449.4</v>
      </c>
    </row>
    <row r="8" spans="1:67" x14ac:dyDescent="0.25">
      <c r="A8" t="s">
        <v>165</v>
      </c>
      <c r="B8" t="s">
        <v>166</v>
      </c>
      <c r="C8" t="s">
        <v>167</v>
      </c>
      <c r="D8" t="s">
        <v>51</v>
      </c>
      <c r="E8">
        <v>32</v>
      </c>
      <c r="F8" t="s">
        <v>168</v>
      </c>
      <c r="G8" t="s">
        <v>169</v>
      </c>
      <c r="H8" t="s">
        <v>170</v>
      </c>
      <c r="I8" t="s">
        <v>171</v>
      </c>
      <c r="J8" t="s">
        <v>172</v>
      </c>
      <c r="K8" t="s">
        <v>173</v>
      </c>
      <c r="L8" t="s">
        <v>174</v>
      </c>
      <c r="M8" t="s">
        <v>175</v>
      </c>
      <c r="N8" t="s">
        <v>162</v>
      </c>
      <c r="O8" t="s">
        <v>176</v>
      </c>
      <c r="P8" s="1">
        <v>41822</v>
      </c>
      <c r="Q8">
        <v>9.9</v>
      </c>
      <c r="R8" t="s">
        <v>62</v>
      </c>
      <c r="S8" t="s">
        <v>91</v>
      </c>
      <c r="T8" t="s">
        <v>92</v>
      </c>
      <c r="U8">
        <v>14</v>
      </c>
      <c r="V8">
        <v>2</v>
      </c>
      <c r="W8" s="2">
        <v>3294</v>
      </c>
      <c r="X8" s="2">
        <v>0</v>
      </c>
      <c r="Y8" s="2">
        <v>422</v>
      </c>
      <c r="Z8" s="2">
        <v>3716</v>
      </c>
      <c r="AA8">
        <v>345</v>
      </c>
      <c r="AB8" t="s">
        <v>151</v>
      </c>
      <c r="AC8">
        <v>13</v>
      </c>
      <c r="AD8">
        <v>66</v>
      </c>
      <c r="AE8">
        <v>51</v>
      </c>
      <c r="AF8" t="s">
        <v>93</v>
      </c>
      <c r="AG8">
        <v>22</v>
      </c>
      <c r="AH8" t="s">
        <v>113</v>
      </c>
      <c r="AI8" t="s">
        <v>177</v>
      </c>
      <c r="AJ8" t="s">
        <v>96</v>
      </c>
      <c r="AK8" t="s">
        <v>70</v>
      </c>
      <c r="AL8" t="s">
        <v>71</v>
      </c>
      <c r="AM8" t="s">
        <v>71</v>
      </c>
      <c r="AN8" t="s">
        <v>115</v>
      </c>
      <c r="AO8" t="s">
        <v>73</v>
      </c>
      <c r="AP8" t="s">
        <v>178</v>
      </c>
      <c r="AQ8" t="s">
        <v>74</v>
      </c>
      <c r="AR8" s="1">
        <v>45064</v>
      </c>
      <c r="AS8" t="s">
        <v>137</v>
      </c>
      <c r="AT8" t="s">
        <v>71</v>
      </c>
      <c r="AU8">
        <v>-440</v>
      </c>
      <c r="AV8" t="s">
        <v>179</v>
      </c>
      <c r="AW8" s="3">
        <v>44592</v>
      </c>
      <c r="AX8" t="s">
        <v>808</v>
      </c>
      <c r="AY8" t="s">
        <v>122</v>
      </c>
      <c r="AZ8" t="s">
        <v>810</v>
      </c>
      <c r="BA8" t="s">
        <v>811</v>
      </c>
      <c r="BB8" t="s">
        <v>801</v>
      </c>
      <c r="BC8" t="s">
        <v>812</v>
      </c>
      <c r="BD8" s="3">
        <v>9.2841765339074275E-2</v>
      </c>
      <c r="BE8">
        <v>419.4</v>
      </c>
      <c r="BG8" s="2">
        <f>Z8*12</f>
        <v>44592</v>
      </c>
      <c r="BH8" t="str" cm="1">
        <f t="array" ref="BH8">_xlfn.IFS(Q8&lt;5,"0-5 Years",Q8&lt;10,"5-10 Years",Q8&lt;15,"10-15 Years",TRUE,"15+ Years")</f>
        <v>5-10 Years</v>
      </c>
      <c r="BI8" t="str" cm="1">
        <f t="array" ref="BI8">_xlfn.IFS(AA8&gt;=540,"A",AA8&gt;=480,"B",AA8&gt;=420,"C",AA8&gt;=360,"D",TRUE,"F")</f>
        <v>F</v>
      </c>
      <c r="BJ8" t="str" cm="1">
        <f t="array" ref="BJ8">_xlfn.IFS(AU8&lt;0,"Separated",AU8&lt;=90,"High Risk",AU8&lt;=180,"Medium Risk",TRUE,"Retained")</f>
        <v>Separated</v>
      </c>
      <c r="BK8" t="str" cm="1">
        <f t="array" ref="BK8">_xlfn.IFS(V8=0,"No Combat",V8=1,"1 Tour",V8=2,"2 Tours",TRUE,"3+ Tours")</f>
        <v>2 Tours</v>
      </c>
      <c r="BL8" t="str">
        <f t="shared" si="0"/>
        <v>Standard</v>
      </c>
      <c r="BM8" t="str">
        <f t="shared" si="1"/>
        <v>Promotion Ready</v>
      </c>
      <c r="BN8" s="3">
        <f t="shared" si="2"/>
        <v>9.2841765339074275E-2</v>
      </c>
      <c r="BO8">
        <f t="shared" si="3"/>
        <v>419.4</v>
      </c>
    </row>
    <row r="9" spans="1:67" x14ac:dyDescent="0.25">
      <c r="A9" t="s">
        <v>180</v>
      </c>
      <c r="B9" t="s">
        <v>181</v>
      </c>
      <c r="C9" t="s">
        <v>182</v>
      </c>
      <c r="D9" t="s">
        <v>51</v>
      </c>
      <c r="E9">
        <v>36</v>
      </c>
      <c r="F9" t="s">
        <v>168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126</v>
      </c>
      <c r="M9" t="s">
        <v>107</v>
      </c>
      <c r="N9" t="s">
        <v>128</v>
      </c>
      <c r="O9" t="s">
        <v>109</v>
      </c>
      <c r="P9" s="1">
        <v>38833</v>
      </c>
      <c r="Q9">
        <v>18.100000000000001</v>
      </c>
      <c r="R9" t="s">
        <v>62</v>
      </c>
      <c r="S9" t="s">
        <v>130</v>
      </c>
      <c r="T9" t="s">
        <v>131</v>
      </c>
      <c r="U9">
        <v>12</v>
      </c>
      <c r="V9">
        <v>2</v>
      </c>
      <c r="W9" s="2">
        <v>5696</v>
      </c>
      <c r="X9" s="2">
        <v>804</v>
      </c>
      <c r="Y9" s="2">
        <v>266</v>
      </c>
      <c r="Z9" s="2">
        <v>6766</v>
      </c>
      <c r="AA9">
        <v>522</v>
      </c>
      <c r="AB9" t="s">
        <v>65</v>
      </c>
      <c r="AC9">
        <v>14.8</v>
      </c>
      <c r="AD9">
        <v>70</v>
      </c>
      <c r="AE9">
        <v>80</v>
      </c>
      <c r="AF9" t="s">
        <v>112</v>
      </c>
      <c r="AG9">
        <v>29</v>
      </c>
      <c r="AH9" t="s">
        <v>113</v>
      </c>
      <c r="AI9" t="s">
        <v>177</v>
      </c>
      <c r="AJ9" t="s">
        <v>188</v>
      </c>
      <c r="AK9" t="s">
        <v>70</v>
      </c>
      <c r="AL9" t="s">
        <v>71</v>
      </c>
      <c r="AM9" t="s">
        <v>71</v>
      </c>
      <c r="AN9" t="s">
        <v>72</v>
      </c>
      <c r="AO9" t="s">
        <v>72</v>
      </c>
      <c r="AP9" t="s">
        <v>72</v>
      </c>
      <c r="AQ9" t="s">
        <v>74</v>
      </c>
      <c r="AR9" s="1">
        <v>43503</v>
      </c>
      <c r="AS9" t="s">
        <v>75</v>
      </c>
      <c r="AT9" t="s">
        <v>71</v>
      </c>
      <c r="AU9">
        <v>1452</v>
      </c>
      <c r="AV9" t="s">
        <v>76</v>
      </c>
      <c r="AW9" s="3">
        <v>81192</v>
      </c>
      <c r="AX9" t="s">
        <v>798</v>
      </c>
      <c r="AY9" t="s">
        <v>806</v>
      </c>
      <c r="AZ9" t="s">
        <v>76</v>
      </c>
      <c r="BA9" t="s">
        <v>811</v>
      </c>
      <c r="BB9" t="s">
        <v>801</v>
      </c>
      <c r="BC9" t="s">
        <v>802</v>
      </c>
      <c r="BD9" s="3">
        <v>7.7150458173219041E-2</v>
      </c>
      <c r="BE9">
        <v>610.4</v>
      </c>
      <c r="BG9" s="2">
        <f>Z9*12</f>
        <v>81192</v>
      </c>
      <c r="BH9" t="str" cm="1">
        <f t="array" ref="BH9">_xlfn.IFS(Q9&lt;5,"0-5 Years",Q9&lt;10,"5-10 Years",Q9&lt;15,"10-15 Years",TRUE,"15+ Years")</f>
        <v>15+ Years</v>
      </c>
      <c r="BI9" t="str" cm="1">
        <f t="array" ref="BI9">_xlfn.IFS(AA9&gt;=540,"A",AA9&gt;=480,"B",AA9&gt;=420,"C",AA9&gt;=360,"D",TRUE,"F")</f>
        <v>B</v>
      </c>
      <c r="BJ9" t="str" cm="1">
        <f t="array" ref="BJ9">_xlfn.IFS(AU9&lt;0,"Separated",AU9&lt;=90,"High Risk",AU9&lt;=180,"Medium Risk",TRUE,"Retained")</f>
        <v>Retained</v>
      </c>
      <c r="BK9" t="str" cm="1">
        <f t="array" ref="BK9">_xlfn.IFS(V9=0,"No Combat",V9=1,"1 Tour",V9=2,"2 Tours",TRUE,"3+ Tours")</f>
        <v>2 Tours</v>
      </c>
      <c r="BL9" t="str">
        <f t="shared" si="0"/>
        <v>Standard</v>
      </c>
      <c r="BM9" t="str">
        <f t="shared" si="1"/>
        <v>Not Ready</v>
      </c>
      <c r="BN9" s="3">
        <f t="shared" si="2"/>
        <v>7.7150458173219041E-2</v>
      </c>
      <c r="BO9">
        <f t="shared" si="3"/>
        <v>610.4</v>
      </c>
    </row>
    <row r="10" spans="1:67" x14ac:dyDescent="0.25">
      <c r="A10" t="s">
        <v>189</v>
      </c>
      <c r="B10" t="s">
        <v>190</v>
      </c>
      <c r="C10" t="s">
        <v>191</v>
      </c>
      <c r="D10" t="s">
        <v>51</v>
      </c>
      <c r="E10">
        <v>30</v>
      </c>
      <c r="F10" t="s">
        <v>192</v>
      </c>
      <c r="G10" t="s">
        <v>193</v>
      </c>
      <c r="H10" t="s">
        <v>194</v>
      </c>
      <c r="I10" t="s">
        <v>144</v>
      </c>
      <c r="J10" t="s">
        <v>145</v>
      </c>
      <c r="K10" t="s">
        <v>146</v>
      </c>
      <c r="L10" t="s">
        <v>58</v>
      </c>
      <c r="M10" t="s">
        <v>127</v>
      </c>
      <c r="N10" t="s">
        <v>148</v>
      </c>
      <c r="O10" t="s">
        <v>89</v>
      </c>
      <c r="P10" s="1">
        <v>43884</v>
      </c>
      <c r="Q10">
        <v>4.3</v>
      </c>
      <c r="R10" t="s">
        <v>195</v>
      </c>
      <c r="S10" t="s">
        <v>196</v>
      </c>
      <c r="T10" t="s">
        <v>197</v>
      </c>
      <c r="U10">
        <v>0</v>
      </c>
      <c r="V10">
        <v>0</v>
      </c>
      <c r="W10" s="2">
        <v>2259</v>
      </c>
      <c r="X10" s="2">
        <v>1281</v>
      </c>
      <c r="Y10" s="2">
        <v>422</v>
      </c>
      <c r="Z10" s="2">
        <v>3962</v>
      </c>
      <c r="AA10">
        <v>416</v>
      </c>
      <c r="AB10" t="s">
        <v>65</v>
      </c>
      <c r="AC10">
        <v>13.5</v>
      </c>
      <c r="AD10">
        <v>76</v>
      </c>
      <c r="AE10">
        <v>66</v>
      </c>
      <c r="AF10" t="s">
        <v>66</v>
      </c>
      <c r="AG10">
        <v>35</v>
      </c>
      <c r="AH10" t="s">
        <v>67</v>
      </c>
      <c r="AI10" t="s">
        <v>68</v>
      </c>
      <c r="AJ10" t="s">
        <v>188</v>
      </c>
      <c r="AK10" t="s">
        <v>70</v>
      </c>
      <c r="AL10" t="s">
        <v>71</v>
      </c>
      <c r="AM10" t="s">
        <v>70</v>
      </c>
      <c r="AN10" t="s">
        <v>72</v>
      </c>
      <c r="AO10" t="s">
        <v>97</v>
      </c>
      <c r="AP10" t="s">
        <v>72</v>
      </c>
      <c r="AQ10" t="s">
        <v>117</v>
      </c>
      <c r="AR10" s="1">
        <v>45370</v>
      </c>
      <c r="AS10" t="s">
        <v>198</v>
      </c>
      <c r="AT10" t="s">
        <v>71</v>
      </c>
      <c r="AU10">
        <v>-203</v>
      </c>
      <c r="AV10" t="s">
        <v>179</v>
      </c>
      <c r="AW10" s="3">
        <v>47544</v>
      </c>
      <c r="AX10" t="s">
        <v>803</v>
      </c>
      <c r="AY10" t="s">
        <v>809</v>
      </c>
      <c r="AZ10" t="s">
        <v>810</v>
      </c>
      <c r="BA10" t="s">
        <v>800</v>
      </c>
      <c r="BB10" t="s">
        <v>801</v>
      </c>
      <c r="BC10" t="s">
        <v>802</v>
      </c>
      <c r="BD10" s="3">
        <v>0.104997476022211</v>
      </c>
      <c r="BE10">
        <v>496.4</v>
      </c>
      <c r="BG10" s="2">
        <f>Z10*12</f>
        <v>47544</v>
      </c>
      <c r="BH10" t="str" cm="1">
        <f t="array" ref="BH10">_xlfn.IFS(Q10&lt;5,"0-5 Years",Q10&lt;10,"5-10 Years",Q10&lt;15,"10-15 Years",TRUE,"15+ Years")</f>
        <v>0-5 Years</v>
      </c>
      <c r="BI10" t="str" cm="1">
        <f t="array" ref="BI10">_xlfn.IFS(AA10&gt;=540,"A",AA10&gt;=480,"B",AA10&gt;=420,"C",AA10&gt;=360,"D",TRUE,"F")</f>
        <v>D</v>
      </c>
      <c r="BJ10" t="str" cm="1">
        <f t="array" ref="BJ10">_xlfn.IFS(AU10&lt;0,"Separated",AU10&lt;=90,"High Risk",AU10&lt;=180,"Medium Risk",TRUE,"Retained")</f>
        <v>Separated</v>
      </c>
      <c r="BK10" t="str" cm="1">
        <f t="array" ref="BK10">_xlfn.IFS(V10=0,"No Combat",V10=1,"1 Tour",V10=2,"2 Tours",TRUE,"3+ Tours")</f>
        <v>No Combat</v>
      </c>
      <c r="BL10" t="str">
        <f t="shared" si="0"/>
        <v>Standard</v>
      </c>
      <c r="BM10" t="str">
        <f t="shared" si="1"/>
        <v>Not Ready</v>
      </c>
      <c r="BN10" s="3">
        <f t="shared" si="2"/>
        <v>0.104997476022211</v>
      </c>
      <c r="BO10">
        <f t="shared" si="3"/>
        <v>496.4</v>
      </c>
    </row>
    <row r="11" spans="1:67" x14ac:dyDescent="0.25">
      <c r="A11" t="s">
        <v>199</v>
      </c>
      <c r="B11" t="s">
        <v>100</v>
      </c>
      <c r="C11" t="s">
        <v>200</v>
      </c>
      <c r="D11" t="s">
        <v>51</v>
      </c>
      <c r="E11">
        <v>22</v>
      </c>
      <c r="F11" t="s">
        <v>80</v>
      </c>
      <c r="G11" t="s">
        <v>81</v>
      </c>
      <c r="H11" t="s">
        <v>82</v>
      </c>
      <c r="I11" t="s">
        <v>171</v>
      </c>
      <c r="J11" t="s">
        <v>172</v>
      </c>
      <c r="K11" t="s">
        <v>173</v>
      </c>
      <c r="L11" t="s">
        <v>201</v>
      </c>
      <c r="M11" t="s">
        <v>107</v>
      </c>
      <c r="N11" t="s">
        <v>148</v>
      </c>
      <c r="O11" t="s">
        <v>176</v>
      </c>
      <c r="P11" s="1">
        <v>39438</v>
      </c>
      <c r="Q11">
        <v>16.399999999999999</v>
      </c>
      <c r="R11" t="s">
        <v>62</v>
      </c>
      <c r="S11" t="s">
        <v>110</v>
      </c>
      <c r="T11" t="s">
        <v>111</v>
      </c>
      <c r="U11">
        <v>2</v>
      </c>
      <c r="V11">
        <v>0</v>
      </c>
      <c r="W11" s="2">
        <v>2504</v>
      </c>
      <c r="X11" s="2">
        <v>1300</v>
      </c>
      <c r="Y11" s="2">
        <v>422</v>
      </c>
      <c r="Z11" s="2">
        <v>4226</v>
      </c>
      <c r="AA11">
        <v>444</v>
      </c>
      <c r="AB11" t="s">
        <v>65</v>
      </c>
      <c r="AC11">
        <v>14.9</v>
      </c>
      <c r="AD11">
        <v>48</v>
      </c>
      <c r="AE11">
        <v>64</v>
      </c>
      <c r="AF11" t="s">
        <v>66</v>
      </c>
      <c r="AG11">
        <v>37</v>
      </c>
      <c r="AH11" t="s">
        <v>94</v>
      </c>
      <c r="AI11" t="s">
        <v>68</v>
      </c>
      <c r="AJ11" t="s">
        <v>96</v>
      </c>
      <c r="AK11" t="s">
        <v>71</v>
      </c>
      <c r="AL11" t="s">
        <v>71</v>
      </c>
      <c r="AM11" t="s">
        <v>70</v>
      </c>
      <c r="AN11" t="s">
        <v>202</v>
      </c>
      <c r="AO11" t="s">
        <v>203</v>
      </c>
      <c r="AP11" t="s">
        <v>72</v>
      </c>
      <c r="AQ11" t="s">
        <v>136</v>
      </c>
      <c r="AR11" s="1">
        <v>44714</v>
      </c>
      <c r="AS11" t="s">
        <v>118</v>
      </c>
      <c r="AT11" t="s">
        <v>71</v>
      </c>
      <c r="AU11">
        <v>581</v>
      </c>
      <c r="AV11" t="s">
        <v>76</v>
      </c>
      <c r="AW11" s="3">
        <v>50712</v>
      </c>
      <c r="AX11" t="s">
        <v>798</v>
      </c>
      <c r="AY11" t="s">
        <v>804</v>
      </c>
      <c r="AZ11" t="s">
        <v>76</v>
      </c>
      <c r="BA11" t="s">
        <v>800</v>
      </c>
      <c r="BB11" t="s">
        <v>801</v>
      </c>
      <c r="BC11" t="s">
        <v>802</v>
      </c>
      <c r="BD11" s="3">
        <v>0.10506389020350212</v>
      </c>
      <c r="BE11">
        <v>538.4</v>
      </c>
      <c r="BG11" s="2">
        <f>Z11*12</f>
        <v>50712</v>
      </c>
      <c r="BH11" t="str" cm="1">
        <f t="array" ref="BH11">_xlfn.IFS(Q11&lt;5,"0-5 Years",Q11&lt;10,"5-10 Years",Q11&lt;15,"10-15 Years",TRUE,"15+ Years")</f>
        <v>15+ Years</v>
      </c>
      <c r="BI11" t="str" cm="1">
        <f t="array" ref="BI11">_xlfn.IFS(AA11&gt;=540,"A",AA11&gt;=480,"B",AA11&gt;=420,"C",AA11&gt;=360,"D",TRUE,"F")</f>
        <v>C</v>
      </c>
      <c r="BJ11" t="str" cm="1">
        <f t="array" ref="BJ11">_xlfn.IFS(AU11&lt;0,"Separated",AU11&lt;=90,"High Risk",AU11&lt;=180,"Medium Risk",TRUE,"Retained")</f>
        <v>Retained</v>
      </c>
      <c r="BK11" t="str" cm="1">
        <f t="array" ref="BK11">_xlfn.IFS(V11=0,"No Combat",V11=1,"1 Tour",V11=2,"2 Tours",TRUE,"3+ Tours")</f>
        <v>No Combat</v>
      </c>
      <c r="BL11" t="str">
        <f t="shared" si="0"/>
        <v>Standard</v>
      </c>
      <c r="BM11" t="str">
        <f t="shared" si="1"/>
        <v>Not Ready</v>
      </c>
      <c r="BN11" s="3">
        <f t="shared" si="2"/>
        <v>0.10506389020350212</v>
      </c>
      <c r="BO11">
        <f t="shared" si="3"/>
        <v>538.4</v>
      </c>
    </row>
    <row r="12" spans="1:67" x14ac:dyDescent="0.25">
      <c r="A12" t="s">
        <v>204</v>
      </c>
      <c r="B12" t="s">
        <v>205</v>
      </c>
      <c r="C12" t="s">
        <v>206</v>
      </c>
      <c r="D12" t="s">
        <v>122</v>
      </c>
      <c r="E12">
        <v>22</v>
      </c>
      <c r="F12" t="s">
        <v>52</v>
      </c>
      <c r="G12" t="s">
        <v>193</v>
      </c>
      <c r="H12" t="s">
        <v>194</v>
      </c>
      <c r="I12" t="s">
        <v>158</v>
      </c>
      <c r="J12" t="s">
        <v>159</v>
      </c>
      <c r="K12" t="s">
        <v>160</v>
      </c>
      <c r="L12" t="s">
        <v>126</v>
      </c>
      <c r="M12" t="s">
        <v>207</v>
      </c>
      <c r="N12" t="s">
        <v>60</v>
      </c>
      <c r="O12" t="s">
        <v>89</v>
      </c>
      <c r="P12" s="1">
        <v>41085</v>
      </c>
      <c r="Q12">
        <v>11.9</v>
      </c>
      <c r="R12" t="s">
        <v>208</v>
      </c>
      <c r="S12" t="s">
        <v>196</v>
      </c>
      <c r="T12" t="s">
        <v>197</v>
      </c>
      <c r="U12">
        <v>0</v>
      </c>
      <c r="V12">
        <v>0</v>
      </c>
      <c r="W12" s="2">
        <v>2259</v>
      </c>
      <c r="X12" s="2">
        <v>1067</v>
      </c>
      <c r="Y12" s="2">
        <v>422</v>
      </c>
      <c r="Z12" s="2">
        <v>3748</v>
      </c>
      <c r="AA12">
        <v>508</v>
      </c>
      <c r="AB12" t="s">
        <v>65</v>
      </c>
      <c r="AC12">
        <v>13.9</v>
      </c>
      <c r="AD12">
        <v>48</v>
      </c>
      <c r="AE12">
        <v>65</v>
      </c>
      <c r="AF12" t="s">
        <v>66</v>
      </c>
      <c r="AG12">
        <v>19</v>
      </c>
      <c r="AH12" t="s">
        <v>113</v>
      </c>
      <c r="AI12" t="s">
        <v>114</v>
      </c>
      <c r="AJ12" t="s">
        <v>72</v>
      </c>
      <c r="AK12" t="s">
        <v>70</v>
      </c>
      <c r="AL12" t="s">
        <v>70</v>
      </c>
      <c r="AM12" t="s">
        <v>70</v>
      </c>
      <c r="AN12" t="s">
        <v>72</v>
      </c>
      <c r="AO12" t="s">
        <v>97</v>
      </c>
      <c r="AP12" t="s">
        <v>72</v>
      </c>
      <c r="AQ12" t="s">
        <v>98</v>
      </c>
      <c r="AR12" s="1">
        <v>41235</v>
      </c>
      <c r="AS12" t="s">
        <v>137</v>
      </c>
      <c r="AT12" t="s">
        <v>71</v>
      </c>
      <c r="AU12">
        <v>965</v>
      </c>
      <c r="AV12" t="s">
        <v>76</v>
      </c>
      <c r="AW12" s="3">
        <v>44976</v>
      </c>
      <c r="AX12" t="s">
        <v>805</v>
      </c>
      <c r="AY12" t="s">
        <v>806</v>
      </c>
      <c r="AZ12" t="s">
        <v>76</v>
      </c>
      <c r="BA12" t="s">
        <v>800</v>
      </c>
      <c r="BB12" t="s">
        <v>801</v>
      </c>
      <c r="BC12" t="s">
        <v>802</v>
      </c>
      <c r="BD12" s="3">
        <v>0.13553895410885805</v>
      </c>
      <c r="BE12">
        <v>546.4</v>
      </c>
      <c r="BG12" s="2">
        <f>Z12*12</f>
        <v>44976</v>
      </c>
      <c r="BH12" t="str" cm="1">
        <f t="array" ref="BH12">_xlfn.IFS(Q12&lt;5,"0-5 Years",Q12&lt;10,"5-10 Years",Q12&lt;15,"10-15 Years",TRUE,"15+ Years")</f>
        <v>10-15 Years</v>
      </c>
      <c r="BI12" t="str" cm="1">
        <f t="array" ref="BI12">_xlfn.IFS(AA12&gt;=540,"A",AA12&gt;=480,"B",AA12&gt;=420,"C",AA12&gt;=360,"D",TRUE,"F")</f>
        <v>B</v>
      </c>
      <c r="BJ12" t="str" cm="1">
        <f t="array" ref="BJ12">_xlfn.IFS(AU12&lt;0,"Separated",AU12&lt;=90,"High Risk",AU12&lt;=180,"Medium Risk",TRUE,"Retained")</f>
        <v>Retained</v>
      </c>
      <c r="BK12" t="str" cm="1">
        <f t="array" ref="BK12">_xlfn.IFS(V12=0,"No Combat",V12=1,"1 Tour",V12=2,"2 Tours",TRUE,"3+ Tours")</f>
        <v>No Combat</v>
      </c>
      <c r="BL12" t="str">
        <f t="shared" si="0"/>
        <v>Standard</v>
      </c>
      <c r="BM12" t="str">
        <f t="shared" si="1"/>
        <v>Not Ready</v>
      </c>
      <c r="BN12" s="3">
        <f t="shared" si="2"/>
        <v>0.13553895410885805</v>
      </c>
      <c r="BO12">
        <f t="shared" si="3"/>
        <v>546.4</v>
      </c>
    </row>
    <row r="13" spans="1:67" x14ac:dyDescent="0.25">
      <c r="A13" t="s">
        <v>209</v>
      </c>
      <c r="B13" t="s">
        <v>210</v>
      </c>
      <c r="C13" t="s">
        <v>182</v>
      </c>
      <c r="D13" t="s">
        <v>51</v>
      </c>
      <c r="E13">
        <v>25</v>
      </c>
      <c r="F13" t="s">
        <v>211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201</v>
      </c>
      <c r="M13" t="s">
        <v>212</v>
      </c>
      <c r="N13" t="s">
        <v>148</v>
      </c>
      <c r="O13" t="s">
        <v>149</v>
      </c>
      <c r="P13" s="1">
        <v>40292</v>
      </c>
      <c r="Q13">
        <v>14.1</v>
      </c>
      <c r="R13" t="s">
        <v>90</v>
      </c>
      <c r="S13" t="s">
        <v>196</v>
      </c>
      <c r="T13" t="s">
        <v>197</v>
      </c>
      <c r="U13">
        <v>0</v>
      </c>
      <c r="V13">
        <v>0</v>
      </c>
      <c r="W13" s="2">
        <v>2504</v>
      </c>
      <c r="X13" s="2">
        <v>0</v>
      </c>
      <c r="Y13" s="2">
        <v>422</v>
      </c>
      <c r="Z13" s="2">
        <v>2926</v>
      </c>
      <c r="AA13">
        <v>460</v>
      </c>
      <c r="AB13" t="s">
        <v>65</v>
      </c>
      <c r="AC13">
        <v>20</v>
      </c>
      <c r="AD13">
        <v>21</v>
      </c>
      <c r="AE13">
        <v>41</v>
      </c>
      <c r="AF13" t="s">
        <v>132</v>
      </c>
      <c r="AG13">
        <v>37</v>
      </c>
      <c r="AH13" t="s">
        <v>94</v>
      </c>
      <c r="AI13" t="s">
        <v>95</v>
      </c>
      <c r="AJ13" t="s">
        <v>72</v>
      </c>
      <c r="AK13" t="s">
        <v>70</v>
      </c>
      <c r="AL13" t="s">
        <v>71</v>
      </c>
      <c r="AM13" t="s">
        <v>70</v>
      </c>
      <c r="AN13" t="s">
        <v>72</v>
      </c>
      <c r="AO13" t="s">
        <v>72</v>
      </c>
      <c r="AP13" t="s">
        <v>134</v>
      </c>
      <c r="AQ13" t="s">
        <v>98</v>
      </c>
      <c r="AR13" s="1">
        <v>42043</v>
      </c>
      <c r="AS13" t="s">
        <v>75</v>
      </c>
      <c r="AT13" t="s">
        <v>71</v>
      </c>
      <c r="AU13">
        <v>413</v>
      </c>
      <c r="AV13" t="s">
        <v>76</v>
      </c>
      <c r="AW13" s="3">
        <v>35112</v>
      </c>
      <c r="AX13" t="s">
        <v>805</v>
      </c>
      <c r="AY13" t="s">
        <v>804</v>
      </c>
      <c r="AZ13" t="s">
        <v>76</v>
      </c>
      <c r="BA13" t="s">
        <v>800</v>
      </c>
      <c r="BB13" t="s">
        <v>801</v>
      </c>
      <c r="BC13" t="s">
        <v>802</v>
      </c>
      <c r="BD13" s="3">
        <v>0.1572112098427888</v>
      </c>
      <c r="BE13">
        <v>544.4</v>
      </c>
      <c r="BG13" s="2">
        <f>Z13*12</f>
        <v>35112</v>
      </c>
      <c r="BH13" t="str" cm="1">
        <f t="array" ref="BH13">_xlfn.IFS(Q13&lt;5,"0-5 Years",Q13&lt;10,"5-10 Years",Q13&lt;15,"10-15 Years",TRUE,"15+ Years")</f>
        <v>10-15 Years</v>
      </c>
      <c r="BI13" t="str" cm="1">
        <f t="array" ref="BI13">_xlfn.IFS(AA13&gt;=540,"A",AA13&gt;=480,"B",AA13&gt;=420,"C",AA13&gt;=360,"D",TRUE,"F")</f>
        <v>C</v>
      </c>
      <c r="BJ13" t="str" cm="1">
        <f t="array" ref="BJ13">_xlfn.IFS(AU13&lt;0,"Separated",AU13&lt;=90,"High Risk",AU13&lt;=180,"Medium Risk",TRUE,"Retained")</f>
        <v>Retained</v>
      </c>
      <c r="BK13" t="str" cm="1">
        <f t="array" ref="BK13">_xlfn.IFS(V13=0,"No Combat",V13=1,"1 Tour",V13=2,"2 Tours",TRUE,"3+ Tours")</f>
        <v>No Combat</v>
      </c>
      <c r="BL13" t="str">
        <f t="shared" si="0"/>
        <v>Standard</v>
      </c>
      <c r="BM13" t="str">
        <f t="shared" si="1"/>
        <v>Not Ready</v>
      </c>
      <c r="BN13" s="3">
        <f t="shared" si="2"/>
        <v>0.1572112098427888</v>
      </c>
      <c r="BO13">
        <f t="shared" si="3"/>
        <v>544.4</v>
      </c>
    </row>
    <row r="14" spans="1:67" x14ac:dyDescent="0.25">
      <c r="A14" t="s">
        <v>213</v>
      </c>
      <c r="B14" t="s">
        <v>78</v>
      </c>
      <c r="C14" t="s">
        <v>155</v>
      </c>
      <c r="D14" t="s">
        <v>51</v>
      </c>
      <c r="E14">
        <v>26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K14" t="s">
        <v>146</v>
      </c>
      <c r="L14" t="s">
        <v>174</v>
      </c>
      <c r="M14" t="s">
        <v>207</v>
      </c>
      <c r="N14" t="s">
        <v>88</v>
      </c>
      <c r="O14" t="s">
        <v>61</v>
      </c>
      <c r="P14" s="1">
        <v>41627</v>
      </c>
      <c r="Q14">
        <v>10.5</v>
      </c>
      <c r="R14" t="s">
        <v>75</v>
      </c>
      <c r="S14" t="s">
        <v>219</v>
      </c>
      <c r="T14" t="s">
        <v>220</v>
      </c>
      <c r="U14">
        <v>0</v>
      </c>
      <c r="V14">
        <v>0</v>
      </c>
      <c r="W14" s="2">
        <v>3637</v>
      </c>
      <c r="X14" s="2">
        <v>1898</v>
      </c>
      <c r="Y14" s="2">
        <v>266</v>
      </c>
      <c r="Z14" s="2">
        <v>5801</v>
      </c>
      <c r="AA14">
        <v>381</v>
      </c>
      <c r="AB14" t="s">
        <v>65</v>
      </c>
      <c r="AC14">
        <v>20.5</v>
      </c>
      <c r="AD14">
        <v>27</v>
      </c>
      <c r="AE14">
        <v>46</v>
      </c>
      <c r="AF14" t="s">
        <v>112</v>
      </c>
      <c r="AG14">
        <v>17</v>
      </c>
      <c r="AH14" t="s">
        <v>113</v>
      </c>
      <c r="AI14" t="s">
        <v>95</v>
      </c>
      <c r="AJ14" t="s">
        <v>72</v>
      </c>
      <c r="AK14" t="s">
        <v>70</v>
      </c>
      <c r="AL14" t="s">
        <v>70</v>
      </c>
      <c r="AM14" t="s">
        <v>70</v>
      </c>
      <c r="AN14" t="s">
        <v>115</v>
      </c>
      <c r="AO14" t="s">
        <v>97</v>
      </c>
      <c r="AP14" t="s">
        <v>221</v>
      </c>
      <c r="AQ14" t="s">
        <v>117</v>
      </c>
      <c r="AR14" s="1">
        <v>42889</v>
      </c>
      <c r="AS14" t="s">
        <v>137</v>
      </c>
      <c r="AT14" t="s">
        <v>71</v>
      </c>
      <c r="AU14">
        <v>991</v>
      </c>
      <c r="AV14" t="s">
        <v>76</v>
      </c>
      <c r="AW14" s="3">
        <v>69612</v>
      </c>
      <c r="AX14" t="s">
        <v>805</v>
      </c>
      <c r="AY14" t="s">
        <v>809</v>
      </c>
      <c r="AZ14" t="s">
        <v>76</v>
      </c>
      <c r="BA14" t="s">
        <v>800</v>
      </c>
      <c r="BB14" t="s">
        <v>801</v>
      </c>
      <c r="BC14" t="s">
        <v>802</v>
      </c>
      <c r="BD14" s="3">
        <v>6.5678331322185826E-2</v>
      </c>
      <c r="BE14">
        <v>415.4</v>
      </c>
      <c r="BG14" s="2">
        <f>Z14*12</f>
        <v>69612</v>
      </c>
      <c r="BH14" t="str" cm="1">
        <f t="array" ref="BH14">_xlfn.IFS(Q14&lt;5,"0-5 Years",Q14&lt;10,"5-10 Years",Q14&lt;15,"10-15 Years",TRUE,"15+ Years")</f>
        <v>10-15 Years</v>
      </c>
      <c r="BI14" t="str" cm="1">
        <f t="array" ref="BI14">_xlfn.IFS(AA14&gt;=540,"A",AA14&gt;=480,"B",AA14&gt;=420,"C",AA14&gt;=360,"D",TRUE,"F")</f>
        <v>D</v>
      </c>
      <c r="BJ14" t="str" cm="1">
        <f t="array" ref="BJ14">_xlfn.IFS(AU14&lt;0,"Separated",AU14&lt;=90,"High Risk",AU14&lt;=180,"Medium Risk",TRUE,"Retained")</f>
        <v>Retained</v>
      </c>
      <c r="BK14" t="str" cm="1">
        <f t="array" ref="BK14">_xlfn.IFS(V14=0,"No Combat",V14=1,"1 Tour",V14=2,"2 Tours",TRUE,"3+ Tours")</f>
        <v>No Combat</v>
      </c>
      <c r="BL14" t="str">
        <f t="shared" si="0"/>
        <v>Standard</v>
      </c>
      <c r="BM14" t="str">
        <f t="shared" si="1"/>
        <v>Not Ready</v>
      </c>
      <c r="BN14" s="3">
        <f t="shared" si="2"/>
        <v>6.5678331322185826E-2</v>
      </c>
      <c r="BO14">
        <f t="shared" si="3"/>
        <v>415.4</v>
      </c>
    </row>
    <row r="15" spans="1:67" x14ac:dyDescent="0.25">
      <c r="A15" t="s">
        <v>222</v>
      </c>
      <c r="B15" t="s">
        <v>210</v>
      </c>
      <c r="C15" t="s">
        <v>223</v>
      </c>
      <c r="D15" t="s">
        <v>122</v>
      </c>
      <c r="E15">
        <v>27</v>
      </c>
      <c r="F15" t="s">
        <v>224</v>
      </c>
      <c r="G15" t="s">
        <v>215</v>
      </c>
      <c r="H15" t="s">
        <v>216</v>
      </c>
      <c r="I15" t="s">
        <v>225</v>
      </c>
      <c r="J15" t="s">
        <v>226</v>
      </c>
      <c r="K15" t="s">
        <v>105</v>
      </c>
      <c r="L15" t="s">
        <v>86</v>
      </c>
      <c r="M15" t="s">
        <v>175</v>
      </c>
      <c r="N15" t="s">
        <v>128</v>
      </c>
      <c r="O15" t="s">
        <v>89</v>
      </c>
      <c r="P15" s="1">
        <v>44249</v>
      </c>
      <c r="Q15">
        <v>3.3</v>
      </c>
      <c r="R15" t="s">
        <v>208</v>
      </c>
      <c r="S15" t="s">
        <v>110</v>
      </c>
      <c r="T15" t="s">
        <v>111</v>
      </c>
      <c r="U15">
        <v>9</v>
      </c>
      <c r="V15">
        <v>1</v>
      </c>
      <c r="W15" s="2">
        <v>3637</v>
      </c>
      <c r="X15" s="2">
        <v>2165</v>
      </c>
      <c r="Y15" s="2">
        <v>266</v>
      </c>
      <c r="Z15" s="2">
        <v>6068</v>
      </c>
      <c r="AA15">
        <v>573</v>
      </c>
      <c r="AB15" t="s">
        <v>65</v>
      </c>
      <c r="AC15">
        <v>15.3</v>
      </c>
      <c r="AD15">
        <v>64</v>
      </c>
      <c r="AE15">
        <v>48</v>
      </c>
      <c r="AF15" t="s">
        <v>93</v>
      </c>
      <c r="AG15">
        <v>22</v>
      </c>
      <c r="AH15" t="s">
        <v>113</v>
      </c>
      <c r="AI15" t="s">
        <v>114</v>
      </c>
      <c r="AJ15" t="s">
        <v>96</v>
      </c>
      <c r="AK15" t="s">
        <v>70</v>
      </c>
      <c r="AL15" t="s">
        <v>70</v>
      </c>
      <c r="AM15" t="s">
        <v>71</v>
      </c>
      <c r="AN15" t="s">
        <v>115</v>
      </c>
      <c r="AO15" t="s">
        <v>227</v>
      </c>
      <c r="AP15" t="s">
        <v>227</v>
      </c>
      <c r="AQ15" t="s">
        <v>98</v>
      </c>
      <c r="AR15" s="1">
        <v>45537</v>
      </c>
      <c r="AS15" t="s">
        <v>198</v>
      </c>
      <c r="AT15" t="s">
        <v>71</v>
      </c>
      <c r="AU15">
        <v>819</v>
      </c>
      <c r="AV15" t="s">
        <v>76</v>
      </c>
      <c r="AW15" s="3">
        <v>72816</v>
      </c>
      <c r="AX15" t="s">
        <v>803</v>
      </c>
      <c r="AY15" t="s">
        <v>799</v>
      </c>
      <c r="AZ15" t="s">
        <v>76</v>
      </c>
      <c r="BA15" t="s">
        <v>807</v>
      </c>
      <c r="BB15" t="s">
        <v>801</v>
      </c>
      <c r="BC15" t="s">
        <v>802</v>
      </c>
      <c r="BD15" s="3">
        <v>9.4429795649307841E-2</v>
      </c>
      <c r="BE15">
        <v>637.4</v>
      </c>
      <c r="BG15" s="2">
        <f>Z15*12</f>
        <v>72816</v>
      </c>
      <c r="BH15" t="str" cm="1">
        <f t="array" ref="BH15">_xlfn.IFS(Q15&lt;5,"0-5 Years",Q15&lt;10,"5-10 Years",Q15&lt;15,"10-15 Years",TRUE,"15+ Years")</f>
        <v>0-5 Years</v>
      </c>
      <c r="BI15" t="str" cm="1">
        <f t="array" ref="BI15">_xlfn.IFS(AA15&gt;=540,"A",AA15&gt;=480,"B",AA15&gt;=420,"C",AA15&gt;=360,"D",TRUE,"F")</f>
        <v>A</v>
      </c>
      <c r="BJ15" t="str" cm="1">
        <f t="array" ref="BJ15">_xlfn.IFS(AU15&lt;0,"Separated",AU15&lt;=90,"High Risk",AU15&lt;=180,"Medium Risk",TRUE,"Retained")</f>
        <v>Retained</v>
      </c>
      <c r="BK15" t="str" cm="1">
        <f t="array" ref="BK15">_xlfn.IFS(V15=0,"No Combat",V15=1,"1 Tour",V15=2,"2 Tours",TRUE,"3+ Tours")</f>
        <v>1 Tour</v>
      </c>
      <c r="BL15" t="str">
        <f t="shared" si="0"/>
        <v>Standard</v>
      </c>
      <c r="BM15" t="str">
        <f t="shared" si="1"/>
        <v>Not Ready</v>
      </c>
      <c r="BN15" s="3">
        <f t="shared" si="2"/>
        <v>9.4429795649307841E-2</v>
      </c>
      <c r="BO15">
        <f t="shared" si="3"/>
        <v>637.4</v>
      </c>
    </row>
    <row r="16" spans="1:67" x14ac:dyDescent="0.25">
      <c r="A16" t="s">
        <v>228</v>
      </c>
      <c r="B16" t="s">
        <v>229</v>
      </c>
      <c r="C16" t="s">
        <v>230</v>
      </c>
      <c r="D16" t="s">
        <v>122</v>
      </c>
      <c r="E16">
        <v>32</v>
      </c>
      <c r="F16" t="s">
        <v>52</v>
      </c>
      <c r="G16" t="s">
        <v>169</v>
      </c>
      <c r="H16" t="s">
        <v>170</v>
      </c>
      <c r="I16" t="s">
        <v>103</v>
      </c>
      <c r="J16" t="s">
        <v>104</v>
      </c>
      <c r="K16" t="s">
        <v>105</v>
      </c>
      <c r="L16" t="s">
        <v>126</v>
      </c>
      <c r="M16" t="s">
        <v>59</v>
      </c>
      <c r="N16" t="s">
        <v>108</v>
      </c>
      <c r="O16" t="s">
        <v>89</v>
      </c>
      <c r="P16" s="1">
        <v>40677</v>
      </c>
      <c r="Q16">
        <v>13.1</v>
      </c>
      <c r="R16" t="s">
        <v>150</v>
      </c>
      <c r="S16" t="s">
        <v>63</v>
      </c>
      <c r="T16" t="s">
        <v>64</v>
      </c>
      <c r="U16">
        <v>0</v>
      </c>
      <c r="V16">
        <v>0</v>
      </c>
      <c r="W16" s="2">
        <v>3294</v>
      </c>
      <c r="X16" s="2">
        <v>2159</v>
      </c>
      <c r="Y16" s="2">
        <v>422</v>
      </c>
      <c r="Z16" s="2">
        <v>5875</v>
      </c>
      <c r="AA16">
        <v>410</v>
      </c>
      <c r="AB16" t="s">
        <v>65</v>
      </c>
      <c r="AC16">
        <v>13.3</v>
      </c>
      <c r="AD16">
        <v>80</v>
      </c>
      <c r="AE16">
        <v>78</v>
      </c>
      <c r="AF16" t="s">
        <v>112</v>
      </c>
      <c r="AG16">
        <v>23</v>
      </c>
      <c r="AH16" t="s">
        <v>113</v>
      </c>
      <c r="AI16" t="s">
        <v>152</v>
      </c>
      <c r="AJ16" t="s">
        <v>188</v>
      </c>
      <c r="AK16" t="s">
        <v>70</v>
      </c>
      <c r="AL16" t="s">
        <v>70</v>
      </c>
      <c r="AM16" t="s">
        <v>71</v>
      </c>
      <c r="AN16" t="s">
        <v>231</v>
      </c>
      <c r="AO16" t="s">
        <v>72</v>
      </c>
      <c r="AP16" t="s">
        <v>72</v>
      </c>
      <c r="AQ16" t="s">
        <v>136</v>
      </c>
      <c r="AR16" s="1">
        <v>44593</v>
      </c>
      <c r="AS16" t="s">
        <v>118</v>
      </c>
      <c r="AT16" t="s">
        <v>71</v>
      </c>
      <c r="AU16">
        <v>1136</v>
      </c>
      <c r="AV16" t="s">
        <v>76</v>
      </c>
      <c r="AW16" s="3">
        <v>70500</v>
      </c>
      <c r="AX16" t="s">
        <v>805</v>
      </c>
      <c r="AY16" t="s">
        <v>809</v>
      </c>
      <c r="AZ16" t="s">
        <v>76</v>
      </c>
      <c r="BA16" t="s">
        <v>800</v>
      </c>
      <c r="BB16" t="s">
        <v>801</v>
      </c>
      <c r="BC16" t="s">
        <v>802</v>
      </c>
      <c r="BD16" s="3">
        <v>6.9787234042553187E-2</v>
      </c>
      <c r="BE16">
        <v>476.4</v>
      </c>
      <c r="BG16" s="2">
        <f>Z16*12</f>
        <v>70500</v>
      </c>
      <c r="BH16" t="str" cm="1">
        <f t="array" ref="BH16">_xlfn.IFS(Q16&lt;5,"0-5 Years",Q16&lt;10,"5-10 Years",Q16&lt;15,"10-15 Years",TRUE,"15+ Years")</f>
        <v>10-15 Years</v>
      </c>
      <c r="BI16" t="str" cm="1">
        <f t="array" ref="BI16">_xlfn.IFS(AA16&gt;=540,"A",AA16&gt;=480,"B",AA16&gt;=420,"C",AA16&gt;=360,"D",TRUE,"F")</f>
        <v>D</v>
      </c>
      <c r="BJ16" t="str" cm="1">
        <f t="array" ref="BJ16">_xlfn.IFS(AU16&lt;0,"Separated",AU16&lt;=90,"High Risk",AU16&lt;=180,"Medium Risk",TRUE,"Retained")</f>
        <v>Retained</v>
      </c>
      <c r="BK16" t="str" cm="1">
        <f t="array" ref="BK16">_xlfn.IFS(V16=0,"No Combat",V16=1,"1 Tour",V16=2,"2 Tours",TRUE,"3+ Tours")</f>
        <v>No Combat</v>
      </c>
      <c r="BL16" t="str">
        <f t="shared" si="0"/>
        <v>Standard</v>
      </c>
      <c r="BM16" t="str">
        <f t="shared" si="1"/>
        <v>Not Ready</v>
      </c>
      <c r="BN16" s="3">
        <f t="shared" si="2"/>
        <v>6.9787234042553187E-2</v>
      </c>
      <c r="BO16">
        <f t="shared" si="3"/>
        <v>476.4</v>
      </c>
    </row>
    <row r="17" spans="1:67" x14ac:dyDescent="0.25">
      <c r="A17" t="s">
        <v>232</v>
      </c>
      <c r="B17" t="s">
        <v>139</v>
      </c>
      <c r="C17" t="s">
        <v>233</v>
      </c>
      <c r="D17" t="s">
        <v>51</v>
      </c>
      <c r="E17">
        <v>23</v>
      </c>
      <c r="F17" t="s">
        <v>141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174</v>
      </c>
      <c r="M17" t="s">
        <v>212</v>
      </c>
      <c r="N17" t="s">
        <v>108</v>
      </c>
      <c r="O17" t="s">
        <v>149</v>
      </c>
      <c r="P17" s="1">
        <v>44053</v>
      </c>
      <c r="Q17">
        <v>3.8</v>
      </c>
      <c r="R17" t="s">
        <v>90</v>
      </c>
      <c r="S17" t="s">
        <v>63</v>
      </c>
      <c r="T17" t="s">
        <v>64</v>
      </c>
      <c r="U17">
        <v>0</v>
      </c>
      <c r="V17">
        <v>0</v>
      </c>
      <c r="W17" s="2">
        <v>1917</v>
      </c>
      <c r="X17" s="2">
        <v>0</v>
      </c>
      <c r="Y17" s="2">
        <v>422</v>
      </c>
      <c r="Z17" s="2">
        <v>2339</v>
      </c>
      <c r="AA17">
        <v>523</v>
      </c>
      <c r="AB17" t="s">
        <v>65</v>
      </c>
      <c r="AC17">
        <v>17.2</v>
      </c>
      <c r="AD17">
        <v>78</v>
      </c>
      <c r="AE17">
        <v>37</v>
      </c>
      <c r="AF17" t="s">
        <v>93</v>
      </c>
      <c r="AG17">
        <v>30</v>
      </c>
      <c r="AH17" t="s">
        <v>67</v>
      </c>
      <c r="AI17" t="s">
        <v>95</v>
      </c>
      <c r="AJ17" t="s">
        <v>69</v>
      </c>
      <c r="AK17" t="s">
        <v>70</v>
      </c>
      <c r="AL17" t="s">
        <v>70</v>
      </c>
      <c r="AM17" t="s">
        <v>70</v>
      </c>
      <c r="AN17" t="s">
        <v>133</v>
      </c>
      <c r="AO17" t="s">
        <v>72</v>
      </c>
      <c r="AP17" t="s">
        <v>203</v>
      </c>
      <c r="AQ17" t="s">
        <v>117</v>
      </c>
      <c r="AR17" s="1">
        <v>44398</v>
      </c>
      <c r="AS17" t="s">
        <v>75</v>
      </c>
      <c r="AT17" t="s">
        <v>71</v>
      </c>
      <c r="AU17">
        <v>1635</v>
      </c>
      <c r="AV17" t="s">
        <v>76</v>
      </c>
      <c r="AW17" s="3">
        <v>28068</v>
      </c>
      <c r="AX17" t="s">
        <v>803</v>
      </c>
      <c r="AY17" t="s">
        <v>806</v>
      </c>
      <c r="AZ17" t="s">
        <v>76</v>
      </c>
      <c r="BA17" t="s">
        <v>800</v>
      </c>
      <c r="BB17" t="s">
        <v>801</v>
      </c>
      <c r="BC17" t="s">
        <v>802</v>
      </c>
      <c r="BD17" s="3">
        <v>0.22359982898674646</v>
      </c>
      <c r="BE17">
        <v>583.4</v>
      </c>
      <c r="BG17" s="2">
        <f>Z17*12</f>
        <v>28068</v>
      </c>
      <c r="BH17" t="str" cm="1">
        <f t="array" ref="BH17">_xlfn.IFS(Q17&lt;5,"0-5 Years",Q17&lt;10,"5-10 Years",Q17&lt;15,"10-15 Years",TRUE,"15+ Years")</f>
        <v>0-5 Years</v>
      </c>
      <c r="BI17" t="str" cm="1">
        <f t="array" ref="BI17">_xlfn.IFS(AA17&gt;=540,"A",AA17&gt;=480,"B",AA17&gt;=420,"C",AA17&gt;=360,"D",TRUE,"F")</f>
        <v>B</v>
      </c>
      <c r="BJ17" t="str" cm="1">
        <f t="array" ref="BJ17">_xlfn.IFS(AU17&lt;0,"Separated",AU17&lt;=90,"High Risk",AU17&lt;=180,"Medium Risk",TRUE,"Retained")</f>
        <v>Retained</v>
      </c>
      <c r="BK17" t="str" cm="1">
        <f t="array" ref="BK17">_xlfn.IFS(V17=0,"No Combat",V17=1,"1 Tour",V17=2,"2 Tours",TRUE,"3+ Tours")</f>
        <v>No Combat</v>
      </c>
      <c r="BL17" t="str">
        <f t="shared" si="0"/>
        <v>Standard</v>
      </c>
      <c r="BM17" t="str">
        <f t="shared" si="1"/>
        <v>Not Ready</v>
      </c>
      <c r="BN17" s="3">
        <f t="shared" si="2"/>
        <v>0.22359982898674646</v>
      </c>
      <c r="BO17">
        <f t="shared" si="3"/>
        <v>583.4</v>
      </c>
    </row>
    <row r="18" spans="1:67" x14ac:dyDescent="0.25">
      <c r="A18" t="s">
        <v>239</v>
      </c>
      <c r="B18" t="s">
        <v>120</v>
      </c>
      <c r="C18" t="s">
        <v>240</v>
      </c>
      <c r="D18" t="s">
        <v>122</v>
      </c>
      <c r="E18">
        <v>42</v>
      </c>
      <c r="F18" t="s">
        <v>241</v>
      </c>
      <c r="G18" t="s">
        <v>242</v>
      </c>
      <c r="H18" t="s">
        <v>54</v>
      </c>
      <c r="I18" t="s">
        <v>185</v>
      </c>
      <c r="J18" t="s">
        <v>186</v>
      </c>
      <c r="K18" t="s">
        <v>187</v>
      </c>
      <c r="L18" t="s">
        <v>174</v>
      </c>
      <c r="M18" t="s">
        <v>59</v>
      </c>
      <c r="N18" t="s">
        <v>88</v>
      </c>
      <c r="O18" t="s">
        <v>149</v>
      </c>
      <c r="P18" s="1">
        <v>40578</v>
      </c>
      <c r="Q18">
        <v>13.3</v>
      </c>
      <c r="R18" t="s">
        <v>75</v>
      </c>
      <c r="S18" t="s">
        <v>110</v>
      </c>
      <c r="T18" t="s">
        <v>111</v>
      </c>
      <c r="U18">
        <v>10</v>
      </c>
      <c r="V18">
        <v>1</v>
      </c>
      <c r="W18" s="2">
        <v>4739</v>
      </c>
      <c r="X18" s="2">
        <v>0</v>
      </c>
      <c r="Y18" s="2">
        <v>422</v>
      </c>
      <c r="Z18" s="2">
        <v>5161</v>
      </c>
      <c r="AA18">
        <v>368</v>
      </c>
      <c r="AB18" t="s">
        <v>65</v>
      </c>
      <c r="AC18">
        <v>13.7</v>
      </c>
      <c r="AD18">
        <v>34</v>
      </c>
      <c r="AE18">
        <v>54</v>
      </c>
      <c r="AF18" t="s">
        <v>93</v>
      </c>
      <c r="AG18">
        <v>18</v>
      </c>
      <c r="AH18" t="s">
        <v>113</v>
      </c>
      <c r="AI18" t="s">
        <v>177</v>
      </c>
      <c r="AJ18" t="s">
        <v>72</v>
      </c>
      <c r="AK18" t="s">
        <v>70</v>
      </c>
      <c r="AL18" t="s">
        <v>70</v>
      </c>
      <c r="AM18" t="s">
        <v>70</v>
      </c>
      <c r="AN18" t="s">
        <v>243</v>
      </c>
      <c r="AO18" t="s">
        <v>227</v>
      </c>
      <c r="AP18" t="s">
        <v>72</v>
      </c>
      <c r="AQ18" t="s">
        <v>74</v>
      </c>
      <c r="AR18" s="1">
        <v>42990</v>
      </c>
      <c r="AS18" t="s">
        <v>198</v>
      </c>
      <c r="AT18" t="s">
        <v>71</v>
      </c>
      <c r="AU18">
        <v>1097</v>
      </c>
      <c r="AV18" t="s">
        <v>76</v>
      </c>
      <c r="AW18" s="3">
        <v>61932</v>
      </c>
      <c r="AX18" t="s">
        <v>805</v>
      </c>
      <c r="AY18" t="s">
        <v>809</v>
      </c>
      <c r="AZ18" t="s">
        <v>76</v>
      </c>
      <c r="BA18" t="s">
        <v>807</v>
      </c>
      <c r="BB18" t="s">
        <v>801</v>
      </c>
      <c r="BC18" t="s">
        <v>802</v>
      </c>
      <c r="BD18" s="3">
        <v>7.1304010850610347E-2</v>
      </c>
      <c r="BE18">
        <v>404.4</v>
      </c>
      <c r="BG18" s="2">
        <f>Z18*12</f>
        <v>61932</v>
      </c>
      <c r="BH18" t="str" cm="1">
        <f t="array" ref="BH18">_xlfn.IFS(Q18&lt;5,"0-5 Years",Q18&lt;10,"5-10 Years",Q18&lt;15,"10-15 Years",TRUE,"15+ Years")</f>
        <v>10-15 Years</v>
      </c>
      <c r="BI18" t="str" cm="1">
        <f t="array" ref="BI18">_xlfn.IFS(AA18&gt;=540,"A",AA18&gt;=480,"B",AA18&gt;=420,"C",AA18&gt;=360,"D",TRUE,"F")</f>
        <v>D</v>
      </c>
      <c r="BJ18" t="str" cm="1">
        <f t="array" ref="BJ18">_xlfn.IFS(AU18&lt;0,"Separated",AU18&lt;=90,"High Risk",AU18&lt;=180,"Medium Risk",TRUE,"Retained")</f>
        <v>Retained</v>
      </c>
      <c r="BK18" t="str" cm="1">
        <f t="array" ref="BK18">_xlfn.IFS(V18=0,"No Combat",V18=1,"1 Tour",V18=2,"2 Tours",TRUE,"3+ Tours")</f>
        <v>1 Tour</v>
      </c>
      <c r="BL18" t="str">
        <f t="shared" si="0"/>
        <v>Standard</v>
      </c>
      <c r="BM18" t="str">
        <f t="shared" si="1"/>
        <v>Not Ready</v>
      </c>
      <c r="BN18" s="3">
        <f t="shared" si="2"/>
        <v>7.1304010850610347E-2</v>
      </c>
      <c r="BO18">
        <f t="shared" si="3"/>
        <v>404.4</v>
      </c>
    </row>
    <row r="19" spans="1:67" x14ac:dyDescent="0.25">
      <c r="A19" t="s">
        <v>244</v>
      </c>
      <c r="B19" t="s">
        <v>245</v>
      </c>
      <c r="C19" t="s">
        <v>246</v>
      </c>
      <c r="D19" t="s">
        <v>122</v>
      </c>
      <c r="E19">
        <v>19</v>
      </c>
      <c r="F19" t="s">
        <v>80</v>
      </c>
      <c r="G19" t="s">
        <v>53</v>
      </c>
      <c r="H19" t="s">
        <v>54</v>
      </c>
      <c r="I19" t="s">
        <v>185</v>
      </c>
      <c r="J19" t="s">
        <v>186</v>
      </c>
      <c r="K19" t="s">
        <v>187</v>
      </c>
      <c r="L19" t="s">
        <v>58</v>
      </c>
      <c r="M19" t="s">
        <v>207</v>
      </c>
      <c r="N19" t="s">
        <v>162</v>
      </c>
      <c r="O19" t="s">
        <v>109</v>
      </c>
      <c r="P19" s="1">
        <v>38590</v>
      </c>
      <c r="Q19">
        <v>18.8</v>
      </c>
      <c r="R19" t="s">
        <v>129</v>
      </c>
      <c r="S19" t="s">
        <v>91</v>
      </c>
      <c r="T19" t="s">
        <v>92</v>
      </c>
      <c r="U19">
        <v>10</v>
      </c>
      <c r="V19">
        <v>1</v>
      </c>
      <c r="W19" s="2">
        <v>4739</v>
      </c>
      <c r="X19" s="2">
        <v>2169</v>
      </c>
      <c r="Y19" s="2">
        <v>422</v>
      </c>
      <c r="Z19" s="2">
        <v>7330</v>
      </c>
      <c r="AA19">
        <v>355</v>
      </c>
      <c r="AB19" t="s">
        <v>151</v>
      </c>
      <c r="AC19">
        <v>18.7</v>
      </c>
      <c r="AD19">
        <v>73</v>
      </c>
      <c r="AE19">
        <v>59</v>
      </c>
      <c r="AF19" t="s">
        <v>66</v>
      </c>
      <c r="AG19">
        <v>28</v>
      </c>
      <c r="AH19" t="s">
        <v>113</v>
      </c>
      <c r="AI19" t="s">
        <v>95</v>
      </c>
      <c r="AJ19" t="s">
        <v>69</v>
      </c>
      <c r="AK19" t="s">
        <v>70</v>
      </c>
      <c r="AL19" t="s">
        <v>70</v>
      </c>
      <c r="AM19" t="s">
        <v>70</v>
      </c>
      <c r="AN19" t="s">
        <v>72</v>
      </c>
      <c r="AO19" t="s">
        <v>116</v>
      </c>
      <c r="AP19" t="s">
        <v>135</v>
      </c>
      <c r="AQ19" t="s">
        <v>136</v>
      </c>
      <c r="AR19" s="1">
        <v>41030</v>
      </c>
      <c r="AS19" t="s">
        <v>75</v>
      </c>
      <c r="AT19" t="s">
        <v>71</v>
      </c>
      <c r="AU19">
        <v>882</v>
      </c>
      <c r="AV19" t="s">
        <v>76</v>
      </c>
      <c r="AW19" s="3">
        <v>87960</v>
      </c>
      <c r="AX19" t="s">
        <v>798</v>
      </c>
      <c r="AY19" t="s">
        <v>122</v>
      </c>
      <c r="AZ19" t="s">
        <v>76</v>
      </c>
      <c r="BA19" t="s">
        <v>807</v>
      </c>
      <c r="BB19" t="s">
        <v>801</v>
      </c>
      <c r="BC19" t="s">
        <v>802</v>
      </c>
      <c r="BD19" s="3">
        <v>4.8431105047748974E-2</v>
      </c>
      <c r="BE19">
        <v>411.4</v>
      </c>
      <c r="BG19" s="2">
        <f>Z19*12</f>
        <v>87960</v>
      </c>
      <c r="BH19" t="str" cm="1">
        <f t="array" ref="BH19">_xlfn.IFS(Q19&lt;5,"0-5 Years",Q19&lt;10,"5-10 Years",Q19&lt;15,"10-15 Years",TRUE,"15+ Years")</f>
        <v>15+ Years</v>
      </c>
      <c r="BI19" t="str" cm="1">
        <f t="array" ref="BI19">_xlfn.IFS(AA19&gt;=540,"A",AA19&gt;=480,"B",AA19&gt;=420,"C",AA19&gt;=360,"D",TRUE,"F")</f>
        <v>F</v>
      </c>
      <c r="BJ19" t="str" cm="1">
        <f t="array" ref="BJ19">_xlfn.IFS(AU19&lt;0,"Separated",AU19&lt;=90,"High Risk",AU19&lt;=180,"Medium Risk",TRUE,"Retained")</f>
        <v>Retained</v>
      </c>
      <c r="BK19" t="str" cm="1">
        <f t="array" ref="BK19">_xlfn.IFS(V19=0,"No Combat",V19=1,"1 Tour",V19=2,"2 Tours",TRUE,"3+ Tours")</f>
        <v>1 Tour</v>
      </c>
      <c r="BL19" t="str">
        <f t="shared" si="0"/>
        <v>Standard</v>
      </c>
      <c r="BM19" t="str">
        <f t="shared" si="1"/>
        <v>Not Ready</v>
      </c>
      <c r="BN19" s="3">
        <f t="shared" si="2"/>
        <v>4.8431105047748974E-2</v>
      </c>
      <c r="BO19">
        <f t="shared" si="3"/>
        <v>411.4</v>
      </c>
    </row>
    <row r="20" spans="1:67" x14ac:dyDescent="0.25">
      <c r="A20" t="s">
        <v>247</v>
      </c>
      <c r="B20" t="s">
        <v>166</v>
      </c>
      <c r="C20" t="s">
        <v>206</v>
      </c>
      <c r="D20" t="s">
        <v>122</v>
      </c>
      <c r="E20">
        <v>42</v>
      </c>
      <c r="F20" t="s">
        <v>248</v>
      </c>
      <c r="G20" t="s">
        <v>242</v>
      </c>
      <c r="H20" t="s">
        <v>54</v>
      </c>
      <c r="I20" t="s">
        <v>144</v>
      </c>
      <c r="J20" t="s">
        <v>145</v>
      </c>
      <c r="K20" t="s">
        <v>146</v>
      </c>
      <c r="L20" t="s">
        <v>174</v>
      </c>
      <c r="M20" t="s">
        <v>249</v>
      </c>
      <c r="N20" t="s">
        <v>60</v>
      </c>
      <c r="O20" t="s">
        <v>61</v>
      </c>
      <c r="P20" s="1">
        <v>38779</v>
      </c>
      <c r="Q20">
        <v>18.2</v>
      </c>
      <c r="R20" t="s">
        <v>75</v>
      </c>
      <c r="S20" t="s">
        <v>110</v>
      </c>
      <c r="T20" t="s">
        <v>111</v>
      </c>
      <c r="U20">
        <v>7</v>
      </c>
      <c r="V20">
        <v>1</v>
      </c>
      <c r="W20" s="2">
        <v>4739</v>
      </c>
      <c r="X20" s="2">
        <v>0</v>
      </c>
      <c r="Y20" s="2">
        <v>422</v>
      </c>
      <c r="Z20" s="2">
        <v>5161</v>
      </c>
      <c r="AA20">
        <v>305</v>
      </c>
      <c r="AB20" t="s">
        <v>151</v>
      </c>
      <c r="AC20">
        <v>19.100000000000001</v>
      </c>
      <c r="AD20">
        <v>61</v>
      </c>
      <c r="AE20">
        <v>32</v>
      </c>
      <c r="AF20" t="s">
        <v>93</v>
      </c>
      <c r="AG20">
        <v>22</v>
      </c>
      <c r="AH20" t="s">
        <v>113</v>
      </c>
      <c r="AI20" t="s">
        <v>114</v>
      </c>
      <c r="AJ20" t="s">
        <v>72</v>
      </c>
      <c r="AK20" t="s">
        <v>70</v>
      </c>
      <c r="AL20" t="s">
        <v>70</v>
      </c>
      <c r="AM20" t="s">
        <v>70</v>
      </c>
      <c r="AN20" t="s">
        <v>202</v>
      </c>
      <c r="AO20" t="s">
        <v>135</v>
      </c>
      <c r="AP20" t="s">
        <v>73</v>
      </c>
      <c r="AQ20" t="s">
        <v>98</v>
      </c>
      <c r="AR20" s="1">
        <v>41266</v>
      </c>
      <c r="AS20" t="s">
        <v>137</v>
      </c>
      <c r="AT20" t="s">
        <v>71</v>
      </c>
      <c r="AU20">
        <v>-58</v>
      </c>
      <c r="AV20" t="s">
        <v>179</v>
      </c>
      <c r="AW20" s="3">
        <v>61932</v>
      </c>
      <c r="AX20" t="s">
        <v>798</v>
      </c>
      <c r="AY20" t="s">
        <v>122</v>
      </c>
      <c r="AZ20" t="s">
        <v>810</v>
      </c>
      <c r="BA20" t="s">
        <v>807</v>
      </c>
      <c r="BB20" t="s">
        <v>801</v>
      </c>
      <c r="BC20" t="s">
        <v>802</v>
      </c>
      <c r="BD20" s="3">
        <v>5.9097074210424337E-2</v>
      </c>
      <c r="BE20">
        <v>349.4</v>
      </c>
      <c r="BG20" s="2">
        <f>Z20*12</f>
        <v>61932</v>
      </c>
      <c r="BH20" t="str" cm="1">
        <f t="array" ref="BH20">_xlfn.IFS(Q20&lt;5,"0-5 Years",Q20&lt;10,"5-10 Years",Q20&lt;15,"10-15 Years",TRUE,"15+ Years")</f>
        <v>15+ Years</v>
      </c>
      <c r="BI20" t="str" cm="1">
        <f t="array" ref="BI20">_xlfn.IFS(AA20&gt;=540,"A",AA20&gt;=480,"B",AA20&gt;=420,"C",AA20&gt;=360,"D",TRUE,"F")</f>
        <v>F</v>
      </c>
      <c r="BJ20" t="str" cm="1">
        <f t="array" ref="BJ20">_xlfn.IFS(AU20&lt;0,"Separated",AU20&lt;=90,"High Risk",AU20&lt;=180,"Medium Risk",TRUE,"Retained")</f>
        <v>Separated</v>
      </c>
      <c r="BK20" t="str" cm="1">
        <f t="array" ref="BK20">_xlfn.IFS(V20=0,"No Combat",V20=1,"1 Tour",V20=2,"2 Tours",TRUE,"3+ Tours")</f>
        <v>1 Tour</v>
      </c>
      <c r="BL20" t="str">
        <f t="shared" si="0"/>
        <v>Standard</v>
      </c>
      <c r="BM20" t="str">
        <f t="shared" si="1"/>
        <v>Not Ready</v>
      </c>
      <c r="BN20" s="3">
        <f t="shared" si="2"/>
        <v>5.9097074210424337E-2</v>
      </c>
      <c r="BO20">
        <f t="shared" si="3"/>
        <v>349.4</v>
      </c>
    </row>
    <row r="21" spans="1:67" x14ac:dyDescent="0.25">
      <c r="A21" t="s">
        <v>250</v>
      </c>
      <c r="B21" t="s">
        <v>251</v>
      </c>
      <c r="C21" t="s">
        <v>252</v>
      </c>
      <c r="D21" t="s">
        <v>51</v>
      </c>
      <c r="E21">
        <v>18</v>
      </c>
      <c r="F21" t="s">
        <v>52</v>
      </c>
      <c r="G21" t="s">
        <v>156</v>
      </c>
      <c r="H21" t="s">
        <v>157</v>
      </c>
      <c r="I21" t="s">
        <v>253</v>
      </c>
      <c r="J21" t="s">
        <v>254</v>
      </c>
      <c r="K21" t="s">
        <v>255</v>
      </c>
      <c r="L21" t="s">
        <v>106</v>
      </c>
      <c r="M21" t="s">
        <v>107</v>
      </c>
      <c r="N21" t="s">
        <v>60</v>
      </c>
      <c r="O21" t="s">
        <v>61</v>
      </c>
      <c r="P21" s="1">
        <v>44010</v>
      </c>
      <c r="Q21">
        <v>3.9</v>
      </c>
      <c r="R21" t="s">
        <v>129</v>
      </c>
      <c r="S21" t="s">
        <v>196</v>
      </c>
      <c r="T21" t="s">
        <v>197</v>
      </c>
      <c r="U21">
        <v>0</v>
      </c>
      <c r="V21">
        <v>0</v>
      </c>
      <c r="W21" s="2">
        <v>4836</v>
      </c>
      <c r="X21" s="2">
        <v>0</v>
      </c>
      <c r="Y21" s="2">
        <v>266</v>
      </c>
      <c r="Z21" s="2">
        <v>5102</v>
      </c>
      <c r="AA21">
        <v>597</v>
      </c>
      <c r="AB21" t="s">
        <v>65</v>
      </c>
      <c r="AC21">
        <v>13.4</v>
      </c>
      <c r="AD21">
        <v>69</v>
      </c>
      <c r="AE21">
        <v>49</v>
      </c>
      <c r="AF21" t="s">
        <v>66</v>
      </c>
      <c r="AG21">
        <v>34</v>
      </c>
      <c r="AH21" t="s">
        <v>67</v>
      </c>
      <c r="AI21" t="s">
        <v>95</v>
      </c>
      <c r="AJ21" t="s">
        <v>96</v>
      </c>
      <c r="AK21" t="s">
        <v>71</v>
      </c>
      <c r="AL21" t="s">
        <v>70</v>
      </c>
      <c r="AM21" t="s">
        <v>70</v>
      </c>
      <c r="AN21" t="s">
        <v>243</v>
      </c>
      <c r="AO21" t="s">
        <v>72</v>
      </c>
      <c r="AP21" t="s">
        <v>72</v>
      </c>
      <c r="AQ21" t="s">
        <v>74</v>
      </c>
      <c r="AR21" s="1">
        <v>45132</v>
      </c>
      <c r="AS21" t="s">
        <v>137</v>
      </c>
      <c r="AT21" t="s">
        <v>71</v>
      </c>
      <c r="AU21">
        <v>1383</v>
      </c>
      <c r="AV21" t="s">
        <v>76</v>
      </c>
      <c r="AW21" s="3">
        <v>61224</v>
      </c>
      <c r="AX21" t="s">
        <v>803</v>
      </c>
      <c r="AY21" t="s">
        <v>799</v>
      </c>
      <c r="AZ21" t="s">
        <v>76</v>
      </c>
      <c r="BA21" t="s">
        <v>800</v>
      </c>
      <c r="BB21" t="s">
        <v>801</v>
      </c>
      <c r="BC21" t="s">
        <v>802</v>
      </c>
      <c r="BD21" s="3">
        <v>0.11701293610348883</v>
      </c>
      <c r="BE21">
        <v>675.4</v>
      </c>
      <c r="BG21" s="2">
        <f>Z21*12</f>
        <v>61224</v>
      </c>
      <c r="BH21" t="str" cm="1">
        <f t="array" ref="BH21">_xlfn.IFS(Q21&lt;5,"0-5 Years",Q21&lt;10,"5-10 Years",Q21&lt;15,"10-15 Years",TRUE,"15+ Years")</f>
        <v>0-5 Years</v>
      </c>
      <c r="BI21" t="str" cm="1">
        <f t="array" ref="BI21">_xlfn.IFS(AA21&gt;=540,"A",AA21&gt;=480,"B",AA21&gt;=420,"C",AA21&gt;=360,"D",TRUE,"F")</f>
        <v>A</v>
      </c>
      <c r="BJ21" t="str" cm="1">
        <f t="array" ref="BJ21">_xlfn.IFS(AU21&lt;0,"Separated",AU21&lt;=90,"High Risk",AU21&lt;=180,"Medium Risk",TRUE,"Retained")</f>
        <v>Retained</v>
      </c>
      <c r="BK21" t="str" cm="1">
        <f t="array" ref="BK21">_xlfn.IFS(V21=0,"No Combat",V21=1,"1 Tour",V21=2,"2 Tours",TRUE,"3+ Tours")</f>
        <v>No Combat</v>
      </c>
      <c r="BL21" t="str">
        <f t="shared" si="0"/>
        <v>Standard</v>
      </c>
      <c r="BM21" t="str">
        <f t="shared" si="1"/>
        <v>Not Ready</v>
      </c>
      <c r="BN21" s="3">
        <f t="shared" si="2"/>
        <v>0.11701293610348883</v>
      </c>
      <c r="BO21">
        <f t="shared" si="3"/>
        <v>675.4</v>
      </c>
    </row>
    <row r="22" spans="1:67" x14ac:dyDescent="0.25">
      <c r="A22" t="s">
        <v>256</v>
      </c>
      <c r="B22" t="s">
        <v>181</v>
      </c>
      <c r="C22" t="s">
        <v>257</v>
      </c>
      <c r="D22" t="s">
        <v>51</v>
      </c>
      <c r="E22">
        <v>33</v>
      </c>
      <c r="F22" t="s">
        <v>211</v>
      </c>
      <c r="G22" t="s">
        <v>242</v>
      </c>
      <c r="H22" t="s">
        <v>54</v>
      </c>
      <c r="I22" t="s">
        <v>225</v>
      </c>
      <c r="J22" t="s">
        <v>226</v>
      </c>
      <c r="K22" t="s">
        <v>105</v>
      </c>
      <c r="L22" t="s">
        <v>201</v>
      </c>
      <c r="M22" t="s">
        <v>249</v>
      </c>
      <c r="N22" t="s">
        <v>162</v>
      </c>
      <c r="O22" t="s">
        <v>109</v>
      </c>
      <c r="P22" s="1">
        <v>44341</v>
      </c>
      <c r="Q22">
        <v>3</v>
      </c>
      <c r="R22" t="s">
        <v>195</v>
      </c>
      <c r="S22" t="s">
        <v>63</v>
      </c>
      <c r="T22" t="s">
        <v>64</v>
      </c>
      <c r="U22">
        <v>0</v>
      </c>
      <c r="V22">
        <v>0</v>
      </c>
      <c r="W22" s="2">
        <v>4739</v>
      </c>
      <c r="X22" s="2">
        <v>1349</v>
      </c>
      <c r="Y22" s="2">
        <v>422</v>
      </c>
      <c r="Z22" s="2">
        <v>6510</v>
      </c>
      <c r="AA22">
        <v>432</v>
      </c>
      <c r="AB22" t="s">
        <v>65</v>
      </c>
      <c r="AC22">
        <v>19.7</v>
      </c>
      <c r="AD22">
        <v>73</v>
      </c>
      <c r="AE22">
        <v>35</v>
      </c>
      <c r="AF22" t="s">
        <v>132</v>
      </c>
      <c r="AG22">
        <v>23</v>
      </c>
      <c r="AH22" t="s">
        <v>113</v>
      </c>
      <c r="AI22" t="s">
        <v>68</v>
      </c>
      <c r="AJ22" t="s">
        <v>72</v>
      </c>
      <c r="AK22" t="s">
        <v>70</v>
      </c>
      <c r="AL22" t="s">
        <v>70</v>
      </c>
      <c r="AM22" t="s">
        <v>70</v>
      </c>
      <c r="AN22" t="s">
        <v>72</v>
      </c>
      <c r="AO22" t="s">
        <v>72</v>
      </c>
      <c r="AP22" t="s">
        <v>72</v>
      </c>
      <c r="AQ22" t="s">
        <v>74</v>
      </c>
      <c r="AR22" s="1">
        <v>45417</v>
      </c>
      <c r="AS22" t="s">
        <v>75</v>
      </c>
      <c r="AT22" t="s">
        <v>71</v>
      </c>
      <c r="AU22">
        <v>631</v>
      </c>
      <c r="AV22" t="s">
        <v>76</v>
      </c>
      <c r="AW22" s="3">
        <v>78120</v>
      </c>
      <c r="AX22" t="s">
        <v>803</v>
      </c>
      <c r="AY22" t="s">
        <v>804</v>
      </c>
      <c r="AZ22" t="s">
        <v>76</v>
      </c>
      <c r="BA22" t="s">
        <v>800</v>
      </c>
      <c r="BB22" t="s">
        <v>801</v>
      </c>
      <c r="BC22" t="s">
        <v>802</v>
      </c>
      <c r="BD22" s="3">
        <v>6.6359447004608302E-2</v>
      </c>
      <c r="BE22">
        <v>478.4</v>
      </c>
      <c r="BG22" s="2">
        <f>Z22*12</f>
        <v>78120</v>
      </c>
      <c r="BH22" t="str" cm="1">
        <f t="array" ref="BH22">_xlfn.IFS(Q22&lt;5,"0-5 Years",Q22&lt;10,"5-10 Years",Q22&lt;15,"10-15 Years",TRUE,"15+ Years")</f>
        <v>0-5 Years</v>
      </c>
      <c r="BI22" t="str" cm="1">
        <f t="array" ref="BI22">_xlfn.IFS(AA22&gt;=540,"A",AA22&gt;=480,"B",AA22&gt;=420,"C",AA22&gt;=360,"D",TRUE,"F")</f>
        <v>C</v>
      </c>
      <c r="BJ22" t="str" cm="1">
        <f t="array" ref="BJ22">_xlfn.IFS(AU22&lt;0,"Separated",AU22&lt;=90,"High Risk",AU22&lt;=180,"Medium Risk",TRUE,"Retained")</f>
        <v>Retained</v>
      </c>
      <c r="BK22" t="str" cm="1">
        <f t="array" ref="BK22">_xlfn.IFS(V22=0,"No Combat",V22=1,"1 Tour",V22=2,"2 Tours",TRUE,"3+ Tours")</f>
        <v>No Combat</v>
      </c>
      <c r="BL22" t="str">
        <f t="shared" si="0"/>
        <v>Standard</v>
      </c>
      <c r="BM22" t="str">
        <f t="shared" si="1"/>
        <v>Not Ready</v>
      </c>
      <c r="BN22" s="3">
        <f t="shared" si="2"/>
        <v>6.6359447004608302E-2</v>
      </c>
      <c r="BO22">
        <f t="shared" si="3"/>
        <v>478.4</v>
      </c>
    </row>
    <row r="23" spans="1:67" x14ac:dyDescent="0.25">
      <c r="A23" t="s">
        <v>258</v>
      </c>
      <c r="B23" t="s">
        <v>259</v>
      </c>
      <c r="C23" t="s">
        <v>155</v>
      </c>
      <c r="D23" t="s">
        <v>51</v>
      </c>
      <c r="E23">
        <v>26</v>
      </c>
      <c r="F23" t="s">
        <v>224</v>
      </c>
      <c r="G23" t="s">
        <v>53</v>
      </c>
      <c r="H23" t="s">
        <v>54</v>
      </c>
      <c r="I23" t="s">
        <v>260</v>
      </c>
      <c r="J23" t="s">
        <v>261</v>
      </c>
      <c r="K23" t="s">
        <v>173</v>
      </c>
      <c r="L23" t="s">
        <v>126</v>
      </c>
      <c r="M23" t="s">
        <v>249</v>
      </c>
      <c r="N23" t="s">
        <v>148</v>
      </c>
      <c r="O23" t="s">
        <v>149</v>
      </c>
      <c r="P23" s="1">
        <v>44010</v>
      </c>
      <c r="Q23">
        <v>3.9</v>
      </c>
      <c r="R23" t="s">
        <v>75</v>
      </c>
      <c r="S23" t="s">
        <v>91</v>
      </c>
      <c r="T23" t="s">
        <v>92</v>
      </c>
      <c r="U23">
        <v>15</v>
      </c>
      <c r="V23">
        <v>2</v>
      </c>
      <c r="W23" s="2">
        <v>4739</v>
      </c>
      <c r="X23" s="2">
        <v>0</v>
      </c>
      <c r="Y23" s="2">
        <v>422</v>
      </c>
      <c r="Z23" s="2">
        <v>5161</v>
      </c>
      <c r="AA23">
        <v>414</v>
      </c>
      <c r="AB23" t="s">
        <v>65</v>
      </c>
      <c r="AC23">
        <v>13.3</v>
      </c>
      <c r="AD23">
        <v>34</v>
      </c>
      <c r="AE23">
        <v>55</v>
      </c>
      <c r="AF23" t="s">
        <v>112</v>
      </c>
      <c r="AG23">
        <v>37</v>
      </c>
      <c r="AH23" t="s">
        <v>94</v>
      </c>
      <c r="AI23" t="s">
        <v>68</v>
      </c>
      <c r="AJ23" t="s">
        <v>96</v>
      </c>
      <c r="AK23" t="s">
        <v>70</v>
      </c>
      <c r="AL23" t="s">
        <v>70</v>
      </c>
      <c r="AM23" t="s">
        <v>70</v>
      </c>
      <c r="AN23" t="s">
        <v>72</v>
      </c>
      <c r="AO23" t="s">
        <v>116</v>
      </c>
      <c r="AP23" t="s">
        <v>72</v>
      </c>
      <c r="AQ23" t="s">
        <v>117</v>
      </c>
      <c r="AR23" s="1">
        <v>44225</v>
      </c>
      <c r="AS23" t="s">
        <v>118</v>
      </c>
      <c r="AT23" t="s">
        <v>71</v>
      </c>
      <c r="AU23">
        <v>792</v>
      </c>
      <c r="AV23" t="s">
        <v>76</v>
      </c>
      <c r="AW23" s="3">
        <v>61932</v>
      </c>
      <c r="AX23" t="s">
        <v>803</v>
      </c>
      <c r="AY23" t="s">
        <v>809</v>
      </c>
      <c r="AZ23" t="s">
        <v>76</v>
      </c>
      <c r="BA23" t="s">
        <v>811</v>
      </c>
      <c r="BB23" t="s">
        <v>801</v>
      </c>
      <c r="BC23" t="s">
        <v>802</v>
      </c>
      <c r="BD23" s="3">
        <v>8.0217012206936639E-2</v>
      </c>
      <c r="BE23">
        <v>488.4</v>
      </c>
      <c r="BG23" s="2">
        <f>Z23*12</f>
        <v>61932</v>
      </c>
      <c r="BH23" t="str" cm="1">
        <f t="array" ref="BH23">_xlfn.IFS(Q23&lt;5,"0-5 Years",Q23&lt;10,"5-10 Years",Q23&lt;15,"10-15 Years",TRUE,"15+ Years")</f>
        <v>0-5 Years</v>
      </c>
      <c r="BI23" t="str" cm="1">
        <f t="array" ref="BI23">_xlfn.IFS(AA23&gt;=540,"A",AA23&gt;=480,"B",AA23&gt;=420,"C",AA23&gt;=360,"D",TRUE,"F")</f>
        <v>D</v>
      </c>
      <c r="BJ23" t="str" cm="1">
        <f t="array" ref="BJ23">_xlfn.IFS(AU23&lt;0,"Separated",AU23&lt;=90,"High Risk",AU23&lt;=180,"Medium Risk",TRUE,"Retained")</f>
        <v>Retained</v>
      </c>
      <c r="BK23" t="str" cm="1">
        <f t="array" ref="BK23">_xlfn.IFS(V23=0,"No Combat",V23=1,"1 Tour",V23=2,"2 Tours",TRUE,"3+ Tours")</f>
        <v>2 Tours</v>
      </c>
      <c r="BL23" t="str">
        <f t="shared" si="0"/>
        <v>Standard</v>
      </c>
      <c r="BM23" t="str">
        <f t="shared" si="1"/>
        <v>Not Ready</v>
      </c>
      <c r="BN23" s="3">
        <f t="shared" si="2"/>
        <v>8.0217012206936639E-2</v>
      </c>
      <c r="BO23">
        <f t="shared" si="3"/>
        <v>488.4</v>
      </c>
    </row>
    <row r="24" spans="1:67" x14ac:dyDescent="0.25">
      <c r="A24" t="s">
        <v>262</v>
      </c>
      <c r="B24" t="s">
        <v>263</v>
      </c>
      <c r="C24" t="s">
        <v>264</v>
      </c>
      <c r="D24" t="s">
        <v>51</v>
      </c>
      <c r="E24">
        <v>40</v>
      </c>
      <c r="F24" t="s">
        <v>192</v>
      </c>
      <c r="G24" t="s">
        <v>169</v>
      </c>
      <c r="H24" t="s">
        <v>170</v>
      </c>
      <c r="I24" t="s">
        <v>260</v>
      </c>
      <c r="J24" t="s">
        <v>261</v>
      </c>
      <c r="K24" t="s">
        <v>173</v>
      </c>
      <c r="L24" t="s">
        <v>126</v>
      </c>
      <c r="M24" t="s">
        <v>207</v>
      </c>
      <c r="N24" t="s">
        <v>265</v>
      </c>
      <c r="O24" t="s">
        <v>61</v>
      </c>
      <c r="P24" s="1">
        <v>44580</v>
      </c>
      <c r="Q24">
        <v>2.4</v>
      </c>
      <c r="R24" t="s">
        <v>195</v>
      </c>
      <c r="S24" t="s">
        <v>63</v>
      </c>
      <c r="T24" t="s">
        <v>64</v>
      </c>
      <c r="U24">
        <v>0</v>
      </c>
      <c r="V24">
        <v>0</v>
      </c>
      <c r="W24" s="2">
        <v>3294</v>
      </c>
      <c r="X24" s="2">
        <v>2022</v>
      </c>
      <c r="Y24" s="2">
        <v>422</v>
      </c>
      <c r="Z24" s="2">
        <v>5738</v>
      </c>
      <c r="AA24">
        <v>441</v>
      </c>
      <c r="AB24" t="s">
        <v>65</v>
      </c>
      <c r="AC24">
        <v>20.8</v>
      </c>
      <c r="AD24">
        <v>73</v>
      </c>
      <c r="AE24">
        <v>42</v>
      </c>
      <c r="AF24" t="s">
        <v>93</v>
      </c>
      <c r="AG24">
        <v>27</v>
      </c>
      <c r="AH24" t="s">
        <v>113</v>
      </c>
      <c r="AI24" t="s">
        <v>95</v>
      </c>
      <c r="AJ24" t="s">
        <v>72</v>
      </c>
      <c r="AK24" t="s">
        <v>71</v>
      </c>
      <c r="AL24" t="s">
        <v>70</v>
      </c>
      <c r="AM24" t="s">
        <v>70</v>
      </c>
      <c r="AN24" t="s">
        <v>115</v>
      </c>
      <c r="AO24" t="s">
        <v>178</v>
      </c>
      <c r="AP24" t="s">
        <v>72</v>
      </c>
      <c r="AQ24" t="s">
        <v>98</v>
      </c>
      <c r="AR24" s="1">
        <v>45144</v>
      </c>
      <c r="AS24" t="s">
        <v>137</v>
      </c>
      <c r="AT24" t="s">
        <v>71</v>
      </c>
      <c r="AU24">
        <v>1422</v>
      </c>
      <c r="AV24" t="s">
        <v>76</v>
      </c>
      <c r="AW24" s="3">
        <v>68856</v>
      </c>
      <c r="AX24" t="s">
        <v>803</v>
      </c>
      <c r="AY24" t="s">
        <v>804</v>
      </c>
      <c r="AZ24" t="s">
        <v>76</v>
      </c>
      <c r="BA24" t="s">
        <v>800</v>
      </c>
      <c r="BB24" t="s">
        <v>801</v>
      </c>
      <c r="BC24" t="s">
        <v>802</v>
      </c>
      <c r="BD24" s="3">
        <v>7.6856047403276409E-2</v>
      </c>
      <c r="BE24">
        <v>505.4</v>
      </c>
      <c r="BG24" s="2">
        <f>Z24*12</f>
        <v>68856</v>
      </c>
      <c r="BH24" t="str" cm="1">
        <f t="array" ref="BH24">_xlfn.IFS(Q24&lt;5,"0-5 Years",Q24&lt;10,"5-10 Years",Q24&lt;15,"10-15 Years",TRUE,"15+ Years")</f>
        <v>0-5 Years</v>
      </c>
      <c r="BI24" t="str" cm="1">
        <f t="array" ref="BI24">_xlfn.IFS(AA24&gt;=540,"A",AA24&gt;=480,"B",AA24&gt;=420,"C",AA24&gt;=360,"D",TRUE,"F")</f>
        <v>C</v>
      </c>
      <c r="BJ24" t="str" cm="1">
        <f t="array" ref="BJ24">_xlfn.IFS(AU24&lt;0,"Separated",AU24&lt;=90,"High Risk",AU24&lt;=180,"Medium Risk",TRUE,"Retained")</f>
        <v>Retained</v>
      </c>
      <c r="BK24" t="str" cm="1">
        <f t="array" ref="BK24">_xlfn.IFS(V24=0,"No Combat",V24=1,"1 Tour",V24=2,"2 Tours",TRUE,"3+ Tours")</f>
        <v>No Combat</v>
      </c>
      <c r="BL24" t="str">
        <f t="shared" si="0"/>
        <v>Standard</v>
      </c>
      <c r="BM24" t="str">
        <f t="shared" si="1"/>
        <v>Not Ready</v>
      </c>
      <c r="BN24" s="3">
        <f t="shared" si="2"/>
        <v>7.6856047403276409E-2</v>
      </c>
      <c r="BO24">
        <f t="shared" si="3"/>
        <v>505.4</v>
      </c>
    </row>
    <row r="25" spans="1:67" x14ac:dyDescent="0.25">
      <c r="A25" t="s">
        <v>266</v>
      </c>
      <c r="B25" t="s">
        <v>267</v>
      </c>
      <c r="C25" t="s">
        <v>230</v>
      </c>
      <c r="D25" t="s">
        <v>122</v>
      </c>
      <c r="E25">
        <v>45</v>
      </c>
      <c r="F25" t="s">
        <v>241</v>
      </c>
      <c r="G25" t="s">
        <v>101</v>
      </c>
      <c r="H25" t="s">
        <v>102</v>
      </c>
      <c r="I25" t="s">
        <v>268</v>
      </c>
      <c r="J25" t="s">
        <v>269</v>
      </c>
      <c r="K25" t="s">
        <v>173</v>
      </c>
      <c r="L25" t="s">
        <v>86</v>
      </c>
      <c r="M25" t="s">
        <v>249</v>
      </c>
      <c r="N25" t="s">
        <v>60</v>
      </c>
      <c r="O25" t="s">
        <v>89</v>
      </c>
      <c r="P25" s="1">
        <v>41635</v>
      </c>
      <c r="Q25">
        <v>10.4</v>
      </c>
      <c r="R25" t="s">
        <v>90</v>
      </c>
      <c r="S25" t="s">
        <v>91</v>
      </c>
      <c r="T25" t="s">
        <v>92</v>
      </c>
      <c r="U25">
        <v>2</v>
      </c>
      <c r="V25">
        <v>0</v>
      </c>
      <c r="W25" s="2">
        <v>2980</v>
      </c>
      <c r="X25" s="2">
        <v>0</v>
      </c>
      <c r="Y25" s="2">
        <v>422</v>
      </c>
      <c r="Z25" s="2">
        <v>3402</v>
      </c>
      <c r="AA25">
        <v>445</v>
      </c>
      <c r="AB25" t="s">
        <v>65</v>
      </c>
      <c r="AC25">
        <v>13.8</v>
      </c>
      <c r="AD25">
        <v>71</v>
      </c>
      <c r="AE25">
        <v>66</v>
      </c>
      <c r="AF25" t="s">
        <v>66</v>
      </c>
      <c r="AG25">
        <v>23</v>
      </c>
      <c r="AH25" t="s">
        <v>113</v>
      </c>
      <c r="AI25" t="s">
        <v>95</v>
      </c>
      <c r="AJ25" t="s">
        <v>69</v>
      </c>
      <c r="AK25" t="s">
        <v>70</v>
      </c>
      <c r="AL25" t="s">
        <v>70</v>
      </c>
      <c r="AM25" t="s">
        <v>70</v>
      </c>
      <c r="AN25" t="s">
        <v>270</v>
      </c>
      <c r="AO25" t="s">
        <v>97</v>
      </c>
      <c r="AP25" t="s">
        <v>227</v>
      </c>
      <c r="AQ25" t="s">
        <v>98</v>
      </c>
      <c r="AR25" s="1">
        <v>42087</v>
      </c>
      <c r="AS25" t="s">
        <v>75</v>
      </c>
      <c r="AT25" t="s">
        <v>71</v>
      </c>
      <c r="AU25">
        <v>351</v>
      </c>
      <c r="AV25" t="s">
        <v>76</v>
      </c>
      <c r="AW25" s="3">
        <v>40824</v>
      </c>
      <c r="AX25" t="s">
        <v>805</v>
      </c>
      <c r="AY25" t="s">
        <v>804</v>
      </c>
      <c r="AZ25" t="s">
        <v>76</v>
      </c>
      <c r="BA25" t="s">
        <v>800</v>
      </c>
      <c r="BB25" t="s">
        <v>801</v>
      </c>
      <c r="BC25" t="s">
        <v>802</v>
      </c>
      <c r="BD25" s="3">
        <v>0.13080540858318637</v>
      </c>
      <c r="BE25">
        <v>491.4</v>
      </c>
      <c r="BG25" s="2">
        <f>Z25*12</f>
        <v>40824</v>
      </c>
      <c r="BH25" t="str" cm="1">
        <f t="array" ref="BH25">_xlfn.IFS(Q25&lt;5,"0-5 Years",Q25&lt;10,"5-10 Years",Q25&lt;15,"10-15 Years",TRUE,"15+ Years")</f>
        <v>10-15 Years</v>
      </c>
      <c r="BI25" t="str" cm="1">
        <f t="array" ref="BI25">_xlfn.IFS(AA25&gt;=540,"A",AA25&gt;=480,"B",AA25&gt;=420,"C",AA25&gt;=360,"D",TRUE,"F")</f>
        <v>C</v>
      </c>
      <c r="BJ25" t="str" cm="1">
        <f t="array" ref="BJ25">_xlfn.IFS(AU25&lt;0,"Separated",AU25&lt;=90,"High Risk",AU25&lt;=180,"Medium Risk",TRUE,"Retained")</f>
        <v>Retained</v>
      </c>
      <c r="BK25" t="str" cm="1">
        <f t="array" ref="BK25">_xlfn.IFS(V25=0,"No Combat",V25=1,"1 Tour",V25=2,"2 Tours",TRUE,"3+ Tours")</f>
        <v>No Combat</v>
      </c>
      <c r="BL25" t="str">
        <f t="shared" si="0"/>
        <v>Standard</v>
      </c>
      <c r="BM25" t="str">
        <f t="shared" si="1"/>
        <v>Not Ready</v>
      </c>
      <c r="BN25" s="3">
        <f t="shared" si="2"/>
        <v>0.13080540858318637</v>
      </c>
      <c r="BO25">
        <f t="shared" si="3"/>
        <v>491.4</v>
      </c>
    </row>
    <row r="26" spans="1:67" x14ac:dyDescent="0.25">
      <c r="A26" t="s">
        <v>271</v>
      </c>
      <c r="B26" t="s">
        <v>210</v>
      </c>
      <c r="C26" t="s">
        <v>272</v>
      </c>
      <c r="D26" t="s">
        <v>51</v>
      </c>
      <c r="E26">
        <v>25</v>
      </c>
      <c r="F26" t="s">
        <v>192</v>
      </c>
      <c r="G26" t="s">
        <v>193</v>
      </c>
      <c r="H26" t="s">
        <v>194</v>
      </c>
      <c r="I26" t="s">
        <v>273</v>
      </c>
      <c r="J26" t="s">
        <v>274</v>
      </c>
      <c r="K26" t="s">
        <v>57</v>
      </c>
      <c r="L26" t="s">
        <v>58</v>
      </c>
      <c r="M26" t="s">
        <v>275</v>
      </c>
      <c r="N26" t="s">
        <v>148</v>
      </c>
      <c r="O26" t="s">
        <v>89</v>
      </c>
      <c r="P26" s="1">
        <v>39635</v>
      </c>
      <c r="Q26">
        <v>15.9</v>
      </c>
      <c r="R26" t="s">
        <v>90</v>
      </c>
      <c r="S26" t="s">
        <v>163</v>
      </c>
      <c r="T26" t="s">
        <v>164</v>
      </c>
      <c r="U26">
        <v>13</v>
      </c>
      <c r="V26">
        <v>2</v>
      </c>
      <c r="W26" s="2">
        <v>2259</v>
      </c>
      <c r="X26" s="2">
        <v>1722</v>
      </c>
      <c r="Y26" s="2">
        <v>422</v>
      </c>
      <c r="Z26" s="2">
        <v>4403</v>
      </c>
      <c r="AA26">
        <v>434</v>
      </c>
      <c r="AB26" t="s">
        <v>65</v>
      </c>
      <c r="AC26">
        <v>15</v>
      </c>
      <c r="AD26">
        <v>34</v>
      </c>
      <c r="AE26">
        <v>48</v>
      </c>
      <c r="AF26" t="s">
        <v>132</v>
      </c>
      <c r="AG26">
        <v>18</v>
      </c>
      <c r="AH26" t="s">
        <v>113</v>
      </c>
      <c r="AI26" t="s">
        <v>68</v>
      </c>
      <c r="AJ26" t="s">
        <v>188</v>
      </c>
      <c r="AK26" t="s">
        <v>70</v>
      </c>
      <c r="AL26" t="s">
        <v>71</v>
      </c>
      <c r="AM26" t="s">
        <v>70</v>
      </c>
      <c r="AN26" t="s">
        <v>72</v>
      </c>
      <c r="AO26" t="s">
        <v>72</v>
      </c>
      <c r="AP26" t="s">
        <v>72</v>
      </c>
      <c r="AQ26" t="s">
        <v>117</v>
      </c>
      <c r="AR26" s="1">
        <v>40807</v>
      </c>
      <c r="AS26" t="s">
        <v>118</v>
      </c>
      <c r="AT26" t="s">
        <v>71</v>
      </c>
      <c r="AU26">
        <v>759</v>
      </c>
      <c r="AV26" t="s">
        <v>76</v>
      </c>
      <c r="AW26" s="3">
        <v>52836</v>
      </c>
      <c r="AX26" t="s">
        <v>798</v>
      </c>
      <c r="AY26" t="s">
        <v>804</v>
      </c>
      <c r="AZ26" t="s">
        <v>76</v>
      </c>
      <c r="BA26" t="s">
        <v>811</v>
      </c>
      <c r="BB26" t="s">
        <v>801</v>
      </c>
      <c r="BC26" t="s">
        <v>802</v>
      </c>
      <c r="BD26" s="3">
        <v>9.8569157392686804E-2</v>
      </c>
      <c r="BE26">
        <v>480.4</v>
      </c>
      <c r="BG26" s="2">
        <f>Z26*12</f>
        <v>52836</v>
      </c>
      <c r="BH26" t="str" cm="1">
        <f t="array" ref="BH26">_xlfn.IFS(Q26&lt;5,"0-5 Years",Q26&lt;10,"5-10 Years",Q26&lt;15,"10-15 Years",TRUE,"15+ Years")</f>
        <v>15+ Years</v>
      </c>
      <c r="BI26" t="str" cm="1">
        <f t="array" ref="BI26">_xlfn.IFS(AA26&gt;=540,"A",AA26&gt;=480,"B",AA26&gt;=420,"C",AA26&gt;=360,"D",TRUE,"F")</f>
        <v>C</v>
      </c>
      <c r="BJ26" t="str" cm="1">
        <f t="array" ref="BJ26">_xlfn.IFS(AU26&lt;0,"Separated",AU26&lt;=90,"High Risk",AU26&lt;=180,"Medium Risk",TRUE,"Retained")</f>
        <v>Retained</v>
      </c>
      <c r="BK26" t="str" cm="1">
        <f t="array" ref="BK26">_xlfn.IFS(V26=0,"No Combat",V26=1,"1 Tour",V26=2,"2 Tours",TRUE,"3+ Tours")</f>
        <v>2 Tours</v>
      </c>
      <c r="BL26" t="str">
        <f t="shared" si="0"/>
        <v>Standard</v>
      </c>
      <c r="BM26" t="str">
        <f t="shared" si="1"/>
        <v>Not Ready</v>
      </c>
      <c r="BN26" s="3">
        <f t="shared" si="2"/>
        <v>9.8569157392686804E-2</v>
      </c>
      <c r="BO26">
        <f t="shared" si="3"/>
        <v>480.4</v>
      </c>
    </row>
    <row r="27" spans="1:67" x14ac:dyDescent="0.25">
      <c r="A27" t="s">
        <v>276</v>
      </c>
      <c r="B27" t="s">
        <v>277</v>
      </c>
      <c r="C27" t="s">
        <v>200</v>
      </c>
      <c r="D27" t="s">
        <v>51</v>
      </c>
      <c r="E27">
        <v>34</v>
      </c>
      <c r="F27" t="s">
        <v>278</v>
      </c>
      <c r="G27" t="s">
        <v>279</v>
      </c>
      <c r="H27" t="s">
        <v>280</v>
      </c>
      <c r="I27" t="s">
        <v>260</v>
      </c>
      <c r="J27" t="s">
        <v>261</v>
      </c>
      <c r="K27" t="s">
        <v>173</v>
      </c>
      <c r="L27" t="s">
        <v>86</v>
      </c>
      <c r="M27" t="s">
        <v>59</v>
      </c>
      <c r="N27" t="s">
        <v>162</v>
      </c>
      <c r="O27" t="s">
        <v>176</v>
      </c>
      <c r="P27" s="1">
        <v>42452</v>
      </c>
      <c r="Q27">
        <v>8.1999999999999993</v>
      </c>
      <c r="R27" t="s">
        <v>90</v>
      </c>
      <c r="S27" t="s">
        <v>63</v>
      </c>
      <c r="T27" t="s">
        <v>64</v>
      </c>
      <c r="U27">
        <v>0</v>
      </c>
      <c r="V27">
        <v>0</v>
      </c>
      <c r="W27" s="2">
        <v>6618</v>
      </c>
      <c r="X27" s="2">
        <v>1811</v>
      </c>
      <c r="Y27" s="2">
        <v>266</v>
      </c>
      <c r="Z27" s="2">
        <v>8695</v>
      </c>
      <c r="AA27">
        <v>455</v>
      </c>
      <c r="AB27" t="s">
        <v>65</v>
      </c>
      <c r="AC27">
        <v>13.2</v>
      </c>
      <c r="AD27">
        <v>22</v>
      </c>
      <c r="AE27">
        <v>57</v>
      </c>
      <c r="AF27" t="s">
        <v>112</v>
      </c>
      <c r="AG27">
        <v>16</v>
      </c>
      <c r="AH27" t="s">
        <v>113</v>
      </c>
      <c r="AI27" t="s">
        <v>68</v>
      </c>
      <c r="AJ27" t="s">
        <v>96</v>
      </c>
      <c r="AK27" t="s">
        <v>71</v>
      </c>
      <c r="AL27" t="s">
        <v>71</v>
      </c>
      <c r="AM27" t="s">
        <v>70</v>
      </c>
      <c r="AN27" t="s">
        <v>231</v>
      </c>
      <c r="AO27" t="s">
        <v>97</v>
      </c>
      <c r="AP27" t="s">
        <v>72</v>
      </c>
      <c r="AQ27" t="s">
        <v>136</v>
      </c>
      <c r="AR27" s="1">
        <v>44970</v>
      </c>
      <c r="AS27" t="s">
        <v>118</v>
      </c>
      <c r="AT27" t="s">
        <v>71</v>
      </c>
      <c r="AU27">
        <v>1514</v>
      </c>
      <c r="AV27" t="s">
        <v>76</v>
      </c>
      <c r="AW27" s="3">
        <v>104340</v>
      </c>
      <c r="AX27" t="s">
        <v>808</v>
      </c>
      <c r="AY27" t="s">
        <v>804</v>
      </c>
      <c r="AZ27" t="s">
        <v>76</v>
      </c>
      <c r="BA27" t="s">
        <v>800</v>
      </c>
      <c r="BB27" t="s">
        <v>801</v>
      </c>
      <c r="BC27" t="s">
        <v>802</v>
      </c>
      <c r="BD27" s="3">
        <v>5.2328924669350199E-2</v>
      </c>
      <c r="BE27">
        <v>507.4</v>
      </c>
      <c r="BG27" s="2">
        <f>Z27*12</f>
        <v>104340</v>
      </c>
      <c r="BH27" t="str" cm="1">
        <f t="array" ref="BH27">_xlfn.IFS(Q27&lt;5,"0-5 Years",Q27&lt;10,"5-10 Years",Q27&lt;15,"10-15 Years",TRUE,"15+ Years")</f>
        <v>5-10 Years</v>
      </c>
      <c r="BI27" t="str" cm="1">
        <f t="array" ref="BI27">_xlfn.IFS(AA27&gt;=540,"A",AA27&gt;=480,"B",AA27&gt;=420,"C",AA27&gt;=360,"D",TRUE,"F")</f>
        <v>C</v>
      </c>
      <c r="BJ27" t="str" cm="1">
        <f t="array" ref="BJ27">_xlfn.IFS(AU27&lt;0,"Separated",AU27&lt;=90,"High Risk",AU27&lt;=180,"Medium Risk",TRUE,"Retained")</f>
        <v>Retained</v>
      </c>
      <c r="BK27" t="str" cm="1">
        <f t="array" ref="BK27">_xlfn.IFS(V27=0,"No Combat",V27=1,"1 Tour",V27=2,"2 Tours",TRUE,"3+ Tours")</f>
        <v>No Combat</v>
      </c>
      <c r="BL27" t="str">
        <f t="shared" si="0"/>
        <v>Standard</v>
      </c>
      <c r="BM27" t="str">
        <f t="shared" si="1"/>
        <v>Not Ready</v>
      </c>
      <c r="BN27" s="3">
        <f t="shared" si="2"/>
        <v>5.2328924669350199E-2</v>
      </c>
      <c r="BO27">
        <f t="shared" si="3"/>
        <v>507.4</v>
      </c>
    </row>
    <row r="28" spans="1:67" x14ac:dyDescent="0.25">
      <c r="A28" t="s">
        <v>281</v>
      </c>
      <c r="B28" t="s">
        <v>282</v>
      </c>
      <c r="C28" t="s">
        <v>167</v>
      </c>
      <c r="D28" t="s">
        <v>51</v>
      </c>
      <c r="E28">
        <v>24</v>
      </c>
      <c r="F28" t="s">
        <v>283</v>
      </c>
      <c r="G28" t="s">
        <v>183</v>
      </c>
      <c r="H28" t="s">
        <v>184</v>
      </c>
      <c r="I28" t="s">
        <v>83</v>
      </c>
      <c r="J28" t="s">
        <v>84</v>
      </c>
      <c r="K28" t="s">
        <v>85</v>
      </c>
      <c r="L28" t="s">
        <v>86</v>
      </c>
      <c r="M28" t="s">
        <v>175</v>
      </c>
      <c r="N28" t="s">
        <v>60</v>
      </c>
      <c r="O28" t="s">
        <v>149</v>
      </c>
      <c r="P28" s="1">
        <v>41054</v>
      </c>
      <c r="Q28">
        <v>12</v>
      </c>
      <c r="R28" t="s">
        <v>90</v>
      </c>
      <c r="S28" t="s">
        <v>91</v>
      </c>
      <c r="T28" t="s">
        <v>92</v>
      </c>
      <c r="U28">
        <v>15</v>
      </c>
      <c r="V28">
        <v>2</v>
      </c>
      <c r="W28" s="2">
        <v>5696</v>
      </c>
      <c r="X28" s="2">
        <v>1390</v>
      </c>
      <c r="Y28" s="2">
        <v>266</v>
      </c>
      <c r="Z28" s="2">
        <v>7352</v>
      </c>
      <c r="AA28">
        <v>522</v>
      </c>
      <c r="AB28" t="s">
        <v>65</v>
      </c>
      <c r="AC28">
        <v>19.399999999999999</v>
      </c>
      <c r="AD28">
        <v>55</v>
      </c>
      <c r="AE28">
        <v>32</v>
      </c>
      <c r="AF28" t="s">
        <v>66</v>
      </c>
      <c r="AG28">
        <v>26</v>
      </c>
      <c r="AH28" t="s">
        <v>113</v>
      </c>
      <c r="AI28" t="s">
        <v>68</v>
      </c>
      <c r="AJ28" t="s">
        <v>72</v>
      </c>
      <c r="AK28" t="s">
        <v>70</v>
      </c>
      <c r="AL28" t="s">
        <v>70</v>
      </c>
      <c r="AM28" t="s">
        <v>71</v>
      </c>
      <c r="AN28" t="s">
        <v>270</v>
      </c>
      <c r="AO28" t="s">
        <v>134</v>
      </c>
      <c r="AP28" t="s">
        <v>72</v>
      </c>
      <c r="AQ28" t="s">
        <v>74</v>
      </c>
      <c r="AR28" s="1">
        <v>42576</v>
      </c>
      <c r="AS28" t="s">
        <v>198</v>
      </c>
      <c r="AT28" t="s">
        <v>71</v>
      </c>
      <c r="AU28">
        <v>593</v>
      </c>
      <c r="AV28" t="s">
        <v>76</v>
      </c>
      <c r="AW28" s="3">
        <v>88224</v>
      </c>
      <c r="AX28" t="s">
        <v>805</v>
      </c>
      <c r="AY28" t="s">
        <v>806</v>
      </c>
      <c r="AZ28" t="s">
        <v>76</v>
      </c>
      <c r="BA28" t="s">
        <v>811</v>
      </c>
      <c r="BB28" t="s">
        <v>801</v>
      </c>
      <c r="BC28" t="s">
        <v>802</v>
      </c>
      <c r="BD28" s="3">
        <v>7.1001088139281826E-2</v>
      </c>
      <c r="BE28">
        <v>594.4</v>
      </c>
      <c r="BG28" s="2">
        <f>Z28*12</f>
        <v>88224</v>
      </c>
      <c r="BH28" t="str" cm="1">
        <f t="array" ref="BH28">_xlfn.IFS(Q28&lt;5,"0-5 Years",Q28&lt;10,"5-10 Years",Q28&lt;15,"10-15 Years",TRUE,"15+ Years")</f>
        <v>10-15 Years</v>
      </c>
      <c r="BI28" t="str" cm="1">
        <f t="array" ref="BI28">_xlfn.IFS(AA28&gt;=540,"A",AA28&gt;=480,"B",AA28&gt;=420,"C",AA28&gt;=360,"D",TRUE,"F")</f>
        <v>B</v>
      </c>
      <c r="BJ28" t="str" cm="1">
        <f t="array" ref="BJ28">_xlfn.IFS(AU28&lt;0,"Separated",AU28&lt;=90,"High Risk",AU28&lt;=180,"Medium Risk",TRUE,"Retained")</f>
        <v>Retained</v>
      </c>
      <c r="BK28" t="str" cm="1">
        <f t="array" ref="BK28">_xlfn.IFS(V28=0,"No Combat",V28=1,"1 Tour",V28=2,"2 Tours",TRUE,"3+ Tours")</f>
        <v>2 Tours</v>
      </c>
      <c r="BL28" t="str">
        <f t="shared" si="0"/>
        <v>Standard</v>
      </c>
      <c r="BM28" t="str">
        <f t="shared" si="1"/>
        <v>Not Ready</v>
      </c>
      <c r="BN28" s="3">
        <f t="shared" si="2"/>
        <v>7.1001088139281826E-2</v>
      </c>
      <c r="BO28">
        <f t="shared" si="3"/>
        <v>594.4</v>
      </c>
    </row>
    <row r="29" spans="1:67" x14ac:dyDescent="0.25">
      <c r="A29" t="s">
        <v>284</v>
      </c>
      <c r="B29" t="s">
        <v>229</v>
      </c>
      <c r="C29" t="s">
        <v>252</v>
      </c>
      <c r="D29" t="s">
        <v>51</v>
      </c>
      <c r="E29">
        <v>25</v>
      </c>
      <c r="F29" t="s">
        <v>278</v>
      </c>
      <c r="G29" t="s">
        <v>285</v>
      </c>
      <c r="H29" t="s">
        <v>286</v>
      </c>
      <c r="I29" t="s">
        <v>171</v>
      </c>
      <c r="J29" t="s">
        <v>172</v>
      </c>
      <c r="K29" t="s">
        <v>173</v>
      </c>
      <c r="L29" t="s">
        <v>174</v>
      </c>
      <c r="M29" t="s">
        <v>175</v>
      </c>
      <c r="N29" t="s">
        <v>148</v>
      </c>
      <c r="O29" t="s">
        <v>149</v>
      </c>
      <c r="P29" s="1">
        <v>44167</v>
      </c>
      <c r="Q29">
        <v>3.5</v>
      </c>
      <c r="R29" t="s">
        <v>208</v>
      </c>
      <c r="S29" t="s">
        <v>130</v>
      </c>
      <c r="T29" t="s">
        <v>131</v>
      </c>
      <c r="U29">
        <v>9</v>
      </c>
      <c r="V29">
        <v>1</v>
      </c>
      <c r="W29" s="2">
        <v>7668</v>
      </c>
      <c r="X29" s="2">
        <v>0</v>
      </c>
      <c r="Y29" s="2">
        <v>266</v>
      </c>
      <c r="Z29" s="2">
        <v>7934</v>
      </c>
      <c r="AA29">
        <v>348</v>
      </c>
      <c r="AB29" t="s">
        <v>151</v>
      </c>
      <c r="AC29">
        <v>17.2</v>
      </c>
      <c r="AD29">
        <v>25</v>
      </c>
      <c r="AE29">
        <v>44</v>
      </c>
      <c r="AF29" t="s">
        <v>132</v>
      </c>
      <c r="AG29">
        <v>19</v>
      </c>
      <c r="AH29" t="s">
        <v>113</v>
      </c>
      <c r="AI29" t="s">
        <v>152</v>
      </c>
      <c r="AJ29" t="s">
        <v>96</v>
      </c>
      <c r="AK29" t="s">
        <v>70</v>
      </c>
      <c r="AL29" t="s">
        <v>70</v>
      </c>
      <c r="AM29" t="s">
        <v>70</v>
      </c>
      <c r="AN29" t="s">
        <v>72</v>
      </c>
      <c r="AO29" t="s">
        <v>72</v>
      </c>
      <c r="AP29" t="s">
        <v>287</v>
      </c>
      <c r="AQ29" t="s">
        <v>117</v>
      </c>
      <c r="AR29" s="1">
        <v>45058</v>
      </c>
      <c r="AS29" t="s">
        <v>118</v>
      </c>
      <c r="AT29" t="s">
        <v>71</v>
      </c>
      <c r="AU29">
        <v>1581</v>
      </c>
      <c r="AV29" t="s">
        <v>76</v>
      </c>
      <c r="AW29" s="3">
        <v>95208</v>
      </c>
      <c r="AX29" t="s">
        <v>803</v>
      </c>
      <c r="AY29" t="s">
        <v>122</v>
      </c>
      <c r="AZ29" t="s">
        <v>76</v>
      </c>
      <c r="BA29" t="s">
        <v>807</v>
      </c>
      <c r="BB29" t="s">
        <v>801</v>
      </c>
      <c r="BC29" t="s">
        <v>802</v>
      </c>
      <c r="BD29" s="3">
        <v>4.386186034786993E-2</v>
      </c>
      <c r="BE29">
        <v>386.4</v>
      </c>
      <c r="BG29" s="2">
        <f>Z29*12</f>
        <v>95208</v>
      </c>
      <c r="BH29" t="str" cm="1">
        <f t="array" ref="BH29">_xlfn.IFS(Q29&lt;5,"0-5 Years",Q29&lt;10,"5-10 Years",Q29&lt;15,"10-15 Years",TRUE,"15+ Years")</f>
        <v>0-5 Years</v>
      </c>
      <c r="BI29" t="str" cm="1">
        <f t="array" ref="BI29">_xlfn.IFS(AA29&gt;=540,"A",AA29&gt;=480,"B",AA29&gt;=420,"C",AA29&gt;=360,"D",TRUE,"F")</f>
        <v>F</v>
      </c>
      <c r="BJ29" t="str" cm="1">
        <f t="array" ref="BJ29">_xlfn.IFS(AU29&lt;0,"Separated",AU29&lt;=90,"High Risk",AU29&lt;=180,"Medium Risk",TRUE,"Retained")</f>
        <v>Retained</v>
      </c>
      <c r="BK29" t="str" cm="1">
        <f t="array" ref="BK29">_xlfn.IFS(V29=0,"No Combat",V29=1,"1 Tour",V29=2,"2 Tours",TRUE,"3+ Tours")</f>
        <v>1 Tour</v>
      </c>
      <c r="BL29" t="str">
        <f t="shared" si="0"/>
        <v>Standard</v>
      </c>
      <c r="BM29" t="str">
        <f t="shared" si="1"/>
        <v>Not Ready</v>
      </c>
      <c r="BN29" s="3">
        <f t="shared" si="2"/>
        <v>4.386186034786993E-2</v>
      </c>
      <c r="BO29">
        <f t="shared" si="3"/>
        <v>386.4</v>
      </c>
    </row>
    <row r="30" spans="1:67" x14ac:dyDescent="0.25">
      <c r="A30" t="s">
        <v>288</v>
      </c>
      <c r="B30" t="s">
        <v>49</v>
      </c>
      <c r="C30" t="s">
        <v>79</v>
      </c>
      <c r="D30" t="s">
        <v>51</v>
      </c>
      <c r="E30">
        <v>25</v>
      </c>
      <c r="F30" t="s">
        <v>52</v>
      </c>
      <c r="G30" t="s">
        <v>183</v>
      </c>
      <c r="H30" t="s">
        <v>184</v>
      </c>
      <c r="I30" t="s">
        <v>83</v>
      </c>
      <c r="J30" t="s">
        <v>84</v>
      </c>
      <c r="K30" t="s">
        <v>85</v>
      </c>
      <c r="L30" t="s">
        <v>201</v>
      </c>
      <c r="M30" t="s">
        <v>207</v>
      </c>
      <c r="N30" t="s">
        <v>128</v>
      </c>
      <c r="O30" t="s">
        <v>89</v>
      </c>
      <c r="P30" s="1">
        <v>40670</v>
      </c>
      <c r="Q30">
        <v>13.1</v>
      </c>
      <c r="R30" t="s">
        <v>195</v>
      </c>
      <c r="S30" t="s">
        <v>219</v>
      </c>
      <c r="T30" t="s">
        <v>220</v>
      </c>
      <c r="U30">
        <v>0</v>
      </c>
      <c r="V30">
        <v>0</v>
      </c>
      <c r="W30" s="2">
        <v>5696</v>
      </c>
      <c r="X30" s="2">
        <v>1411</v>
      </c>
      <c r="Y30" s="2">
        <v>266</v>
      </c>
      <c r="Z30" s="2">
        <v>7373</v>
      </c>
      <c r="AA30">
        <v>537</v>
      </c>
      <c r="AB30" t="s">
        <v>65</v>
      </c>
      <c r="AC30">
        <v>19.899999999999999</v>
      </c>
      <c r="AD30">
        <v>48</v>
      </c>
      <c r="AE30">
        <v>64</v>
      </c>
      <c r="AF30" t="s">
        <v>112</v>
      </c>
      <c r="AG30">
        <v>26</v>
      </c>
      <c r="AH30" t="s">
        <v>113</v>
      </c>
      <c r="AI30" t="s">
        <v>177</v>
      </c>
      <c r="AJ30" t="s">
        <v>188</v>
      </c>
      <c r="AK30" t="s">
        <v>70</v>
      </c>
      <c r="AL30" t="s">
        <v>70</v>
      </c>
      <c r="AM30" t="s">
        <v>70</v>
      </c>
      <c r="AN30" t="s">
        <v>133</v>
      </c>
      <c r="AO30" t="s">
        <v>203</v>
      </c>
      <c r="AP30" t="s">
        <v>227</v>
      </c>
      <c r="AQ30" t="s">
        <v>74</v>
      </c>
      <c r="AR30" s="1">
        <v>43667</v>
      </c>
      <c r="AS30" t="s">
        <v>75</v>
      </c>
      <c r="AT30" t="s">
        <v>71</v>
      </c>
      <c r="AU30">
        <v>1081</v>
      </c>
      <c r="AV30" t="s">
        <v>76</v>
      </c>
      <c r="AW30" s="3">
        <v>88476</v>
      </c>
      <c r="AX30" t="s">
        <v>805</v>
      </c>
      <c r="AY30" t="s">
        <v>806</v>
      </c>
      <c r="AZ30" t="s">
        <v>76</v>
      </c>
      <c r="BA30" t="s">
        <v>800</v>
      </c>
      <c r="BB30" t="s">
        <v>801</v>
      </c>
      <c r="BC30" t="s">
        <v>802</v>
      </c>
      <c r="BD30" s="3">
        <v>7.28333107283331E-2</v>
      </c>
      <c r="BE30">
        <v>589.4</v>
      </c>
      <c r="BG30" s="2">
        <f>Z30*12</f>
        <v>88476</v>
      </c>
      <c r="BH30" t="str" cm="1">
        <f t="array" ref="BH30">_xlfn.IFS(Q30&lt;5,"0-5 Years",Q30&lt;10,"5-10 Years",Q30&lt;15,"10-15 Years",TRUE,"15+ Years")</f>
        <v>10-15 Years</v>
      </c>
      <c r="BI30" t="str" cm="1">
        <f t="array" ref="BI30">_xlfn.IFS(AA30&gt;=540,"A",AA30&gt;=480,"B",AA30&gt;=420,"C",AA30&gt;=360,"D",TRUE,"F")</f>
        <v>B</v>
      </c>
      <c r="BJ30" t="str" cm="1">
        <f t="array" ref="BJ30">_xlfn.IFS(AU30&lt;0,"Separated",AU30&lt;=90,"High Risk",AU30&lt;=180,"Medium Risk",TRUE,"Retained")</f>
        <v>Retained</v>
      </c>
      <c r="BK30" t="str" cm="1">
        <f t="array" ref="BK30">_xlfn.IFS(V30=0,"No Combat",V30=1,"1 Tour",V30=2,"2 Tours",TRUE,"3+ Tours")</f>
        <v>No Combat</v>
      </c>
      <c r="BL30" t="str">
        <f t="shared" si="0"/>
        <v>Standard</v>
      </c>
      <c r="BM30" t="str">
        <f t="shared" si="1"/>
        <v>Not Ready</v>
      </c>
      <c r="BN30" s="3">
        <f t="shared" si="2"/>
        <v>7.28333107283331E-2</v>
      </c>
      <c r="BO30">
        <f t="shared" si="3"/>
        <v>589.4</v>
      </c>
    </row>
    <row r="31" spans="1:67" x14ac:dyDescent="0.25">
      <c r="A31" t="s">
        <v>289</v>
      </c>
      <c r="B31" t="s">
        <v>205</v>
      </c>
      <c r="C31" t="s">
        <v>167</v>
      </c>
      <c r="D31" t="s">
        <v>51</v>
      </c>
      <c r="E31">
        <v>45</v>
      </c>
      <c r="F31" t="s">
        <v>168</v>
      </c>
      <c r="G31" t="s">
        <v>124</v>
      </c>
      <c r="H31" t="s">
        <v>125</v>
      </c>
      <c r="I31" t="s">
        <v>103</v>
      </c>
      <c r="J31" t="s">
        <v>104</v>
      </c>
      <c r="K31" t="s">
        <v>105</v>
      </c>
      <c r="L31" t="s">
        <v>201</v>
      </c>
      <c r="M31" t="s">
        <v>161</v>
      </c>
      <c r="N31" t="s">
        <v>128</v>
      </c>
      <c r="O31" t="s">
        <v>89</v>
      </c>
      <c r="P31" s="1">
        <v>41959</v>
      </c>
      <c r="Q31">
        <v>9.5</v>
      </c>
      <c r="R31" t="s">
        <v>90</v>
      </c>
      <c r="S31" t="s">
        <v>163</v>
      </c>
      <c r="T31" t="s">
        <v>164</v>
      </c>
      <c r="U31">
        <v>14</v>
      </c>
      <c r="V31">
        <v>2</v>
      </c>
      <c r="W31" s="2">
        <v>2730</v>
      </c>
      <c r="X31" s="2">
        <v>0</v>
      </c>
      <c r="Y31" s="2">
        <v>422</v>
      </c>
      <c r="Z31" s="2">
        <v>3152</v>
      </c>
      <c r="AA31">
        <v>328</v>
      </c>
      <c r="AB31" t="s">
        <v>151</v>
      </c>
      <c r="AC31">
        <v>16</v>
      </c>
      <c r="AD31">
        <v>61</v>
      </c>
      <c r="AE31">
        <v>39</v>
      </c>
      <c r="AF31" t="s">
        <v>132</v>
      </c>
      <c r="AG31">
        <v>24</v>
      </c>
      <c r="AH31" t="s">
        <v>113</v>
      </c>
      <c r="AI31" t="s">
        <v>177</v>
      </c>
      <c r="AJ31" t="s">
        <v>96</v>
      </c>
      <c r="AK31" t="s">
        <v>70</v>
      </c>
      <c r="AL31" t="s">
        <v>70</v>
      </c>
      <c r="AM31" t="s">
        <v>70</v>
      </c>
      <c r="AN31" t="s">
        <v>72</v>
      </c>
      <c r="AO31" t="s">
        <v>221</v>
      </c>
      <c r="AP31" t="s">
        <v>227</v>
      </c>
      <c r="AQ31" t="s">
        <v>136</v>
      </c>
      <c r="AR31" s="1">
        <v>44443</v>
      </c>
      <c r="AS31" t="s">
        <v>137</v>
      </c>
      <c r="AT31" t="s">
        <v>71</v>
      </c>
      <c r="AU31">
        <v>677</v>
      </c>
      <c r="AV31" t="s">
        <v>76</v>
      </c>
      <c r="AW31" s="3">
        <v>37824</v>
      </c>
      <c r="AX31" t="s">
        <v>808</v>
      </c>
      <c r="AY31" t="s">
        <v>122</v>
      </c>
      <c r="AZ31" t="s">
        <v>76</v>
      </c>
      <c r="BA31" t="s">
        <v>811</v>
      </c>
      <c r="BB31" t="s">
        <v>801</v>
      </c>
      <c r="BC31" t="s">
        <v>802</v>
      </c>
      <c r="BD31" s="3">
        <v>0.10406091370558376</v>
      </c>
      <c r="BE31">
        <v>376.4</v>
      </c>
      <c r="BG31" s="2">
        <f>Z31*12</f>
        <v>37824</v>
      </c>
      <c r="BH31" t="str" cm="1">
        <f t="array" ref="BH31">_xlfn.IFS(Q31&lt;5,"0-5 Years",Q31&lt;10,"5-10 Years",Q31&lt;15,"10-15 Years",TRUE,"15+ Years")</f>
        <v>5-10 Years</v>
      </c>
      <c r="BI31" t="str" cm="1">
        <f t="array" ref="BI31">_xlfn.IFS(AA31&gt;=540,"A",AA31&gt;=480,"B",AA31&gt;=420,"C",AA31&gt;=360,"D",TRUE,"F")</f>
        <v>F</v>
      </c>
      <c r="BJ31" t="str" cm="1">
        <f t="array" ref="BJ31">_xlfn.IFS(AU31&lt;0,"Separated",AU31&lt;=90,"High Risk",AU31&lt;=180,"Medium Risk",TRUE,"Retained")</f>
        <v>Retained</v>
      </c>
      <c r="BK31" t="str" cm="1">
        <f t="array" ref="BK31">_xlfn.IFS(V31=0,"No Combat",V31=1,"1 Tour",V31=2,"2 Tours",TRUE,"3+ Tours")</f>
        <v>2 Tours</v>
      </c>
      <c r="BL31" t="str">
        <f t="shared" si="0"/>
        <v>Standard</v>
      </c>
      <c r="BM31" t="str">
        <f t="shared" si="1"/>
        <v>Not Ready</v>
      </c>
      <c r="BN31" s="3">
        <f t="shared" si="2"/>
        <v>0.10406091370558376</v>
      </c>
      <c r="BO31">
        <f t="shared" si="3"/>
        <v>376.4</v>
      </c>
    </row>
    <row r="32" spans="1:67" x14ac:dyDescent="0.25">
      <c r="A32" t="s">
        <v>290</v>
      </c>
      <c r="B32" t="s">
        <v>166</v>
      </c>
      <c r="C32" t="s">
        <v>79</v>
      </c>
      <c r="D32" t="s">
        <v>51</v>
      </c>
      <c r="E32">
        <v>37</v>
      </c>
      <c r="F32" t="s">
        <v>291</v>
      </c>
      <c r="G32" t="s">
        <v>81</v>
      </c>
      <c r="H32" t="s">
        <v>82</v>
      </c>
      <c r="I32" t="s">
        <v>292</v>
      </c>
      <c r="J32" t="s">
        <v>293</v>
      </c>
      <c r="K32" t="s">
        <v>294</v>
      </c>
      <c r="L32" t="s">
        <v>106</v>
      </c>
      <c r="M32" t="s">
        <v>59</v>
      </c>
      <c r="N32" t="s">
        <v>128</v>
      </c>
      <c r="O32" t="s">
        <v>89</v>
      </c>
      <c r="P32" s="1">
        <v>41987</v>
      </c>
      <c r="Q32">
        <v>9.5</v>
      </c>
      <c r="R32" t="s">
        <v>208</v>
      </c>
      <c r="S32" t="s">
        <v>130</v>
      </c>
      <c r="T32" t="s">
        <v>131</v>
      </c>
      <c r="U32">
        <v>9</v>
      </c>
      <c r="V32">
        <v>1</v>
      </c>
      <c r="W32" s="2">
        <v>2504</v>
      </c>
      <c r="X32" s="2">
        <v>0</v>
      </c>
      <c r="Y32" s="2">
        <v>422</v>
      </c>
      <c r="Z32" s="2">
        <v>2926</v>
      </c>
      <c r="AA32">
        <v>473</v>
      </c>
      <c r="AB32" t="s">
        <v>65</v>
      </c>
      <c r="AC32">
        <v>15.3</v>
      </c>
      <c r="AD32">
        <v>23</v>
      </c>
      <c r="AE32">
        <v>48</v>
      </c>
      <c r="AF32" t="s">
        <v>112</v>
      </c>
      <c r="AG32">
        <v>29</v>
      </c>
      <c r="AH32" t="s">
        <v>113</v>
      </c>
      <c r="AI32" t="s">
        <v>152</v>
      </c>
      <c r="AJ32" t="s">
        <v>188</v>
      </c>
      <c r="AK32" t="s">
        <v>70</v>
      </c>
      <c r="AL32" t="s">
        <v>71</v>
      </c>
      <c r="AM32" t="s">
        <v>71</v>
      </c>
      <c r="AN32" t="s">
        <v>115</v>
      </c>
      <c r="AO32" t="s">
        <v>178</v>
      </c>
      <c r="AP32" t="s">
        <v>72</v>
      </c>
      <c r="AQ32" t="s">
        <v>74</v>
      </c>
      <c r="AR32" s="1">
        <v>42226</v>
      </c>
      <c r="AS32" t="s">
        <v>118</v>
      </c>
      <c r="AT32" t="s">
        <v>71</v>
      </c>
      <c r="AU32">
        <v>451</v>
      </c>
      <c r="AV32" t="s">
        <v>76</v>
      </c>
      <c r="AW32" s="3">
        <v>35112</v>
      </c>
      <c r="AX32" t="s">
        <v>808</v>
      </c>
      <c r="AY32" t="s">
        <v>804</v>
      </c>
      <c r="AZ32" t="s">
        <v>76</v>
      </c>
      <c r="BA32" t="s">
        <v>807</v>
      </c>
      <c r="BB32" t="s">
        <v>801</v>
      </c>
      <c r="BC32" t="s">
        <v>802</v>
      </c>
      <c r="BD32" s="3">
        <v>0.16165413533834586</v>
      </c>
      <c r="BE32">
        <v>561.4</v>
      </c>
      <c r="BG32" s="2">
        <f>Z32*12</f>
        <v>35112</v>
      </c>
      <c r="BH32" t="str" cm="1">
        <f t="array" ref="BH32">_xlfn.IFS(Q32&lt;5,"0-5 Years",Q32&lt;10,"5-10 Years",Q32&lt;15,"10-15 Years",TRUE,"15+ Years")</f>
        <v>5-10 Years</v>
      </c>
      <c r="BI32" t="str" cm="1">
        <f t="array" ref="BI32">_xlfn.IFS(AA32&gt;=540,"A",AA32&gt;=480,"B",AA32&gt;=420,"C",AA32&gt;=360,"D",TRUE,"F")</f>
        <v>C</v>
      </c>
      <c r="BJ32" t="str" cm="1">
        <f t="array" ref="BJ32">_xlfn.IFS(AU32&lt;0,"Separated",AU32&lt;=90,"High Risk",AU32&lt;=180,"Medium Risk",TRUE,"Retained")</f>
        <v>Retained</v>
      </c>
      <c r="BK32" t="str" cm="1">
        <f t="array" ref="BK32">_xlfn.IFS(V32=0,"No Combat",V32=1,"1 Tour",V32=2,"2 Tours",TRUE,"3+ Tours")</f>
        <v>1 Tour</v>
      </c>
      <c r="BL32" t="str">
        <f t="shared" si="0"/>
        <v>Standard</v>
      </c>
      <c r="BM32" t="str">
        <f t="shared" si="1"/>
        <v>Not Ready</v>
      </c>
      <c r="BN32" s="3">
        <f t="shared" si="2"/>
        <v>0.16165413533834586</v>
      </c>
      <c r="BO32">
        <f t="shared" si="3"/>
        <v>561.4</v>
      </c>
    </row>
    <row r="33" spans="1:67" x14ac:dyDescent="0.25">
      <c r="A33" t="s">
        <v>295</v>
      </c>
      <c r="B33" t="s">
        <v>49</v>
      </c>
      <c r="C33" t="s">
        <v>240</v>
      </c>
      <c r="D33" t="s">
        <v>122</v>
      </c>
      <c r="E33">
        <v>30</v>
      </c>
      <c r="F33" t="s">
        <v>241</v>
      </c>
      <c r="G33" t="s">
        <v>279</v>
      </c>
      <c r="H33" t="s">
        <v>280</v>
      </c>
      <c r="I33" t="s">
        <v>217</v>
      </c>
      <c r="J33" t="s">
        <v>218</v>
      </c>
      <c r="K33" t="s">
        <v>146</v>
      </c>
      <c r="L33" t="s">
        <v>106</v>
      </c>
      <c r="M33" t="s">
        <v>296</v>
      </c>
      <c r="N33" t="s">
        <v>128</v>
      </c>
      <c r="O33" t="s">
        <v>109</v>
      </c>
      <c r="P33" s="1">
        <v>40709</v>
      </c>
      <c r="Q33">
        <v>13</v>
      </c>
      <c r="R33" t="s">
        <v>62</v>
      </c>
      <c r="S33" t="s">
        <v>219</v>
      </c>
      <c r="T33" t="s">
        <v>220</v>
      </c>
      <c r="U33">
        <v>0</v>
      </c>
      <c r="V33">
        <v>0</v>
      </c>
      <c r="W33" s="2">
        <v>6618</v>
      </c>
      <c r="X33" s="2">
        <v>0</v>
      </c>
      <c r="Y33" s="2">
        <v>266</v>
      </c>
      <c r="Z33" s="2">
        <v>6884</v>
      </c>
      <c r="AA33">
        <v>590</v>
      </c>
      <c r="AB33" t="s">
        <v>65</v>
      </c>
      <c r="AC33">
        <v>13.1</v>
      </c>
      <c r="AD33">
        <v>80</v>
      </c>
      <c r="AE33">
        <v>52</v>
      </c>
      <c r="AF33" t="s">
        <v>112</v>
      </c>
      <c r="AG33">
        <v>36</v>
      </c>
      <c r="AH33" t="s">
        <v>94</v>
      </c>
      <c r="AI33" t="s">
        <v>68</v>
      </c>
      <c r="AJ33" t="s">
        <v>69</v>
      </c>
      <c r="AK33" t="s">
        <v>70</v>
      </c>
      <c r="AL33" t="s">
        <v>71</v>
      </c>
      <c r="AM33" t="s">
        <v>70</v>
      </c>
      <c r="AN33" t="s">
        <v>243</v>
      </c>
      <c r="AO33" t="s">
        <v>227</v>
      </c>
      <c r="AP33" t="s">
        <v>287</v>
      </c>
      <c r="AQ33" t="s">
        <v>117</v>
      </c>
      <c r="AR33" s="1">
        <v>40723</v>
      </c>
      <c r="AS33" t="s">
        <v>75</v>
      </c>
      <c r="AT33" t="s">
        <v>71</v>
      </c>
      <c r="AU33">
        <v>1121</v>
      </c>
      <c r="AV33" t="s">
        <v>76</v>
      </c>
      <c r="AW33" s="3">
        <v>82608</v>
      </c>
      <c r="AX33" t="s">
        <v>805</v>
      </c>
      <c r="AY33" t="s">
        <v>799</v>
      </c>
      <c r="AZ33" t="s">
        <v>76</v>
      </c>
      <c r="BA33" t="s">
        <v>800</v>
      </c>
      <c r="BB33" t="s">
        <v>801</v>
      </c>
      <c r="BC33" t="s">
        <v>802</v>
      </c>
      <c r="BD33" s="3">
        <v>8.5705984892504361E-2</v>
      </c>
      <c r="BE33">
        <v>672.4</v>
      </c>
      <c r="BG33" s="2">
        <f>Z33*12</f>
        <v>82608</v>
      </c>
      <c r="BH33" t="str" cm="1">
        <f t="array" ref="BH33">_xlfn.IFS(Q33&lt;5,"0-5 Years",Q33&lt;10,"5-10 Years",Q33&lt;15,"10-15 Years",TRUE,"15+ Years")</f>
        <v>10-15 Years</v>
      </c>
      <c r="BI33" t="str" cm="1">
        <f t="array" ref="BI33">_xlfn.IFS(AA33&gt;=540,"A",AA33&gt;=480,"B",AA33&gt;=420,"C",AA33&gt;=360,"D",TRUE,"F")</f>
        <v>A</v>
      </c>
      <c r="BJ33" t="str" cm="1">
        <f t="array" ref="BJ33">_xlfn.IFS(AU33&lt;0,"Separated",AU33&lt;=90,"High Risk",AU33&lt;=180,"Medium Risk",TRUE,"Retained")</f>
        <v>Retained</v>
      </c>
      <c r="BK33" t="str" cm="1">
        <f t="array" ref="BK33">_xlfn.IFS(V33=0,"No Combat",V33=1,"1 Tour",V33=2,"2 Tours",TRUE,"3+ Tours")</f>
        <v>No Combat</v>
      </c>
      <c r="BL33" t="str">
        <f t="shared" si="0"/>
        <v>Standard</v>
      </c>
      <c r="BM33" t="str">
        <f t="shared" si="1"/>
        <v>Not Ready</v>
      </c>
      <c r="BN33" s="3">
        <f t="shared" si="2"/>
        <v>8.5705984892504361E-2</v>
      </c>
      <c r="BO33">
        <f t="shared" si="3"/>
        <v>672.4</v>
      </c>
    </row>
    <row r="34" spans="1:67" x14ac:dyDescent="0.25">
      <c r="A34" t="s">
        <v>297</v>
      </c>
      <c r="B34" t="s">
        <v>251</v>
      </c>
      <c r="C34" t="s">
        <v>50</v>
      </c>
      <c r="D34" t="s">
        <v>51</v>
      </c>
      <c r="E34">
        <v>41</v>
      </c>
      <c r="F34" t="s">
        <v>192</v>
      </c>
      <c r="G34" t="s">
        <v>298</v>
      </c>
      <c r="H34" t="s">
        <v>299</v>
      </c>
      <c r="I34" t="s">
        <v>236</v>
      </c>
      <c r="J34" t="s">
        <v>237</v>
      </c>
      <c r="K34" t="s">
        <v>238</v>
      </c>
      <c r="L34" t="s">
        <v>201</v>
      </c>
      <c r="M34" t="s">
        <v>59</v>
      </c>
      <c r="N34" t="s">
        <v>162</v>
      </c>
      <c r="O34" t="s">
        <v>176</v>
      </c>
      <c r="P34" s="1">
        <v>44707</v>
      </c>
      <c r="Q34">
        <v>2</v>
      </c>
      <c r="R34" t="s">
        <v>195</v>
      </c>
      <c r="S34" t="s">
        <v>196</v>
      </c>
      <c r="T34" t="s">
        <v>197</v>
      </c>
      <c r="U34">
        <v>0</v>
      </c>
      <c r="V34">
        <v>0</v>
      </c>
      <c r="W34" s="2">
        <v>2149</v>
      </c>
      <c r="X34" s="2">
        <v>1271</v>
      </c>
      <c r="Y34" s="2">
        <v>422</v>
      </c>
      <c r="Z34" s="2">
        <v>3842</v>
      </c>
      <c r="AA34">
        <v>418</v>
      </c>
      <c r="AB34" t="s">
        <v>65</v>
      </c>
      <c r="AC34">
        <v>14.4</v>
      </c>
      <c r="AD34">
        <v>32</v>
      </c>
      <c r="AE34">
        <v>69</v>
      </c>
      <c r="AF34" t="s">
        <v>93</v>
      </c>
      <c r="AG34">
        <v>36</v>
      </c>
      <c r="AH34" t="s">
        <v>94</v>
      </c>
      <c r="AI34" t="s">
        <v>177</v>
      </c>
      <c r="AJ34" t="s">
        <v>69</v>
      </c>
      <c r="AK34" t="s">
        <v>71</v>
      </c>
      <c r="AL34" t="s">
        <v>70</v>
      </c>
      <c r="AM34" t="s">
        <v>70</v>
      </c>
      <c r="AN34" t="s">
        <v>72</v>
      </c>
      <c r="AO34" t="s">
        <v>97</v>
      </c>
      <c r="AP34" t="s">
        <v>72</v>
      </c>
      <c r="AQ34" t="s">
        <v>136</v>
      </c>
      <c r="AR34" s="1">
        <v>45412</v>
      </c>
      <c r="AS34" t="s">
        <v>75</v>
      </c>
      <c r="AT34" t="s">
        <v>71</v>
      </c>
      <c r="AU34">
        <v>219</v>
      </c>
      <c r="AV34" t="s">
        <v>76</v>
      </c>
      <c r="AW34" s="3">
        <v>46104</v>
      </c>
      <c r="AX34" t="s">
        <v>803</v>
      </c>
      <c r="AY34" t="s">
        <v>809</v>
      </c>
      <c r="AZ34" t="s">
        <v>76</v>
      </c>
      <c r="BA34" t="s">
        <v>800</v>
      </c>
      <c r="BB34" t="s">
        <v>801</v>
      </c>
      <c r="BC34" t="s">
        <v>802</v>
      </c>
      <c r="BD34" s="3">
        <v>0.10879750130140552</v>
      </c>
      <c r="BE34">
        <v>500.4</v>
      </c>
      <c r="BG34" s="2">
        <f>Z34*12</f>
        <v>46104</v>
      </c>
      <c r="BH34" t="str" cm="1">
        <f t="array" ref="BH34">_xlfn.IFS(Q34&lt;5,"0-5 Years",Q34&lt;10,"5-10 Years",Q34&lt;15,"10-15 Years",TRUE,"15+ Years")</f>
        <v>0-5 Years</v>
      </c>
      <c r="BI34" t="str" cm="1">
        <f t="array" ref="BI34">_xlfn.IFS(AA34&gt;=540,"A",AA34&gt;=480,"B",AA34&gt;=420,"C",AA34&gt;=360,"D",TRUE,"F")</f>
        <v>D</v>
      </c>
      <c r="BJ34" t="str" cm="1">
        <f t="array" ref="BJ34">_xlfn.IFS(AU34&lt;0,"Separated",AU34&lt;=90,"High Risk",AU34&lt;=180,"Medium Risk",TRUE,"Retained")</f>
        <v>Retained</v>
      </c>
      <c r="BK34" t="str" cm="1">
        <f t="array" ref="BK34">_xlfn.IFS(V34=0,"No Combat",V34=1,"1 Tour",V34=2,"2 Tours",TRUE,"3+ Tours")</f>
        <v>No Combat</v>
      </c>
      <c r="BL34" t="str">
        <f t="shared" si="0"/>
        <v>Standard</v>
      </c>
      <c r="BM34" t="str">
        <f t="shared" si="1"/>
        <v>Not Ready</v>
      </c>
      <c r="BN34" s="3">
        <f t="shared" si="2"/>
        <v>0.10879750130140552</v>
      </c>
      <c r="BO34">
        <f t="shared" si="3"/>
        <v>500.4</v>
      </c>
    </row>
    <row r="35" spans="1:67" x14ac:dyDescent="0.25">
      <c r="A35" t="s">
        <v>300</v>
      </c>
      <c r="B35" t="s">
        <v>245</v>
      </c>
      <c r="C35" t="s">
        <v>233</v>
      </c>
      <c r="D35" t="s">
        <v>51</v>
      </c>
      <c r="E35">
        <v>26</v>
      </c>
      <c r="F35" t="s">
        <v>168</v>
      </c>
      <c r="G35" t="s">
        <v>301</v>
      </c>
      <c r="H35" t="s">
        <v>302</v>
      </c>
      <c r="I35" t="s">
        <v>103</v>
      </c>
      <c r="J35" t="s">
        <v>104</v>
      </c>
      <c r="K35" t="s">
        <v>105</v>
      </c>
      <c r="L35" t="s">
        <v>201</v>
      </c>
      <c r="M35" t="s">
        <v>207</v>
      </c>
      <c r="N35" t="s">
        <v>128</v>
      </c>
      <c r="O35" t="s">
        <v>149</v>
      </c>
      <c r="P35" s="1">
        <v>40458</v>
      </c>
      <c r="Q35">
        <v>13.7</v>
      </c>
      <c r="R35" t="s">
        <v>90</v>
      </c>
      <c r="S35" t="s">
        <v>196</v>
      </c>
      <c r="T35" t="s">
        <v>197</v>
      </c>
      <c r="U35">
        <v>0</v>
      </c>
      <c r="V35">
        <v>0</v>
      </c>
      <c r="W35" s="2">
        <v>4188</v>
      </c>
      <c r="X35" s="2">
        <v>1786</v>
      </c>
      <c r="Y35" s="2">
        <v>266</v>
      </c>
      <c r="Z35" s="2">
        <v>6240</v>
      </c>
      <c r="AA35">
        <v>529</v>
      </c>
      <c r="AB35" t="s">
        <v>65</v>
      </c>
      <c r="AC35">
        <v>18.8</v>
      </c>
      <c r="AD35">
        <v>41</v>
      </c>
      <c r="AE35">
        <v>37</v>
      </c>
      <c r="AF35" t="s">
        <v>66</v>
      </c>
      <c r="AG35">
        <v>20</v>
      </c>
      <c r="AH35" t="s">
        <v>113</v>
      </c>
      <c r="AI35" t="s">
        <v>177</v>
      </c>
      <c r="AJ35" t="s">
        <v>96</v>
      </c>
      <c r="AK35" t="s">
        <v>71</v>
      </c>
      <c r="AL35" t="s">
        <v>70</v>
      </c>
      <c r="AM35" t="s">
        <v>71</v>
      </c>
      <c r="AN35" t="s">
        <v>72</v>
      </c>
      <c r="AO35" t="s">
        <v>72</v>
      </c>
      <c r="AP35" t="s">
        <v>72</v>
      </c>
      <c r="AQ35" t="s">
        <v>74</v>
      </c>
      <c r="AR35" s="1">
        <v>42326</v>
      </c>
      <c r="AS35" t="s">
        <v>198</v>
      </c>
      <c r="AT35" t="s">
        <v>71</v>
      </c>
      <c r="AU35">
        <v>1060</v>
      </c>
      <c r="AV35" t="s">
        <v>76</v>
      </c>
      <c r="AW35" s="3">
        <v>74880</v>
      </c>
      <c r="AX35" t="s">
        <v>805</v>
      </c>
      <c r="AY35" t="s">
        <v>806</v>
      </c>
      <c r="AZ35" t="s">
        <v>76</v>
      </c>
      <c r="BA35" t="s">
        <v>800</v>
      </c>
      <c r="BB35" t="s">
        <v>801</v>
      </c>
      <c r="BC35" t="s">
        <v>802</v>
      </c>
      <c r="BD35" s="3">
        <v>8.477564102564103E-2</v>
      </c>
      <c r="BE35">
        <v>599.4</v>
      </c>
      <c r="BG35" s="2">
        <f>Z35*12</f>
        <v>74880</v>
      </c>
      <c r="BH35" t="str" cm="1">
        <f t="array" ref="BH35">_xlfn.IFS(Q35&lt;5,"0-5 Years",Q35&lt;10,"5-10 Years",Q35&lt;15,"10-15 Years",TRUE,"15+ Years")</f>
        <v>10-15 Years</v>
      </c>
      <c r="BI35" t="str" cm="1">
        <f t="array" ref="BI35">_xlfn.IFS(AA35&gt;=540,"A",AA35&gt;=480,"B",AA35&gt;=420,"C",AA35&gt;=360,"D",TRUE,"F")</f>
        <v>B</v>
      </c>
      <c r="BJ35" t="str" cm="1">
        <f t="array" ref="BJ35">_xlfn.IFS(AU35&lt;0,"Separated",AU35&lt;=90,"High Risk",AU35&lt;=180,"Medium Risk",TRUE,"Retained")</f>
        <v>Retained</v>
      </c>
      <c r="BK35" t="str" cm="1">
        <f t="array" ref="BK35">_xlfn.IFS(V35=0,"No Combat",V35=1,"1 Tour",V35=2,"2 Tours",TRUE,"3+ Tours")</f>
        <v>No Combat</v>
      </c>
      <c r="BL35" t="str">
        <f t="shared" si="0"/>
        <v>Standard</v>
      </c>
      <c r="BM35" t="str">
        <f t="shared" si="1"/>
        <v>Not Ready</v>
      </c>
      <c r="BN35" s="3">
        <f t="shared" si="2"/>
        <v>8.477564102564103E-2</v>
      </c>
      <c r="BO35">
        <f t="shared" si="3"/>
        <v>599.4</v>
      </c>
    </row>
    <row r="36" spans="1:67" x14ac:dyDescent="0.25">
      <c r="A36" t="s">
        <v>303</v>
      </c>
      <c r="B36" t="s">
        <v>210</v>
      </c>
      <c r="C36" t="s">
        <v>140</v>
      </c>
      <c r="D36" t="s">
        <v>51</v>
      </c>
      <c r="E36">
        <v>30</v>
      </c>
      <c r="F36" t="s">
        <v>278</v>
      </c>
      <c r="G36" t="s">
        <v>53</v>
      </c>
      <c r="H36" t="s">
        <v>54</v>
      </c>
      <c r="I36" t="s">
        <v>185</v>
      </c>
      <c r="J36" t="s">
        <v>186</v>
      </c>
      <c r="K36" t="s">
        <v>187</v>
      </c>
      <c r="L36" t="s">
        <v>174</v>
      </c>
      <c r="M36" t="s">
        <v>87</v>
      </c>
      <c r="N36" t="s">
        <v>148</v>
      </c>
      <c r="O36" t="s">
        <v>176</v>
      </c>
      <c r="P36" s="1">
        <v>43350</v>
      </c>
      <c r="Q36">
        <v>5.7</v>
      </c>
      <c r="R36" t="s">
        <v>150</v>
      </c>
      <c r="S36" t="s">
        <v>130</v>
      </c>
      <c r="T36" t="s">
        <v>131</v>
      </c>
      <c r="U36">
        <v>2</v>
      </c>
      <c r="V36">
        <v>0</v>
      </c>
      <c r="W36" s="2">
        <v>4739</v>
      </c>
      <c r="X36" s="2">
        <v>2101</v>
      </c>
      <c r="Y36" s="2">
        <v>422</v>
      </c>
      <c r="Z36" s="2">
        <v>7262</v>
      </c>
      <c r="AA36">
        <v>499</v>
      </c>
      <c r="AB36" t="s">
        <v>65</v>
      </c>
      <c r="AC36">
        <v>20.2</v>
      </c>
      <c r="AD36">
        <v>39</v>
      </c>
      <c r="AE36">
        <v>71</v>
      </c>
      <c r="AF36" t="s">
        <v>66</v>
      </c>
      <c r="AG36">
        <v>20</v>
      </c>
      <c r="AH36" t="s">
        <v>113</v>
      </c>
      <c r="AI36" t="s">
        <v>68</v>
      </c>
      <c r="AJ36" t="s">
        <v>72</v>
      </c>
      <c r="AK36" t="s">
        <v>70</v>
      </c>
      <c r="AL36" t="s">
        <v>70</v>
      </c>
      <c r="AM36" t="s">
        <v>70</v>
      </c>
      <c r="AN36" t="s">
        <v>133</v>
      </c>
      <c r="AO36" t="s">
        <v>135</v>
      </c>
      <c r="AP36" t="s">
        <v>134</v>
      </c>
      <c r="AQ36" t="s">
        <v>74</v>
      </c>
      <c r="AR36" s="1">
        <v>43733</v>
      </c>
      <c r="AS36" t="s">
        <v>198</v>
      </c>
      <c r="AT36" t="s">
        <v>71</v>
      </c>
      <c r="AU36">
        <v>1199</v>
      </c>
      <c r="AV36" t="s">
        <v>76</v>
      </c>
      <c r="AW36" s="3">
        <v>87144</v>
      </c>
      <c r="AX36" t="s">
        <v>808</v>
      </c>
      <c r="AY36" t="s">
        <v>806</v>
      </c>
      <c r="AZ36" t="s">
        <v>76</v>
      </c>
      <c r="BA36" t="s">
        <v>800</v>
      </c>
      <c r="BB36" t="s">
        <v>801</v>
      </c>
      <c r="BC36" t="s">
        <v>802</v>
      </c>
      <c r="BD36" s="3">
        <v>6.8713852933076289E-2</v>
      </c>
      <c r="BE36">
        <v>539.4</v>
      </c>
      <c r="BG36" s="2">
        <f>Z36*12</f>
        <v>87144</v>
      </c>
      <c r="BH36" t="str" cm="1">
        <f t="array" ref="BH36">_xlfn.IFS(Q36&lt;5,"0-5 Years",Q36&lt;10,"5-10 Years",Q36&lt;15,"10-15 Years",TRUE,"15+ Years")</f>
        <v>5-10 Years</v>
      </c>
      <c r="BI36" t="str" cm="1">
        <f t="array" ref="BI36">_xlfn.IFS(AA36&gt;=540,"A",AA36&gt;=480,"B",AA36&gt;=420,"C",AA36&gt;=360,"D",TRUE,"F")</f>
        <v>B</v>
      </c>
      <c r="BJ36" t="str" cm="1">
        <f t="array" ref="BJ36">_xlfn.IFS(AU36&lt;0,"Separated",AU36&lt;=90,"High Risk",AU36&lt;=180,"Medium Risk",TRUE,"Retained")</f>
        <v>Retained</v>
      </c>
      <c r="BK36" t="str" cm="1">
        <f t="array" ref="BK36">_xlfn.IFS(V36=0,"No Combat",V36=1,"1 Tour",V36=2,"2 Tours",TRUE,"3+ Tours")</f>
        <v>No Combat</v>
      </c>
      <c r="BL36" t="str">
        <f t="shared" si="0"/>
        <v>Standard</v>
      </c>
      <c r="BM36" t="str">
        <f t="shared" si="1"/>
        <v>Not Ready</v>
      </c>
      <c r="BN36" s="3">
        <f t="shared" si="2"/>
        <v>6.8713852933076289E-2</v>
      </c>
      <c r="BO36">
        <f t="shared" si="3"/>
        <v>539.4</v>
      </c>
    </row>
    <row r="37" spans="1:67" x14ac:dyDescent="0.25">
      <c r="A37" t="s">
        <v>304</v>
      </c>
      <c r="B37" t="s">
        <v>100</v>
      </c>
      <c r="C37" t="s">
        <v>167</v>
      </c>
      <c r="D37" t="s">
        <v>51</v>
      </c>
      <c r="E37">
        <v>38</v>
      </c>
      <c r="F37" t="s">
        <v>305</v>
      </c>
      <c r="G37" t="s">
        <v>183</v>
      </c>
      <c r="H37" t="s">
        <v>184</v>
      </c>
      <c r="I37" t="s">
        <v>217</v>
      </c>
      <c r="J37" t="s">
        <v>218</v>
      </c>
      <c r="K37" t="s">
        <v>146</v>
      </c>
      <c r="L37" t="s">
        <v>174</v>
      </c>
      <c r="M37" t="s">
        <v>59</v>
      </c>
      <c r="N37" t="s">
        <v>88</v>
      </c>
      <c r="O37" t="s">
        <v>149</v>
      </c>
      <c r="P37" s="1">
        <v>41985</v>
      </c>
      <c r="Q37">
        <v>9.5</v>
      </c>
      <c r="R37" t="s">
        <v>90</v>
      </c>
      <c r="S37" t="s">
        <v>91</v>
      </c>
      <c r="T37" t="s">
        <v>92</v>
      </c>
      <c r="U37">
        <v>7</v>
      </c>
      <c r="V37">
        <v>1</v>
      </c>
      <c r="W37" s="2">
        <v>5696</v>
      </c>
      <c r="X37" s="2">
        <v>0</v>
      </c>
      <c r="Y37" s="2">
        <v>266</v>
      </c>
      <c r="Z37" s="2">
        <v>5962</v>
      </c>
      <c r="AA37">
        <v>473</v>
      </c>
      <c r="AB37" t="s">
        <v>65</v>
      </c>
      <c r="AC37">
        <v>20.8</v>
      </c>
      <c r="AD37">
        <v>43</v>
      </c>
      <c r="AE37">
        <v>64</v>
      </c>
      <c r="AF37" t="s">
        <v>66</v>
      </c>
      <c r="AG37">
        <v>28</v>
      </c>
      <c r="AH37" t="s">
        <v>113</v>
      </c>
      <c r="AI37" t="s">
        <v>177</v>
      </c>
      <c r="AJ37" t="s">
        <v>69</v>
      </c>
      <c r="AK37" t="s">
        <v>71</v>
      </c>
      <c r="AL37" t="s">
        <v>70</v>
      </c>
      <c r="AM37" t="s">
        <v>70</v>
      </c>
      <c r="AN37" t="s">
        <v>202</v>
      </c>
      <c r="AO37" t="s">
        <v>134</v>
      </c>
      <c r="AP37" t="s">
        <v>72</v>
      </c>
      <c r="AQ37" t="s">
        <v>136</v>
      </c>
      <c r="AR37" s="1">
        <v>42155</v>
      </c>
      <c r="AS37" t="s">
        <v>137</v>
      </c>
      <c r="AT37" t="s">
        <v>71</v>
      </c>
      <c r="AU37">
        <v>340</v>
      </c>
      <c r="AV37" t="s">
        <v>76</v>
      </c>
      <c r="AW37" s="3">
        <v>71544</v>
      </c>
      <c r="AX37" t="s">
        <v>808</v>
      </c>
      <c r="AY37" t="s">
        <v>804</v>
      </c>
      <c r="AZ37" t="s">
        <v>76</v>
      </c>
      <c r="BA37" t="s">
        <v>807</v>
      </c>
      <c r="BB37" t="s">
        <v>801</v>
      </c>
      <c r="BC37" t="s">
        <v>802</v>
      </c>
      <c r="BD37" s="3">
        <v>7.9335793357933573E-2</v>
      </c>
      <c r="BE37">
        <v>539.4</v>
      </c>
      <c r="BG37" s="2">
        <f>Z37*12</f>
        <v>71544</v>
      </c>
      <c r="BH37" t="str" cm="1">
        <f t="array" ref="BH37">_xlfn.IFS(Q37&lt;5,"0-5 Years",Q37&lt;10,"5-10 Years",Q37&lt;15,"10-15 Years",TRUE,"15+ Years")</f>
        <v>5-10 Years</v>
      </c>
      <c r="BI37" t="str" cm="1">
        <f t="array" ref="BI37">_xlfn.IFS(AA37&gt;=540,"A",AA37&gt;=480,"B",AA37&gt;=420,"C",AA37&gt;=360,"D",TRUE,"F")</f>
        <v>C</v>
      </c>
      <c r="BJ37" t="str" cm="1">
        <f t="array" ref="BJ37">_xlfn.IFS(AU37&lt;0,"Separated",AU37&lt;=90,"High Risk",AU37&lt;=180,"Medium Risk",TRUE,"Retained")</f>
        <v>Retained</v>
      </c>
      <c r="BK37" t="str" cm="1">
        <f t="array" ref="BK37">_xlfn.IFS(V37=0,"No Combat",V37=1,"1 Tour",V37=2,"2 Tours",TRUE,"3+ Tours")</f>
        <v>1 Tour</v>
      </c>
      <c r="BL37" t="str">
        <f t="shared" si="0"/>
        <v>Standard</v>
      </c>
      <c r="BM37" t="str">
        <f t="shared" si="1"/>
        <v>Not Ready</v>
      </c>
      <c r="BN37" s="3">
        <f t="shared" si="2"/>
        <v>7.9335793357933573E-2</v>
      </c>
      <c r="BO37">
        <f t="shared" si="3"/>
        <v>539.4</v>
      </c>
    </row>
    <row r="38" spans="1:67" x14ac:dyDescent="0.25">
      <c r="A38" t="s">
        <v>306</v>
      </c>
      <c r="B38" t="s">
        <v>251</v>
      </c>
      <c r="C38" t="s">
        <v>155</v>
      </c>
      <c r="D38" t="s">
        <v>51</v>
      </c>
      <c r="E38">
        <v>18</v>
      </c>
      <c r="F38" t="s">
        <v>123</v>
      </c>
      <c r="G38" t="s">
        <v>169</v>
      </c>
      <c r="H38" t="s">
        <v>170</v>
      </c>
      <c r="I38" t="s">
        <v>144</v>
      </c>
      <c r="J38" t="s">
        <v>145</v>
      </c>
      <c r="K38" t="s">
        <v>146</v>
      </c>
      <c r="L38" t="s">
        <v>58</v>
      </c>
      <c r="M38" t="s">
        <v>161</v>
      </c>
      <c r="N38" t="s">
        <v>128</v>
      </c>
      <c r="O38" t="s">
        <v>149</v>
      </c>
      <c r="P38" s="1">
        <v>44813</v>
      </c>
      <c r="Q38">
        <v>1.7</v>
      </c>
      <c r="R38" t="s">
        <v>150</v>
      </c>
      <c r="S38" t="s">
        <v>63</v>
      </c>
      <c r="T38" t="s">
        <v>64</v>
      </c>
      <c r="U38">
        <v>0</v>
      </c>
      <c r="V38">
        <v>0</v>
      </c>
      <c r="W38" s="2">
        <v>3294</v>
      </c>
      <c r="X38" s="2">
        <v>805</v>
      </c>
      <c r="Y38" s="2">
        <v>422</v>
      </c>
      <c r="Z38" s="2">
        <v>4521</v>
      </c>
      <c r="AA38">
        <v>566</v>
      </c>
      <c r="AB38" t="s">
        <v>65</v>
      </c>
      <c r="AC38">
        <v>19.8</v>
      </c>
      <c r="AD38">
        <v>29</v>
      </c>
      <c r="AE38">
        <v>38</v>
      </c>
      <c r="AF38" t="s">
        <v>112</v>
      </c>
      <c r="AG38">
        <v>21</v>
      </c>
      <c r="AH38" t="s">
        <v>113</v>
      </c>
      <c r="AI38" t="s">
        <v>68</v>
      </c>
      <c r="AJ38" t="s">
        <v>96</v>
      </c>
      <c r="AK38" t="s">
        <v>70</v>
      </c>
      <c r="AL38" t="s">
        <v>70</v>
      </c>
      <c r="AM38" t="s">
        <v>70</v>
      </c>
      <c r="AN38" t="s">
        <v>72</v>
      </c>
      <c r="AO38" t="s">
        <v>97</v>
      </c>
      <c r="AP38" t="s">
        <v>135</v>
      </c>
      <c r="AQ38" t="s">
        <v>98</v>
      </c>
      <c r="AR38" s="1">
        <v>45424</v>
      </c>
      <c r="AS38" t="s">
        <v>137</v>
      </c>
      <c r="AT38" t="s">
        <v>70</v>
      </c>
      <c r="AU38">
        <v>1654</v>
      </c>
      <c r="AV38" t="s">
        <v>76</v>
      </c>
      <c r="AW38" s="3">
        <v>54252</v>
      </c>
      <c r="AX38" t="s">
        <v>803</v>
      </c>
      <c r="AY38" t="s">
        <v>799</v>
      </c>
      <c r="AZ38" t="s">
        <v>76</v>
      </c>
      <c r="BA38" t="s">
        <v>800</v>
      </c>
      <c r="BB38" t="s">
        <v>801</v>
      </c>
      <c r="BC38" t="s">
        <v>802</v>
      </c>
      <c r="BD38" s="3">
        <v>0.12519354125193541</v>
      </c>
      <c r="BE38">
        <v>608.4</v>
      </c>
      <c r="BG38" s="2">
        <f>Z38*12</f>
        <v>54252</v>
      </c>
      <c r="BH38" t="str" cm="1">
        <f t="array" ref="BH38">_xlfn.IFS(Q38&lt;5,"0-5 Years",Q38&lt;10,"5-10 Years",Q38&lt;15,"10-15 Years",TRUE,"15+ Years")</f>
        <v>0-5 Years</v>
      </c>
      <c r="BI38" t="str" cm="1">
        <f t="array" ref="BI38">_xlfn.IFS(AA38&gt;=540,"A",AA38&gt;=480,"B",AA38&gt;=420,"C",AA38&gt;=360,"D",TRUE,"F")</f>
        <v>A</v>
      </c>
      <c r="BJ38" t="str" cm="1">
        <f t="array" ref="BJ38">_xlfn.IFS(AU38&lt;0,"Separated",AU38&lt;=90,"High Risk",AU38&lt;=180,"Medium Risk",TRUE,"Retained")</f>
        <v>Retained</v>
      </c>
      <c r="BK38" t="str" cm="1">
        <f t="array" ref="BK38">_xlfn.IFS(V38=0,"No Combat",V38=1,"1 Tour",V38=2,"2 Tours",TRUE,"3+ Tours")</f>
        <v>No Combat</v>
      </c>
      <c r="BL38" t="str">
        <f t="shared" si="0"/>
        <v>Standard</v>
      </c>
      <c r="BM38" t="str">
        <f t="shared" si="1"/>
        <v>Not Ready</v>
      </c>
      <c r="BN38" s="3">
        <f t="shared" si="2"/>
        <v>0.12519354125193541</v>
      </c>
      <c r="BO38">
        <f t="shared" si="3"/>
        <v>608.4</v>
      </c>
    </row>
    <row r="39" spans="1:67" x14ac:dyDescent="0.25">
      <c r="A39" t="s">
        <v>307</v>
      </c>
      <c r="B39" t="s">
        <v>308</v>
      </c>
      <c r="C39" t="s">
        <v>79</v>
      </c>
      <c r="D39" t="s">
        <v>51</v>
      </c>
      <c r="E39">
        <v>33</v>
      </c>
      <c r="F39" t="s">
        <v>278</v>
      </c>
      <c r="G39" t="s">
        <v>279</v>
      </c>
      <c r="H39" t="s">
        <v>280</v>
      </c>
      <c r="I39" t="s">
        <v>292</v>
      </c>
      <c r="J39" t="s">
        <v>293</v>
      </c>
      <c r="K39" t="s">
        <v>294</v>
      </c>
      <c r="L39" t="s">
        <v>86</v>
      </c>
      <c r="M39" t="s">
        <v>147</v>
      </c>
      <c r="N39" t="s">
        <v>148</v>
      </c>
      <c r="O39" t="s">
        <v>89</v>
      </c>
      <c r="P39" s="1">
        <v>42055</v>
      </c>
      <c r="Q39">
        <v>9.3000000000000007</v>
      </c>
      <c r="R39" t="s">
        <v>90</v>
      </c>
      <c r="S39" t="s">
        <v>63</v>
      </c>
      <c r="T39" t="s">
        <v>64</v>
      </c>
      <c r="U39">
        <v>0</v>
      </c>
      <c r="V39">
        <v>0</v>
      </c>
      <c r="W39" s="2">
        <v>6618</v>
      </c>
      <c r="X39" s="2">
        <v>0</v>
      </c>
      <c r="Y39" s="2">
        <v>266</v>
      </c>
      <c r="Z39" s="2">
        <v>6884</v>
      </c>
      <c r="AA39">
        <v>556</v>
      </c>
      <c r="AB39" t="s">
        <v>65</v>
      </c>
      <c r="AC39">
        <v>18.7</v>
      </c>
      <c r="AD39">
        <v>78</v>
      </c>
      <c r="AE39">
        <v>72</v>
      </c>
      <c r="AF39" t="s">
        <v>112</v>
      </c>
      <c r="AG39">
        <v>30</v>
      </c>
      <c r="AH39" t="s">
        <v>67</v>
      </c>
      <c r="AI39" t="s">
        <v>177</v>
      </c>
      <c r="AJ39" t="s">
        <v>69</v>
      </c>
      <c r="AK39" t="s">
        <v>70</v>
      </c>
      <c r="AL39" t="s">
        <v>70</v>
      </c>
      <c r="AM39" t="s">
        <v>71</v>
      </c>
      <c r="AN39" t="s">
        <v>72</v>
      </c>
      <c r="AO39" t="s">
        <v>72</v>
      </c>
      <c r="AP39" t="s">
        <v>135</v>
      </c>
      <c r="AQ39" t="s">
        <v>74</v>
      </c>
      <c r="AR39" s="1">
        <v>42612</v>
      </c>
      <c r="AS39" t="s">
        <v>137</v>
      </c>
      <c r="AT39" t="s">
        <v>71</v>
      </c>
      <c r="AU39">
        <v>-231</v>
      </c>
      <c r="AV39" t="s">
        <v>179</v>
      </c>
      <c r="AW39" s="3">
        <v>82608</v>
      </c>
      <c r="AX39" t="s">
        <v>808</v>
      </c>
      <c r="AY39" t="s">
        <v>799</v>
      </c>
      <c r="AZ39" t="s">
        <v>810</v>
      </c>
      <c r="BA39" t="s">
        <v>800</v>
      </c>
      <c r="BB39" t="s">
        <v>801</v>
      </c>
      <c r="BC39" t="s">
        <v>802</v>
      </c>
      <c r="BD39" s="3">
        <v>8.0766995932597327E-2</v>
      </c>
      <c r="BE39">
        <v>636.4</v>
      </c>
      <c r="BG39" s="2">
        <f>Z39*12</f>
        <v>82608</v>
      </c>
      <c r="BH39" t="str" cm="1">
        <f t="array" ref="BH39">_xlfn.IFS(Q39&lt;5,"0-5 Years",Q39&lt;10,"5-10 Years",Q39&lt;15,"10-15 Years",TRUE,"15+ Years")</f>
        <v>5-10 Years</v>
      </c>
      <c r="BI39" t="str" cm="1">
        <f t="array" ref="BI39">_xlfn.IFS(AA39&gt;=540,"A",AA39&gt;=480,"B",AA39&gt;=420,"C",AA39&gt;=360,"D",TRUE,"F")</f>
        <v>A</v>
      </c>
      <c r="BJ39" t="str" cm="1">
        <f t="array" ref="BJ39">_xlfn.IFS(AU39&lt;0,"Separated",AU39&lt;=90,"High Risk",AU39&lt;=180,"Medium Risk",TRUE,"Retained")</f>
        <v>Separated</v>
      </c>
      <c r="BK39" t="str" cm="1">
        <f t="array" ref="BK39">_xlfn.IFS(V39=0,"No Combat",V39=1,"1 Tour",V39=2,"2 Tours",TRUE,"3+ Tours")</f>
        <v>No Combat</v>
      </c>
      <c r="BL39" t="str">
        <f t="shared" si="0"/>
        <v>Standard</v>
      </c>
      <c r="BM39" t="str">
        <f t="shared" si="1"/>
        <v>Not Ready</v>
      </c>
      <c r="BN39" s="3">
        <f t="shared" si="2"/>
        <v>8.0766995932597327E-2</v>
      </c>
      <c r="BO39">
        <f t="shared" si="3"/>
        <v>636.4</v>
      </c>
    </row>
    <row r="40" spans="1:67" x14ac:dyDescent="0.25">
      <c r="A40" t="s">
        <v>309</v>
      </c>
      <c r="B40" t="s">
        <v>100</v>
      </c>
      <c r="C40" t="s">
        <v>272</v>
      </c>
      <c r="D40" t="s">
        <v>51</v>
      </c>
      <c r="E40">
        <v>28</v>
      </c>
      <c r="F40" t="s">
        <v>52</v>
      </c>
      <c r="G40" t="s">
        <v>215</v>
      </c>
      <c r="H40" t="s">
        <v>216</v>
      </c>
      <c r="I40" t="s">
        <v>253</v>
      </c>
      <c r="J40" t="s">
        <v>254</v>
      </c>
      <c r="K40" t="s">
        <v>255</v>
      </c>
      <c r="L40" t="s">
        <v>201</v>
      </c>
      <c r="M40" t="s">
        <v>147</v>
      </c>
      <c r="N40" t="s">
        <v>88</v>
      </c>
      <c r="O40" t="s">
        <v>109</v>
      </c>
      <c r="P40" s="1">
        <v>42494</v>
      </c>
      <c r="Q40">
        <v>8.1</v>
      </c>
      <c r="R40" t="s">
        <v>90</v>
      </c>
      <c r="S40" t="s">
        <v>63</v>
      </c>
      <c r="T40" t="s">
        <v>64</v>
      </c>
      <c r="U40">
        <v>0</v>
      </c>
      <c r="V40">
        <v>0</v>
      </c>
      <c r="W40" s="2">
        <v>3637</v>
      </c>
      <c r="X40" s="2">
        <v>0</v>
      </c>
      <c r="Y40" s="2">
        <v>266</v>
      </c>
      <c r="Z40" s="2">
        <v>3903</v>
      </c>
      <c r="AA40">
        <v>572</v>
      </c>
      <c r="AB40" t="s">
        <v>65</v>
      </c>
      <c r="AC40">
        <v>19.2</v>
      </c>
      <c r="AD40">
        <v>27</v>
      </c>
      <c r="AE40">
        <v>71</v>
      </c>
      <c r="AF40" t="s">
        <v>93</v>
      </c>
      <c r="AG40">
        <v>29</v>
      </c>
      <c r="AH40" t="s">
        <v>113</v>
      </c>
      <c r="AI40" t="s">
        <v>68</v>
      </c>
      <c r="AJ40" t="s">
        <v>69</v>
      </c>
      <c r="AK40" t="s">
        <v>70</v>
      </c>
      <c r="AL40" t="s">
        <v>70</v>
      </c>
      <c r="AM40" t="s">
        <v>71</v>
      </c>
      <c r="AN40" t="s">
        <v>72</v>
      </c>
      <c r="AO40" t="s">
        <v>287</v>
      </c>
      <c r="AP40" t="s">
        <v>227</v>
      </c>
      <c r="AQ40" t="s">
        <v>117</v>
      </c>
      <c r="AR40" s="1">
        <v>42995</v>
      </c>
      <c r="AS40" t="s">
        <v>75</v>
      </c>
      <c r="AT40" t="s">
        <v>71</v>
      </c>
      <c r="AU40">
        <v>1442</v>
      </c>
      <c r="AV40" t="s">
        <v>76</v>
      </c>
      <c r="AW40" s="3">
        <v>46836</v>
      </c>
      <c r="AX40" t="s">
        <v>808</v>
      </c>
      <c r="AY40" t="s">
        <v>799</v>
      </c>
      <c r="AZ40" t="s">
        <v>76</v>
      </c>
      <c r="BA40" t="s">
        <v>800</v>
      </c>
      <c r="BB40" t="s">
        <v>801</v>
      </c>
      <c r="BC40" t="s">
        <v>802</v>
      </c>
      <c r="BD40" s="3">
        <v>0.14655393287214963</v>
      </c>
      <c r="BE40">
        <v>650.4</v>
      </c>
      <c r="BG40" s="2">
        <f>Z40*12</f>
        <v>46836</v>
      </c>
      <c r="BH40" t="str" cm="1">
        <f t="array" ref="BH40">_xlfn.IFS(Q40&lt;5,"0-5 Years",Q40&lt;10,"5-10 Years",Q40&lt;15,"10-15 Years",TRUE,"15+ Years")</f>
        <v>5-10 Years</v>
      </c>
      <c r="BI40" t="str" cm="1">
        <f t="array" ref="BI40">_xlfn.IFS(AA40&gt;=540,"A",AA40&gt;=480,"B",AA40&gt;=420,"C",AA40&gt;=360,"D",TRUE,"F")</f>
        <v>A</v>
      </c>
      <c r="BJ40" t="str" cm="1">
        <f t="array" ref="BJ40">_xlfn.IFS(AU40&lt;0,"Separated",AU40&lt;=90,"High Risk",AU40&lt;=180,"Medium Risk",TRUE,"Retained")</f>
        <v>Retained</v>
      </c>
      <c r="BK40" t="str" cm="1">
        <f t="array" ref="BK40">_xlfn.IFS(V40=0,"No Combat",V40=1,"1 Tour",V40=2,"2 Tours",TRUE,"3+ Tours")</f>
        <v>No Combat</v>
      </c>
      <c r="BL40" t="str">
        <f t="shared" si="0"/>
        <v>Standard</v>
      </c>
      <c r="BM40" t="str">
        <f t="shared" si="1"/>
        <v>Not Ready</v>
      </c>
      <c r="BN40" s="3">
        <f t="shared" si="2"/>
        <v>0.14655393287214963</v>
      </c>
      <c r="BO40">
        <f t="shared" si="3"/>
        <v>650.4</v>
      </c>
    </row>
    <row r="41" spans="1:67" x14ac:dyDescent="0.25">
      <c r="A41" t="s">
        <v>310</v>
      </c>
      <c r="B41" t="s">
        <v>259</v>
      </c>
      <c r="C41" t="s">
        <v>79</v>
      </c>
      <c r="D41" t="s">
        <v>51</v>
      </c>
      <c r="E41">
        <v>25</v>
      </c>
      <c r="F41" t="s">
        <v>311</v>
      </c>
      <c r="G41" t="s">
        <v>193</v>
      </c>
      <c r="H41" t="s">
        <v>194</v>
      </c>
      <c r="I41" t="s">
        <v>253</v>
      </c>
      <c r="J41" t="s">
        <v>254</v>
      </c>
      <c r="K41" t="s">
        <v>255</v>
      </c>
      <c r="L41" t="s">
        <v>174</v>
      </c>
      <c r="M41" t="s">
        <v>59</v>
      </c>
      <c r="N41" t="s">
        <v>265</v>
      </c>
      <c r="O41" t="s">
        <v>176</v>
      </c>
      <c r="P41" s="1">
        <v>39418</v>
      </c>
      <c r="Q41">
        <v>16.5</v>
      </c>
      <c r="R41" t="s">
        <v>208</v>
      </c>
      <c r="S41" t="s">
        <v>63</v>
      </c>
      <c r="T41" t="s">
        <v>64</v>
      </c>
      <c r="U41">
        <v>0</v>
      </c>
      <c r="V41">
        <v>0</v>
      </c>
      <c r="W41" s="2">
        <v>2259</v>
      </c>
      <c r="X41" s="2">
        <v>922</v>
      </c>
      <c r="Y41" s="2">
        <v>422</v>
      </c>
      <c r="Z41" s="2">
        <v>3603</v>
      </c>
      <c r="AA41">
        <v>506</v>
      </c>
      <c r="AB41" t="s">
        <v>65</v>
      </c>
      <c r="AC41">
        <v>18.2</v>
      </c>
      <c r="AD41">
        <v>46</v>
      </c>
      <c r="AE41">
        <v>52</v>
      </c>
      <c r="AF41" t="s">
        <v>66</v>
      </c>
      <c r="AG41">
        <v>25</v>
      </c>
      <c r="AH41" t="s">
        <v>113</v>
      </c>
      <c r="AI41" t="s">
        <v>68</v>
      </c>
      <c r="AJ41" t="s">
        <v>188</v>
      </c>
      <c r="AK41" t="s">
        <v>70</v>
      </c>
      <c r="AL41" t="s">
        <v>70</v>
      </c>
      <c r="AM41" t="s">
        <v>70</v>
      </c>
      <c r="AN41" t="s">
        <v>72</v>
      </c>
      <c r="AO41" t="s">
        <v>116</v>
      </c>
      <c r="AP41" t="s">
        <v>72</v>
      </c>
      <c r="AQ41" t="s">
        <v>136</v>
      </c>
      <c r="AR41" s="1">
        <v>41365</v>
      </c>
      <c r="AS41" t="s">
        <v>75</v>
      </c>
      <c r="AT41" t="s">
        <v>71</v>
      </c>
      <c r="AU41">
        <v>426</v>
      </c>
      <c r="AV41" t="s">
        <v>76</v>
      </c>
      <c r="AW41" s="3">
        <v>43236</v>
      </c>
      <c r="AX41" t="s">
        <v>798</v>
      </c>
      <c r="AY41" t="s">
        <v>806</v>
      </c>
      <c r="AZ41" t="s">
        <v>76</v>
      </c>
      <c r="BA41" t="s">
        <v>800</v>
      </c>
      <c r="BB41" t="s">
        <v>801</v>
      </c>
      <c r="BC41" t="s">
        <v>802</v>
      </c>
      <c r="BD41" s="3">
        <v>0.14043852345267832</v>
      </c>
      <c r="BE41">
        <v>556.4</v>
      </c>
      <c r="BG41" s="2">
        <f>Z41*12</f>
        <v>43236</v>
      </c>
      <c r="BH41" t="str" cm="1">
        <f t="array" ref="BH41">_xlfn.IFS(Q41&lt;5,"0-5 Years",Q41&lt;10,"5-10 Years",Q41&lt;15,"10-15 Years",TRUE,"15+ Years")</f>
        <v>15+ Years</v>
      </c>
      <c r="BI41" t="str" cm="1">
        <f t="array" ref="BI41">_xlfn.IFS(AA41&gt;=540,"A",AA41&gt;=480,"B",AA41&gt;=420,"C",AA41&gt;=360,"D",TRUE,"F")</f>
        <v>B</v>
      </c>
      <c r="BJ41" t="str" cm="1">
        <f t="array" ref="BJ41">_xlfn.IFS(AU41&lt;0,"Separated",AU41&lt;=90,"High Risk",AU41&lt;=180,"Medium Risk",TRUE,"Retained")</f>
        <v>Retained</v>
      </c>
      <c r="BK41" t="str" cm="1">
        <f t="array" ref="BK41">_xlfn.IFS(V41=0,"No Combat",V41=1,"1 Tour",V41=2,"2 Tours",TRUE,"3+ Tours")</f>
        <v>No Combat</v>
      </c>
      <c r="BL41" t="str">
        <f t="shared" si="0"/>
        <v>Standard</v>
      </c>
      <c r="BM41" t="str">
        <f t="shared" si="1"/>
        <v>Not Ready</v>
      </c>
      <c r="BN41" s="3">
        <f t="shared" si="2"/>
        <v>0.14043852345267832</v>
      </c>
      <c r="BO41">
        <f t="shared" si="3"/>
        <v>556.4</v>
      </c>
    </row>
    <row r="42" spans="1:67" x14ac:dyDescent="0.25">
      <c r="A42" t="s">
        <v>312</v>
      </c>
      <c r="B42" t="s">
        <v>245</v>
      </c>
      <c r="C42" t="s">
        <v>313</v>
      </c>
      <c r="D42" t="s">
        <v>122</v>
      </c>
      <c r="E42">
        <v>28</v>
      </c>
      <c r="F42" t="s">
        <v>123</v>
      </c>
      <c r="G42" t="s">
        <v>234</v>
      </c>
      <c r="H42" t="s">
        <v>235</v>
      </c>
      <c r="I42" t="s">
        <v>225</v>
      </c>
      <c r="J42" t="s">
        <v>226</v>
      </c>
      <c r="K42" t="s">
        <v>105</v>
      </c>
      <c r="L42" t="s">
        <v>106</v>
      </c>
      <c r="M42" t="s">
        <v>59</v>
      </c>
      <c r="N42" t="s">
        <v>88</v>
      </c>
      <c r="O42" t="s">
        <v>89</v>
      </c>
      <c r="P42" s="1">
        <v>39830</v>
      </c>
      <c r="Q42">
        <v>15.4</v>
      </c>
      <c r="R42" t="s">
        <v>129</v>
      </c>
      <c r="S42" t="s">
        <v>110</v>
      </c>
      <c r="T42" t="s">
        <v>111</v>
      </c>
      <c r="U42">
        <v>9</v>
      </c>
      <c r="V42">
        <v>1</v>
      </c>
      <c r="W42" s="2">
        <v>1917</v>
      </c>
      <c r="X42" s="2">
        <v>1495</v>
      </c>
      <c r="Y42" s="2">
        <v>422</v>
      </c>
      <c r="Z42" s="2">
        <v>3834</v>
      </c>
      <c r="AA42">
        <v>579</v>
      </c>
      <c r="AB42" t="s">
        <v>65</v>
      </c>
      <c r="AC42">
        <v>12.6</v>
      </c>
      <c r="AD42">
        <v>75</v>
      </c>
      <c r="AE42">
        <v>39</v>
      </c>
      <c r="AF42" t="s">
        <v>132</v>
      </c>
      <c r="AG42">
        <v>18</v>
      </c>
      <c r="AH42" t="s">
        <v>113</v>
      </c>
      <c r="AI42" t="s">
        <v>68</v>
      </c>
      <c r="AJ42" t="s">
        <v>188</v>
      </c>
      <c r="AK42" t="s">
        <v>70</v>
      </c>
      <c r="AL42" t="s">
        <v>70</v>
      </c>
      <c r="AM42" t="s">
        <v>70</v>
      </c>
      <c r="AN42" t="s">
        <v>115</v>
      </c>
      <c r="AO42" t="s">
        <v>178</v>
      </c>
      <c r="AP42" t="s">
        <v>135</v>
      </c>
      <c r="AQ42" t="s">
        <v>136</v>
      </c>
      <c r="AR42" s="1">
        <v>44698</v>
      </c>
      <c r="AS42" t="s">
        <v>75</v>
      </c>
      <c r="AT42" t="s">
        <v>71</v>
      </c>
      <c r="AU42">
        <v>-153</v>
      </c>
      <c r="AV42" t="s">
        <v>179</v>
      </c>
      <c r="AW42" s="3">
        <v>46008</v>
      </c>
      <c r="AX42" t="s">
        <v>798</v>
      </c>
      <c r="AY42" t="s">
        <v>799</v>
      </c>
      <c r="AZ42" t="s">
        <v>810</v>
      </c>
      <c r="BA42" t="s">
        <v>807</v>
      </c>
      <c r="BB42" t="s">
        <v>801</v>
      </c>
      <c r="BC42" t="s">
        <v>802</v>
      </c>
      <c r="BD42" s="3">
        <v>0.15101721439749607</v>
      </c>
      <c r="BE42">
        <v>615.4</v>
      </c>
      <c r="BG42" s="2">
        <f>Z42*12</f>
        <v>46008</v>
      </c>
      <c r="BH42" t="str" cm="1">
        <f t="array" ref="BH42">_xlfn.IFS(Q42&lt;5,"0-5 Years",Q42&lt;10,"5-10 Years",Q42&lt;15,"10-15 Years",TRUE,"15+ Years")</f>
        <v>15+ Years</v>
      </c>
      <c r="BI42" t="str" cm="1">
        <f t="array" ref="BI42">_xlfn.IFS(AA42&gt;=540,"A",AA42&gt;=480,"B",AA42&gt;=420,"C",AA42&gt;=360,"D",TRUE,"F")</f>
        <v>A</v>
      </c>
      <c r="BJ42" t="str" cm="1">
        <f t="array" ref="BJ42">_xlfn.IFS(AU42&lt;0,"Separated",AU42&lt;=90,"High Risk",AU42&lt;=180,"Medium Risk",TRUE,"Retained")</f>
        <v>Separated</v>
      </c>
      <c r="BK42" t="str" cm="1">
        <f t="array" ref="BK42">_xlfn.IFS(V42=0,"No Combat",V42=1,"1 Tour",V42=2,"2 Tours",TRUE,"3+ Tours")</f>
        <v>1 Tour</v>
      </c>
      <c r="BL42" t="str">
        <f t="shared" si="0"/>
        <v>Standard</v>
      </c>
      <c r="BM42" t="str">
        <f t="shared" si="1"/>
        <v>Not Ready</v>
      </c>
      <c r="BN42" s="3">
        <f t="shared" si="2"/>
        <v>0.15101721439749607</v>
      </c>
      <c r="BO42">
        <f t="shared" si="3"/>
        <v>615.4</v>
      </c>
    </row>
    <row r="43" spans="1:67" x14ac:dyDescent="0.25">
      <c r="A43" t="s">
        <v>314</v>
      </c>
      <c r="B43" t="s">
        <v>181</v>
      </c>
      <c r="C43" t="s">
        <v>233</v>
      </c>
      <c r="D43" t="s">
        <v>51</v>
      </c>
      <c r="E43">
        <v>37</v>
      </c>
      <c r="F43" t="s">
        <v>214</v>
      </c>
      <c r="G43" t="s">
        <v>298</v>
      </c>
      <c r="H43" t="s">
        <v>299</v>
      </c>
      <c r="I43" t="s">
        <v>158</v>
      </c>
      <c r="J43" t="s">
        <v>159</v>
      </c>
      <c r="K43" t="s">
        <v>160</v>
      </c>
      <c r="L43" t="s">
        <v>174</v>
      </c>
      <c r="M43" t="s">
        <v>207</v>
      </c>
      <c r="N43" t="s">
        <v>162</v>
      </c>
      <c r="O43" t="s">
        <v>109</v>
      </c>
      <c r="P43" s="1">
        <v>42331</v>
      </c>
      <c r="Q43">
        <v>8.5</v>
      </c>
      <c r="R43" t="s">
        <v>208</v>
      </c>
      <c r="S43" t="s">
        <v>63</v>
      </c>
      <c r="T43" t="s">
        <v>64</v>
      </c>
      <c r="U43">
        <v>0</v>
      </c>
      <c r="V43">
        <v>0</v>
      </c>
      <c r="W43" s="2">
        <v>2149</v>
      </c>
      <c r="X43" s="2">
        <v>1705</v>
      </c>
      <c r="Y43" s="2">
        <v>422</v>
      </c>
      <c r="Z43" s="2">
        <v>4276</v>
      </c>
      <c r="AA43">
        <v>348</v>
      </c>
      <c r="AB43" t="s">
        <v>151</v>
      </c>
      <c r="AC43">
        <v>14.8</v>
      </c>
      <c r="AD43">
        <v>68</v>
      </c>
      <c r="AE43">
        <v>62</v>
      </c>
      <c r="AF43" t="s">
        <v>112</v>
      </c>
      <c r="AG43">
        <v>29</v>
      </c>
      <c r="AH43" t="s">
        <v>113</v>
      </c>
      <c r="AI43" t="s">
        <v>177</v>
      </c>
      <c r="AJ43" t="s">
        <v>96</v>
      </c>
      <c r="AK43" t="s">
        <v>71</v>
      </c>
      <c r="AL43" t="s">
        <v>71</v>
      </c>
      <c r="AM43" t="s">
        <v>70</v>
      </c>
      <c r="AN43" t="s">
        <v>72</v>
      </c>
      <c r="AO43" t="s">
        <v>97</v>
      </c>
      <c r="AP43" t="s">
        <v>72</v>
      </c>
      <c r="AQ43" t="s">
        <v>74</v>
      </c>
      <c r="AR43" s="1">
        <v>42870</v>
      </c>
      <c r="AS43" t="s">
        <v>118</v>
      </c>
      <c r="AT43" t="s">
        <v>71</v>
      </c>
      <c r="AU43">
        <v>62</v>
      </c>
      <c r="AV43" t="s">
        <v>179</v>
      </c>
      <c r="AW43" s="3">
        <v>51312</v>
      </c>
      <c r="AX43" t="s">
        <v>808</v>
      </c>
      <c r="AY43" t="s">
        <v>122</v>
      </c>
      <c r="AZ43" t="s">
        <v>813</v>
      </c>
      <c r="BA43" t="s">
        <v>800</v>
      </c>
      <c r="BB43" t="s">
        <v>801</v>
      </c>
      <c r="BC43" t="s">
        <v>802</v>
      </c>
      <c r="BD43" s="3">
        <v>8.1384471468662303E-2</v>
      </c>
      <c r="BE43">
        <v>426.4</v>
      </c>
      <c r="BG43" s="2">
        <f>Z43*12</f>
        <v>51312</v>
      </c>
      <c r="BH43" t="str" cm="1">
        <f t="array" ref="BH43">_xlfn.IFS(Q43&lt;5,"0-5 Years",Q43&lt;10,"5-10 Years",Q43&lt;15,"10-15 Years",TRUE,"15+ Years")</f>
        <v>5-10 Years</v>
      </c>
      <c r="BI43" t="str" cm="1">
        <f t="array" ref="BI43">_xlfn.IFS(AA43&gt;=540,"A",AA43&gt;=480,"B",AA43&gt;=420,"C",AA43&gt;=360,"D",TRUE,"F")</f>
        <v>F</v>
      </c>
      <c r="BJ43" t="str" cm="1">
        <f t="array" ref="BJ43">_xlfn.IFS(AU43&lt;0,"Separated",AU43&lt;=90,"High Risk",AU43&lt;=180,"Medium Risk",TRUE,"Retained")</f>
        <v>High Risk</v>
      </c>
      <c r="BK43" t="str" cm="1">
        <f t="array" ref="BK43">_xlfn.IFS(V43=0,"No Combat",V43=1,"1 Tour",V43=2,"2 Tours",TRUE,"3+ Tours")</f>
        <v>No Combat</v>
      </c>
      <c r="BL43" t="str">
        <f t="shared" si="0"/>
        <v>Standard</v>
      </c>
      <c r="BM43" t="str">
        <f t="shared" si="1"/>
        <v>Not Ready</v>
      </c>
      <c r="BN43" s="3">
        <f t="shared" si="2"/>
        <v>8.1384471468662303E-2</v>
      </c>
      <c r="BO43">
        <f t="shared" si="3"/>
        <v>426.4</v>
      </c>
    </row>
    <row r="44" spans="1:67" x14ac:dyDescent="0.25">
      <c r="A44" t="s">
        <v>315</v>
      </c>
      <c r="B44" t="s">
        <v>267</v>
      </c>
      <c r="C44" t="s">
        <v>252</v>
      </c>
      <c r="D44" t="s">
        <v>51</v>
      </c>
      <c r="E44">
        <v>30</v>
      </c>
      <c r="F44" t="s">
        <v>316</v>
      </c>
      <c r="G44" t="s">
        <v>81</v>
      </c>
      <c r="H44" t="s">
        <v>82</v>
      </c>
      <c r="I44" t="s">
        <v>268</v>
      </c>
      <c r="J44" t="s">
        <v>269</v>
      </c>
      <c r="K44" t="s">
        <v>173</v>
      </c>
      <c r="L44" t="s">
        <v>126</v>
      </c>
      <c r="M44" t="s">
        <v>59</v>
      </c>
      <c r="N44" t="s">
        <v>162</v>
      </c>
      <c r="O44" t="s">
        <v>149</v>
      </c>
      <c r="P44" s="1">
        <v>39411</v>
      </c>
      <c r="Q44">
        <v>16.5</v>
      </c>
      <c r="R44" t="s">
        <v>208</v>
      </c>
      <c r="S44" t="s">
        <v>91</v>
      </c>
      <c r="T44" t="s">
        <v>92</v>
      </c>
      <c r="U44">
        <v>7</v>
      </c>
      <c r="V44">
        <v>1</v>
      </c>
      <c r="W44" s="2">
        <v>2504</v>
      </c>
      <c r="X44" s="2">
        <v>1824</v>
      </c>
      <c r="Y44" s="2">
        <v>422</v>
      </c>
      <c r="Z44" s="2">
        <v>4750</v>
      </c>
      <c r="AA44">
        <v>311</v>
      </c>
      <c r="AB44" t="s">
        <v>151</v>
      </c>
      <c r="AC44">
        <v>13.1</v>
      </c>
      <c r="AD44">
        <v>75</v>
      </c>
      <c r="AE44">
        <v>77</v>
      </c>
      <c r="AF44" t="s">
        <v>132</v>
      </c>
      <c r="AG44">
        <v>16</v>
      </c>
      <c r="AH44" t="s">
        <v>113</v>
      </c>
      <c r="AI44" t="s">
        <v>68</v>
      </c>
      <c r="AJ44" t="s">
        <v>69</v>
      </c>
      <c r="AK44" t="s">
        <v>70</v>
      </c>
      <c r="AL44" t="s">
        <v>70</v>
      </c>
      <c r="AM44" t="s">
        <v>71</v>
      </c>
      <c r="AN44" t="s">
        <v>115</v>
      </c>
      <c r="AO44" t="s">
        <v>287</v>
      </c>
      <c r="AP44" t="s">
        <v>221</v>
      </c>
      <c r="AQ44" t="s">
        <v>74</v>
      </c>
      <c r="AR44" s="1">
        <v>42852</v>
      </c>
      <c r="AS44" t="s">
        <v>118</v>
      </c>
      <c r="AT44" t="s">
        <v>71</v>
      </c>
      <c r="AU44">
        <v>982</v>
      </c>
      <c r="AV44" t="s">
        <v>76</v>
      </c>
      <c r="AW44" s="3">
        <v>57000</v>
      </c>
      <c r="AX44" t="s">
        <v>798</v>
      </c>
      <c r="AY44" t="s">
        <v>122</v>
      </c>
      <c r="AZ44" t="s">
        <v>76</v>
      </c>
      <c r="BA44" t="s">
        <v>807</v>
      </c>
      <c r="BB44" t="s">
        <v>801</v>
      </c>
      <c r="BC44" t="s">
        <v>802</v>
      </c>
      <c r="BD44" s="3">
        <v>6.5473684210526309E-2</v>
      </c>
      <c r="BE44">
        <v>363.4</v>
      </c>
      <c r="BG44" s="2">
        <f>Z44*12</f>
        <v>57000</v>
      </c>
      <c r="BH44" t="str" cm="1">
        <f t="array" ref="BH44">_xlfn.IFS(Q44&lt;5,"0-5 Years",Q44&lt;10,"5-10 Years",Q44&lt;15,"10-15 Years",TRUE,"15+ Years")</f>
        <v>15+ Years</v>
      </c>
      <c r="BI44" t="str" cm="1">
        <f t="array" ref="BI44">_xlfn.IFS(AA44&gt;=540,"A",AA44&gt;=480,"B",AA44&gt;=420,"C",AA44&gt;=360,"D",TRUE,"F")</f>
        <v>F</v>
      </c>
      <c r="BJ44" t="str" cm="1">
        <f t="array" ref="BJ44">_xlfn.IFS(AU44&lt;0,"Separated",AU44&lt;=90,"High Risk",AU44&lt;=180,"Medium Risk",TRUE,"Retained")</f>
        <v>Retained</v>
      </c>
      <c r="BK44" t="str" cm="1">
        <f t="array" ref="BK44">_xlfn.IFS(V44=0,"No Combat",V44=1,"1 Tour",V44=2,"2 Tours",TRUE,"3+ Tours")</f>
        <v>1 Tour</v>
      </c>
      <c r="BL44" t="str">
        <f t="shared" si="0"/>
        <v>Standard</v>
      </c>
      <c r="BM44" t="str">
        <f t="shared" si="1"/>
        <v>Not Ready</v>
      </c>
      <c r="BN44" s="3">
        <f t="shared" si="2"/>
        <v>6.5473684210526309E-2</v>
      </c>
      <c r="BO44">
        <f t="shared" si="3"/>
        <v>363.4</v>
      </c>
    </row>
    <row r="45" spans="1:67" x14ac:dyDescent="0.25">
      <c r="A45" t="s">
        <v>317</v>
      </c>
      <c r="B45" t="s">
        <v>277</v>
      </c>
      <c r="C45" t="s">
        <v>257</v>
      </c>
      <c r="D45" t="s">
        <v>51</v>
      </c>
      <c r="E45">
        <v>26</v>
      </c>
      <c r="F45" t="s">
        <v>211</v>
      </c>
      <c r="G45" t="s">
        <v>53</v>
      </c>
      <c r="H45" t="s">
        <v>54</v>
      </c>
      <c r="I45" t="s">
        <v>253</v>
      </c>
      <c r="J45" t="s">
        <v>254</v>
      </c>
      <c r="K45" t="s">
        <v>255</v>
      </c>
      <c r="L45" t="s">
        <v>201</v>
      </c>
      <c r="M45" t="s">
        <v>212</v>
      </c>
      <c r="N45" t="s">
        <v>148</v>
      </c>
      <c r="O45" t="s">
        <v>89</v>
      </c>
      <c r="P45" s="1">
        <v>41595</v>
      </c>
      <c r="Q45">
        <v>10.5</v>
      </c>
      <c r="R45" t="s">
        <v>195</v>
      </c>
      <c r="S45" t="s">
        <v>196</v>
      </c>
      <c r="T45" t="s">
        <v>197</v>
      </c>
      <c r="U45">
        <v>0</v>
      </c>
      <c r="V45">
        <v>0</v>
      </c>
      <c r="W45" s="2">
        <v>4739</v>
      </c>
      <c r="X45" s="2">
        <v>1435</v>
      </c>
      <c r="Y45" s="2">
        <v>422</v>
      </c>
      <c r="Z45" s="2">
        <v>6596</v>
      </c>
      <c r="AA45">
        <v>329</v>
      </c>
      <c r="AB45" t="s">
        <v>151</v>
      </c>
      <c r="AC45">
        <v>14.4</v>
      </c>
      <c r="AD45">
        <v>69</v>
      </c>
      <c r="AE45">
        <v>40</v>
      </c>
      <c r="AF45" t="s">
        <v>66</v>
      </c>
      <c r="AG45">
        <v>32</v>
      </c>
      <c r="AH45" t="s">
        <v>67</v>
      </c>
      <c r="AI45" t="s">
        <v>114</v>
      </c>
      <c r="AJ45" t="s">
        <v>188</v>
      </c>
      <c r="AK45" t="s">
        <v>70</v>
      </c>
      <c r="AL45" t="s">
        <v>71</v>
      </c>
      <c r="AM45" t="s">
        <v>70</v>
      </c>
      <c r="AN45" t="s">
        <v>133</v>
      </c>
      <c r="AO45" t="s">
        <v>203</v>
      </c>
      <c r="AP45" t="s">
        <v>72</v>
      </c>
      <c r="AQ45" t="s">
        <v>117</v>
      </c>
      <c r="AR45" s="1">
        <v>41892</v>
      </c>
      <c r="AS45" t="s">
        <v>118</v>
      </c>
      <c r="AT45" t="s">
        <v>71</v>
      </c>
      <c r="AU45">
        <v>225</v>
      </c>
      <c r="AV45" t="s">
        <v>76</v>
      </c>
      <c r="AW45" s="3">
        <v>79152</v>
      </c>
      <c r="AX45" t="s">
        <v>805</v>
      </c>
      <c r="AY45" t="s">
        <v>122</v>
      </c>
      <c r="AZ45" t="s">
        <v>76</v>
      </c>
      <c r="BA45" t="s">
        <v>800</v>
      </c>
      <c r="BB45" t="s">
        <v>801</v>
      </c>
      <c r="BC45" t="s">
        <v>802</v>
      </c>
      <c r="BD45" s="3">
        <v>4.987871437234688E-2</v>
      </c>
      <c r="BE45">
        <v>403.4</v>
      </c>
      <c r="BG45" s="2">
        <f>Z45*12</f>
        <v>79152</v>
      </c>
      <c r="BH45" t="str" cm="1">
        <f t="array" ref="BH45">_xlfn.IFS(Q45&lt;5,"0-5 Years",Q45&lt;10,"5-10 Years",Q45&lt;15,"10-15 Years",TRUE,"15+ Years")</f>
        <v>10-15 Years</v>
      </c>
      <c r="BI45" t="str" cm="1">
        <f t="array" ref="BI45">_xlfn.IFS(AA45&gt;=540,"A",AA45&gt;=480,"B",AA45&gt;=420,"C",AA45&gt;=360,"D",TRUE,"F")</f>
        <v>F</v>
      </c>
      <c r="BJ45" t="str" cm="1">
        <f t="array" ref="BJ45">_xlfn.IFS(AU45&lt;0,"Separated",AU45&lt;=90,"High Risk",AU45&lt;=180,"Medium Risk",TRUE,"Retained")</f>
        <v>Retained</v>
      </c>
      <c r="BK45" t="str" cm="1">
        <f t="array" ref="BK45">_xlfn.IFS(V45=0,"No Combat",V45=1,"1 Tour",V45=2,"2 Tours",TRUE,"3+ Tours")</f>
        <v>No Combat</v>
      </c>
      <c r="BL45" t="str">
        <f t="shared" si="0"/>
        <v>Standard</v>
      </c>
      <c r="BM45" t="str">
        <f t="shared" si="1"/>
        <v>Not Ready</v>
      </c>
      <c r="BN45" s="3">
        <f t="shared" si="2"/>
        <v>4.987871437234688E-2</v>
      </c>
      <c r="BO45">
        <f t="shared" si="3"/>
        <v>403.4</v>
      </c>
    </row>
    <row r="46" spans="1:67" x14ac:dyDescent="0.25">
      <c r="A46" t="s">
        <v>318</v>
      </c>
      <c r="B46" t="s">
        <v>251</v>
      </c>
      <c r="C46" t="s">
        <v>230</v>
      </c>
      <c r="D46" t="s">
        <v>122</v>
      </c>
      <c r="E46">
        <v>29</v>
      </c>
      <c r="F46" t="s">
        <v>224</v>
      </c>
      <c r="G46" t="s">
        <v>279</v>
      </c>
      <c r="H46" t="s">
        <v>280</v>
      </c>
      <c r="I46" t="s">
        <v>158</v>
      </c>
      <c r="J46" t="s">
        <v>159</v>
      </c>
      <c r="K46" t="s">
        <v>160</v>
      </c>
      <c r="L46" t="s">
        <v>201</v>
      </c>
      <c r="M46" t="s">
        <v>175</v>
      </c>
      <c r="N46" t="s">
        <v>265</v>
      </c>
      <c r="O46" t="s">
        <v>61</v>
      </c>
      <c r="P46" s="1">
        <v>41000</v>
      </c>
      <c r="Q46">
        <v>12.2</v>
      </c>
      <c r="R46" t="s">
        <v>195</v>
      </c>
      <c r="S46" t="s">
        <v>196</v>
      </c>
      <c r="T46" t="s">
        <v>197</v>
      </c>
      <c r="U46">
        <v>0</v>
      </c>
      <c r="V46">
        <v>0</v>
      </c>
      <c r="W46" s="2">
        <v>6618</v>
      </c>
      <c r="X46" s="2">
        <v>2084</v>
      </c>
      <c r="Y46" s="2">
        <v>266</v>
      </c>
      <c r="Z46" s="2">
        <v>8968</v>
      </c>
      <c r="AA46">
        <v>516</v>
      </c>
      <c r="AB46" t="s">
        <v>65</v>
      </c>
      <c r="AC46">
        <v>13.8</v>
      </c>
      <c r="AD46">
        <v>24</v>
      </c>
      <c r="AE46">
        <v>60</v>
      </c>
      <c r="AF46" t="s">
        <v>112</v>
      </c>
      <c r="AG46">
        <v>24</v>
      </c>
      <c r="AH46" t="s">
        <v>113</v>
      </c>
      <c r="AI46" t="s">
        <v>177</v>
      </c>
      <c r="AJ46" t="s">
        <v>69</v>
      </c>
      <c r="AK46" t="s">
        <v>70</v>
      </c>
      <c r="AL46" t="s">
        <v>71</v>
      </c>
      <c r="AM46" t="s">
        <v>71</v>
      </c>
      <c r="AN46" t="s">
        <v>115</v>
      </c>
      <c r="AO46" t="s">
        <v>116</v>
      </c>
      <c r="AP46" t="s">
        <v>72</v>
      </c>
      <c r="AQ46" t="s">
        <v>136</v>
      </c>
      <c r="AR46" s="1">
        <v>44058</v>
      </c>
      <c r="AS46" t="s">
        <v>137</v>
      </c>
      <c r="AT46" t="s">
        <v>71</v>
      </c>
      <c r="AU46">
        <v>1395</v>
      </c>
      <c r="AV46" t="s">
        <v>76</v>
      </c>
      <c r="AW46" s="3">
        <v>107616</v>
      </c>
      <c r="AX46" t="s">
        <v>805</v>
      </c>
      <c r="AY46" t="s">
        <v>806</v>
      </c>
      <c r="AZ46" t="s">
        <v>76</v>
      </c>
      <c r="BA46" t="s">
        <v>800</v>
      </c>
      <c r="BB46" t="s">
        <v>801</v>
      </c>
      <c r="BC46" t="s">
        <v>802</v>
      </c>
      <c r="BD46" s="3">
        <v>5.7537912578055309E-2</v>
      </c>
      <c r="BE46">
        <v>594.4</v>
      </c>
      <c r="BG46" s="2">
        <f>Z46*12</f>
        <v>107616</v>
      </c>
      <c r="BH46" t="str" cm="1">
        <f t="array" ref="BH46">_xlfn.IFS(Q46&lt;5,"0-5 Years",Q46&lt;10,"5-10 Years",Q46&lt;15,"10-15 Years",TRUE,"15+ Years")</f>
        <v>10-15 Years</v>
      </c>
      <c r="BI46" t="str" cm="1">
        <f t="array" ref="BI46">_xlfn.IFS(AA46&gt;=540,"A",AA46&gt;=480,"B",AA46&gt;=420,"C",AA46&gt;=360,"D",TRUE,"F")</f>
        <v>B</v>
      </c>
      <c r="BJ46" t="str" cm="1">
        <f t="array" ref="BJ46">_xlfn.IFS(AU46&lt;0,"Separated",AU46&lt;=90,"High Risk",AU46&lt;=180,"Medium Risk",TRUE,"Retained")</f>
        <v>Retained</v>
      </c>
      <c r="BK46" t="str" cm="1">
        <f t="array" ref="BK46">_xlfn.IFS(V46=0,"No Combat",V46=1,"1 Tour",V46=2,"2 Tours",TRUE,"3+ Tours")</f>
        <v>No Combat</v>
      </c>
      <c r="BL46" t="str">
        <f t="shared" si="0"/>
        <v>Standard</v>
      </c>
      <c r="BM46" t="str">
        <f t="shared" si="1"/>
        <v>Not Ready</v>
      </c>
      <c r="BN46" s="3">
        <f t="shared" si="2"/>
        <v>5.7537912578055309E-2</v>
      </c>
      <c r="BO46">
        <f t="shared" si="3"/>
        <v>594.4</v>
      </c>
    </row>
    <row r="47" spans="1:67" x14ac:dyDescent="0.25">
      <c r="A47" t="s">
        <v>319</v>
      </c>
      <c r="B47" t="s">
        <v>251</v>
      </c>
      <c r="C47" t="s">
        <v>200</v>
      </c>
      <c r="D47" t="s">
        <v>51</v>
      </c>
      <c r="E47">
        <v>39</v>
      </c>
      <c r="F47" t="s">
        <v>305</v>
      </c>
      <c r="G47" t="s">
        <v>169</v>
      </c>
      <c r="H47" t="s">
        <v>170</v>
      </c>
      <c r="I47" t="s">
        <v>83</v>
      </c>
      <c r="J47" t="s">
        <v>84</v>
      </c>
      <c r="K47" t="s">
        <v>85</v>
      </c>
      <c r="L47" t="s">
        <v>201</v>
      </c>
      <c r="M47" t="s">
        <v>249</v>
      </c>
      <c r="N47" t="s">
        <v>148</v>
      </c>
      <c r="O47" t="s">
        <v>149</v>
      </c>
      <c r="P47" s="1">
        <v>38859</v>
      </c>
      <c r="Q47">
        <v>18</v>
      </c>
      <c r="R47" t="s">
        <v>195</v>
      </c>
      <c r="S47" t="s">
        <v>91</v>
      </c>
      <c r="T47" t="s">
        <v>92</v>
      </c>
      <c r="U47">
        <v>3</v>
      </c>
      <c r="V47">
        <v>0</v>
      </c>
      <c r="W47" s="2">
        <v>3294</v>
      </c>
      <c r="X47" s="2">
        <v>0</v>
      </c>
      <c r="Y47" s="2">
        <v>422</v>
      </c>
      <c r="Z47" s="2">
        <v>3716</v>
      </c>
      <c r="AA47">
        <v>416</v>
      </c>
      <c r="AB47" t="s">
        <v>65</v>
      </c>
      <c r="AC47">
        <v>16.8</v>
      </c>
      <c r="AD47">
        <v>31</v>
      </c>
      <c r="AE47">
        <v>32</v>
      </c>
      <c r="AF47" t="s">
        <v>132</v>
      </c>
      <c r="AG47">
        <v>30</v>
      </c>
      <c r="AH47" t="s">
        <v>67</v>
      </c>
      <c r="AI47" t="s">
        <v>177</v>
      </c>
      <c r="AJ47" t="s">
        <v>96</v>
      </c>
      <c r="AK47" t="s">
        <v>70</v>
      </c>
      <c r="AL47" t="s">
        <v>70</v>
      </c>
      <c r="AM47" t="s">
        <v>70</v>
      </c>
      <c r="AN47" t="s">
        <v>72</v>
      </c>
      <c r="AO47" t="s">
        <v>203</v>
      </c>
      <c r="AP47" t="s">
        <v>178</v>
      </c>
      <c r="AQ47" t="s">
        <v>117</v>
      </c>
      <c r="AR47" s="1">
        <v>39492</v>
      </c>
      <c r="AS47" t="s">
        <v>75</v>
      </c>
      <c r="AT47" t="s">
        <v>71</v>
      </c>
      <c r="AU47">
        <v>1785</v>
      </c>
      <c r="AV47" t="s">
        <v>76</v>
      </c>
      <c r="AW47" s="3">
        <v>44592</v>
      </c>
      <c r="AX47" t="s">
        <v>798</v>
      </c>
      <c r="AY47" t="s">
        <v>809</v>
      </c>
      <c r="AZ47" t="s">
        <v>76</v>
      </c>
      <c r="BA47" t="s">
        <v>800</v>
      </c>
      <c r="BB47" t="s">
        <v>801</v>
      </c>
      <c r="BC47" t="s">
        <v>802</v>
      </c>
      <c r="BD47" s="3">
        <v>0.11194833153928956</v>
      </c>
      <c r="BE47">
        <v>476.4</v>
      </c>
      <c r="BG47" s="2">
        <f>Z47*12</f>
        <v>44592</v>
      </c>
      <c r="BH47" t="str" cm="1">
        <f t="array" ref="BH47">_xlfn.IFS(Q47&lt;5,"0-5 Years",Q47&lt;10,"5-10 Years",Q47&lt;15,"10-15 Years",TRUE,"15+ Years")</f>
        <v>15+ Years</v>
      </c>
      <c r="BI47" t="str" cm="1">
        <f t="array" ref="BI47">_xlfn.IFS(AA47&gt;=540,"A",AA47&gt;=480,"B",AA47&gt;=420,"C",AA47&gt;=360,"D",TRUE,"F")</f>
        <v>D</v>
      </c>
      <c r="BJ47" t="str" cm="1">
        <f t="array" ref="BJ47">_xlfn.IFS(AU47&lt;0,"Separated",AU47&lt;=90,"High Risk",AU47&lt;=180,"Medium Risk",TRUE,"Retained")</f>
        <v>Retained</v>
      </c>
      <c r="BK47" t="str" cm="1">
        <f t="array" ref="BK47">_xlfn.IFS(V47=0,"No Combat",V47=1,"1 Tour",V47=2,"2 Tours",TRUE,"3+ Tours")</f>
        <v>No Combat</v>
      </c>
      <c r="BL47" t="str">
        <f t="shared" si="0"/>
        <v>Standard</v>
      </c>
      <c r="BM47" t="str">
        <f t="shared" si="1"/>
        <v>Not Ready</v>
      </c>
      <c r="BN47" s="3">
        <f t="shared" si="2"/>
        <v>0.11194833153928956</v>
      </c>
      <c r="BO47">
        <f t="shared" si="3"/>
        <v>476.4</v>
      </c>
    </row>
    <row r="48" spans="1:67" x14ac:dyDescent="0.25">
      <c r="A48" t="s">
        <v>320</v>
      </c>
      <c r="B48" t="s">
        <v>49</v>
      </c>
      <c r="C48" t="s">
        <v>206</v>
      </c>
      <c r="D48" t="s">
        <v>122</v>
      </c>
      <c r="E48">
        <v>27</v>
      </c>
      <c r="F48" t="s">
        <v>123</v>
      </c>
      <c r="G48" t="s">
        <v>124</v>
      </c>
      <c r="H48" t="s">
        <v>125</v>
      </c>
      <c r="I48" t="s">
        <v>83</v>
      </c>
      <c r="J48" t="s">
        <v>84</v>
      </c>
      <c r="K48" t="s">
        <v>85</v>
      </c>
      <c r="L48" t="s">
        <v>174</v>
      </c>
      <c r="M48" t="s">
        <v>87</v>
      </c>
      <c r="N48" t="s">
        <v>265</v>
      </c>
      <c r="O48" t="s">
        <v>149</v>
      </c>
      <c r="P48" s="1">
        <v>41218</v>
      </c>
      <c r="Q48">
        <v>11.6</v>
      </c>
      <c r="R48" t="s">
        <v>129</v>
      </c>
      <c r="S48" t="s">
        <v>110</v>
      </c>
      <c r="T48" t="s">
        <v>111</v>
      </c>
      <c r="U48">
        <v>12</v>
      </c>
      <c r="V48">
        <v>2</v>
      </c>
      <c r="W48" s="2">
        <v>2730</v>
      </c>
      <c r="X48" s="2">
        <v>0</v>
      </c>
      <c r="Y48" s="2">
        <v>422</v>
      </c>
      <c r="Z48" s="2">
        <v>3152</v>
      </c>
      <c r="AA48">
        <v>458</v>
      </c>
      <c r="AB48" t="s">
        <v>65</v>
      </c>
      <c r="AC48">
        <v>15.1</v>
      </c>
      <c r="AD48">
        <v>44</v>
      </c>
      <c r="AE48">
        <v>71</v>
      </c>
      <c r="AF48" t="s">
        <v>93</v>
      </c>
      <c r="AG48">
        <v>37</v>
      </c>
      <c r="AH48" t="s">
        <v>94</v>
      </c>
      <c r="AI48" t="s">
        <v>114</v>
      </c>
      <c r="AJ48" t="s">
        <v>69</v>
      </c>
      <c r="AK48" t="s">
        <v>70</v>
      </c>
      <c r="AL48" t="s">
        <v>71</v>
      </c>
      <c r="AM48" t="s">
        <v>70</v>
      </c>
      <c r="AN48" t="s">
        <v>231</v>
      </c>
      <c r="AO48" t="s">
        <v>72</v>
      </c>
      <c r="AP48" t="s">
        <v>72</v>
      </c>
      <c r="AQ48" t="s">
        <v>136</v>
      </c>
      <c r="AR48" s="1">
        <v>42481</v>
      </c>
      <c r="AS48" t="s">
        <v>75</v>
      </c>
      <c r="AT48" t="s">
        <v>71</v>
      </c>
      <c r="AU48">
        <v>427</v>
      </c>
      <c r="AV48" t="s">
        <v>76</v>
      </c>
      <c r="AW48" s="3">
        <v>37824</v>
      </c>
      <c r="AX48" t="s">
        <v>805</v>
      </c>
      <c r="AY48" t="s">
        <v>804</v>
      </c>
      <c r="AZ48" t="s">
        <v>76</v>
      </c>
      <c r="BA48" t="s">
        <v>811</v>
      </c>
      <c r="BB48" t="s">
        <v>801</v>
      </c>
      <c r="BC48" t="s">
        <v>802</v>
      </c>
      <c r="BD48" s="3">
        <v>0.14530456852791879</v>
      </c>
      <c r="BE48">
        <v>542.4</v>
      </c>
      <c r="BG48" s="2">
        <f>Z48*12</f>
        <v>37824</v>
      </c>
      <c r="BH48" t="str" cm="1">
        <f t="array" ref="BH48">_xlfn.IFS(Q48&lt;5,"0-5 Years",Q48&lt;10,"5-10 Years",Q48&lt;15,"10-15 Years",TRUE,"15+ Years")</f>
        <v>10-15 Years</v>
      </c>
      <c r="BI48" t="str" cm="1">
        <f t="array" ref="BI48">_xlfn.IFS(AA48&gt;=540,"A",AA48&gt;=480,"B",AA48&gt;=420,"C",AA48&gt;=360,"D",TRUE,"F")</f>
        <v>C</v>
      </c>
      <c r="BJ48" t="str" cm="1">
        <f t="array" ref="BJ48">_xlfn.IFS(AU48&lt;0,"Separated",AU48&lt;=90,"High Risk",AU48&lt;=180,"Medium Risk",TRUE,"Retained")</f>
        <v>Retained</v>
      </c>
      <c r="BK48" t="str" cm="1">
        <f t="array" ref="BK48">_xlfn.IFS(V48=0,"No Combat",V48=1,"1 Tour",V48=2,"2 Tours",TRUE,"3+ Tours")</f>
        <v>2 Tours</v>
      </c>
      <c r="BL48" t="str">
        <f t="shared" si="0"/>
        <v>Standard</v>
      </c>
      <c r="BM48" t="str">
        <f t="shared" si="1"/>
        <v>Not Ready</v>
      </c>
      <c r="BN48" s="3">
        <f t="shared" si="2"/>
        <v>0.14530456852791879</v>
      </c>
      <c r="BO48">
        <f t="shared" si="3"/>
        <v>542.4</v>
      </c>
    </row>
    <row r="49" spans="1:67" x14ac:dyDescent="0.25">
      <c r="A49" t="s">
        <v>321</v>
      </c>
      <c r="B49" t="s">
        <v>259</v>
      </c>
      <c r="C49" t="s">
        <v>233</v>
      </c>
      <c r="D49" t="s">
        <v>51</v>
      </c>
      <c r="E49">
        <v>39</v>
      </c>
      <c r="F49" t="s">
        <v>322</v>
      </c>
      <c r="G49" t="s">
        <v>142</v>
      </c>
      <c r="H49" t="s">
        <v>143</v>
      </c>
      <c r="I49" t="s">
        <v>144</v>
      </c>
      <c r="J49" t="s">
        <v>145</v>
      </c>
      <c r="K49" t="s">
        <v>146</v>
      </c>
      <c r="L49" t="s">
        <v>174</v>
      </c>
      <c r="M49" t="s">
        <v>147</v>
      </c>
      <c r="N49" t="s">
        <v>128</v>
      </c>
      <c r="O49" t="s">
        <v>61</v>
      </c>
      <c r="P49" s="1">
        <v>44403</v>
      </c>
      <c r="Q49">
        <v>2.9</v>
      </c>
      <c r="R49" t="s">
        <v>129</v>
      </c>
      <c r="S49" t="s">
        <v>63</v>
      </c>
      <c r="T49" t="s">
        <v>64</v>
      </c>
      <c r="U49">
        <v>0</v>
      </c>
      <c r="V49">
        <v>0</v>
      </c>
      <c r="W49" s="2">
        <v>5473</v>
      </c>
      <c r="X49" s="2">
        <v>877</v>
      </c>
      <c r="Y49" s="2">
        <v>422</v>
      </c>
      <c r="Z49" s="2">
        <v>6772</v>
      </c>
      <c r="AA49">
        <v>595</v>
      </c>
      <c r="AB49" t="s">
        <v>65</v>
      </c>
      <c r="AC49">
        <v>19.899999999999999</v>
      </c>
      <c r="AD49">
        <v>59</v>
      </c>
      <c r="AE49">
        <v>38</v>
      </c>
      <c r="AF49" t="s">
        <v>132</v>
      </c>
      <c r="AG49">
        <v>20</v>
      </c>
      <c r="AH49" t="s">
        <v>113</v>
      </c>
      <c r="AI49" t="s">
        <v>95</v>
      </c>
      <c r="AJ49" t="s">
        <v>69</v>
      </c>
      <c r="AK49" t="s">
        <v>71</v>
      </c>
      <c r="AL49" t="s">
        <v>70</v>
      </c>
      <c r="AM49" t="s">
        <v>70</v>
      </c>
      <c r="AN49" t="s">
        <v>231</v>
      </c>
      <c r="AO49" t="s">
        <v>178</v>
      </c>
      <c r="AP49" t="s">
        <v>72</v>
      </c>
      <c r="AQ49" t="s">
        <v>98</v>
      </c>
      <c r="AR49" s="1">
        <v>44676</v>
      </c>
      <c r="AS49" t="s">
        <v>75</v>
      </c>
      <c r="AT49" t="s">
        <v>71</v>
      </c>
      <c r="AU49">
        <v>1687</v>
      </c>
      <c r="AV49" t="s">
        <v>76</v>
      </c>
      <c r="AW49" s="3">
        <v>81264</v>
      </c>
      <c r="AX49" t="s">
        <v>803</v>
      </c>
      <c r="AY49" t="s">
        <v>799</v>
      </c>
      <c r="AZ49" t="s">
        <v>76</v>
      </c>
      <c r="BA49" t="s">
        <v>800</v>
      </c>
      <c r="BB49" t="s">
        <v>801</v>
      </c>
      <c r="BC49" t="s">
        <v>802</v>
      </c>
      <c r="BD49" s="3">
        <v>8.7861783815711761E-2</v>
      </c>
      <c r="BE49">
        <v>645.4</v>
      </c>
      <c r="BG49" s="2">
        <f>Z49*12</f>
        <v>81264</v>
      </c>
      <c r="BH49" t="str" cm="1">
        <f t="array" ref="BH49">_xlfn.IFS(Q49&lt;5,"0-5 Years",Q49&lt;10,"5-10 Years",Q49&lt;15,"10-15 Years",TRUE,"15+ Years")</f>
        <v>0-5 Years</v>
      </c>
      <c r="BI49" t="str" cm="1">
        <f t="array" ref="BI49">_xlfn.IFS(AA49&gt;=540,"A",AA49&gt;=480,"B",AA49&gt;=420,"C",AA49&gt;=360,"D",TRUE,"F")</f>
        <v>A</v>
      </c>
      <c r="BJ49" t="str" cm="1">
        <f t="array" ref="BJ49">_xlfn.IFS(AU49&lt;0,"Separated",AU49&lt;=90,"High Risk",AU49&lt;=180,"Medium Risk",TRUE,"Retained")</f>
        <v>Retained</v>
      </c>
      <c r="BK49" t="str" cm="1">
        <f t="array" ref="BK49">_xlfn.IFS(V49=0,"No Combat",V49=1,"1 Tour",V49=2,"2 Tours",TRUE,"3+ Tours")</f>
        <v>No Combat</v>
      </c>
      <c r="BL49" t="str">
        <f t="shared" si="0"/>
        <v>Standard</v>
      </c>
      <c r="BM49" t="str">
        <f t="shared" si="1"/>
        <v>Not Ready</v>
      </c>
      <c r="BN49" s="3">
        <f t="shared" si="2"/>
        <v>8.7861783815711761E-2</v>
      </c>
      <c r="BO49">
        <f t="shared" si="3"/>
        <v>645.4</v>
      </c>
    </row>
    <row r="50" spans="1:67" x14ac:dyDescent="0.25">
      <c r="A50" t="s">
        <v>323</v>
      </c>
      <c r="B50" t="s">
        <v>308</v>
      </c>
      <c r="C50" t="s">
        <v>252</v>
      </c>
      <c r="D50" t="s">
        <v>51</v>
      </c>
      <c r="E50">
        <v>26</v>
      </c>
      <c r="F50" t="s">
        <v>278</v>
      </c>
      <c r="G50" t="s">
        <v>169</v>
      </c>
      <c r="H50" t="s">
        <v>170</v>
      </c>
      <c r="I50" t="s">
        <v>83</v>
      </c>
      <c r="J50" t="s">
        <v>84</v>
      </c>
      <c r="K50" t="s">
        <v>85</v>
      </c>
      <c r="L50" t="s">
        <v>106</v>
      </c>
      <c r="M50" t="s">
        <v>87</v>
      </c>
      <c r="N50" t="s">
        <v>162</v>
      </c>
      <c r="O50" t="s">
        <v>109</v>
      </c>
      <c r="P50" s="1">
        <v>44656</v>
      </c>
      <c r="Q50">
        <v>2.2000000000000002</v>
      </c>
      <c r="R50" t="s">
        <v>129</v>
      </c>
      <c r="S50" t="s">
        <v>110</v>
      </c>
      <c r="T50" t="s">
        <v>111</v>
      </c>
      <c r="U50">
        <v>12</v>
      </c>
      <c r="V50">
        <v>2</v>
      </c>
      <c r="W50" s="2">
        <v>3294</v>
      </c>
      <c r="X50" s="2">
        <v>1829</v>
      </c>
      <c r="Y50" s="2">
        <v>422</v>
      </c>
      <c r="Z50" s="2">
        <v>5545</v>
      </c>
      <c r="AA50">
        <v>599</v>
      </c>
      <c r="AB50" t="s">
        <v>65</v>
      </c>
      <c r="AC50">
        <v>20.7</v>
      </c>
      <c r="AD50">
        <v>72</v>
      </c>
      <c r="AE50">
        <v>42</v>
      </c>
      <c r="AF50" t="s">
        <v>93</v>
      </c>
      <c r="AG50">
        <v>24</v>
      </c>
      <c r="AH50" t="s">
        <v>113</v>
      </c>
      <c r="AI50" t="s">
        <v>152</v>
      </c>
      <c r="AJ50" t="s">
        <v>72</v>
      </c>
      <c r="AK50" t="s">
        <v>70</v>
      </c>
      <c r="AL50" t="s">
        <v>71</v>
      </c>
      <c r="AM50" t="s">
        <v>70</v>
      </c>
      <c r="AN50" t="s">
        <v>270</v>
      </c>
      <c r="AO50" t="s">
        <v>135</v>
      </c>
      <c r="AP50" t="s">
        <v>221</v>
      </c>
      <c r="AQ50" t="s">
        <v>136</v>
      </c>
      <c r="AR50" s="1">
        <v>45016</v>
      </c>
      <c r="AS50" t="s">
        <v>118</v>
      </c>
      <c r="AT50" t="s">
        <v>71</v>
      </c>
      <c r="AU50">
        <v>1347</v>
      </c>
      <c r="AV50" t="s">
        <v>76</v>
      </c>
      <c r="AW50" s="3">
        <v>66540</v>
      </c>
      <c r="AX50" t="s">
        <v>803</v>
      </c>
      <c r="AY50" t="s">
        <v>799</v>
      </c>
      <c r="AZ50" t="s">
        <v>76</v>
      </c>
      <c r="BA50" t="s">
        <v>811</v>
      </c>
      <c r="BB50" t="s">
        <v>801</v>
      </c>
      <c r="BC50" t="s">
        <v>802</v>
      </c>
      <c r="BD50" s="3">
        <v>0.10802524797114517</v>
      </c>
      <c r="BE50">
        <v>657.4</v>
      </c>
      <c r="BG50" s="2">
        <f>Z50*12</f>
        <v>66540</v>
      </c>
      <c r="BH50" t="str" cm="1">
        <f t="array" ref="BH50">_xlfn.IFS(Q50&lt;5,"0-5 Years",Q50&lt;10,"5-10 Years",Q50&lt;15,"10-15 Years",TRUE,"15+ Years")</f>
        <v>0-5 Years</v>
      </c>
      <c r="BI50" t="str" cm="1">
        <f t="array" ref="BI50">_xlfn.IFS(AA50&gt;=540,"A",AA50&gt;=480,"B",AA50&gt;=420,"C",AA50&gt;=360,"D",TRUE,"F")</f>
        <v>A</v>
      </c>
      <c r="BJ50" t="str" cm="1">
        <f t="array" ref="BJ50">_xlfn.IFS(AU50&lt;0,"Separated",AU50&lt;=90,"High Risk",AU50&lt;=180,"Medium Risk",TRUE,"Retained")</f>
        <v>Retained</v>
      </c>
      <c r="BK50" t="str" cm="1">
        <f t="array" ref="BK50">_xlfn.IFS(V50=0,"No Combat",V50=1,"1 Tour",V50=2,"2 Tours",TRUE,"3+ Tours")</f>
        <v>2 Tours</v>
      </c>
      <c r="BL50" t="str">
        <f t="shared" si="0"/>
        <v>Standard</v>
      </c>
      <c r="BM50" t="str">
        <f t="shared" si="1"/>
        <v>Not Ready</v>
      </c>
      <c r="BN50" s="3">
        <f t="shared" si="2"/>
        <v>0.10802524797114517</v>
      </c>
      <c r="BO50">
        <f t="shared" si="3"/>
        <v>657.4</v>
      </c>
    </row>
    <row r="51" spans="1:67" x14ac:dyDescent="0.25">
      <c r="A51" t="s">
        <v>324</v>
      </c>
      <c r="B51" t="s">
        <v>166</v>
      </c>
      <c r="C51" t="s">
        <v>50</v>
      </c>
      <c r="D51" t="s">
        <v>51</v>
      </c>
      <c r="E51">
        <v>18</v>
      </c>
      <c r="F51" t="s">
        <v>325</v>
      </c>
      <c r="G51" t="s">
        <v>298</v>
      </c>
      <c r="H51" t="s">
        <v>299</v>
      </c>
      <c r="I51" t="s">
        <v>253</v>
      </c>
      <c r="J51" t="s">
        <v>254</v>
      </c>
      <c r="K51" t="s">
        <v>255</v>
      </c>
      <c r="L51" t="s">
        <v>201</v>
      </c>
      <c r="M51" t="s">
        <v>161</v>
      </c>
      <c r="N51" t="s">
        <v>108</v>
      </c>
      <c r="O51" t="s">
        <v>109</v>
      </c>
      <c r="P51" s="1">
        <v>39021</v>
      </c>
      <c r="Q51">
        <v>17.600000000000001</v>
      </c>
      <c r="R51" t="s">
        <v>129</v>
      </c>
      <c r="S51" t="s">
        <v>110</v>
      </c>
      <c r="T51" t="s">
        <v>111</v>
      </c>
      <c r="U51">
        <v>7</v>
      </c>
      <c r="V51">
        <v>1</v>
      </c>
      <c r="W51" s="2">
        <v>2149</v>
      </c>
      <c r="X51" s="2">
        <v>857</v>
      </c>
      <c r="Y51" s="2">
        <v>422</v>
      </c>
      <c r="Z51" s="2">
        <v>3428</v>
      </c>
      <c r="AA51">
        <v>461</v>
      </c>
      <c r="AB51" t="s">
        <v>65</v>
      </c>
      <c r="AC51">
        <v>20.399999999999999</v>
      </c>
      <c r="AD51">
        <v>73</v>
      </c>
      <c r="AE51">
        <v>75</v>
      </c>
      <c r="AF51" t="s">
        <v>93</v>
      </c>
      <c r="AG51">
        <v>20</v>
      </c>
      <c r="AH51" t="s">
        <v>113</v>
      </c>
      <c r="AI51" t="s">
        <v>177</v>
      </c>
      <c r="AJ51" t="s">
        <v>188</v>
      </c>
      <c r="AK51" t="s">
        <v>70</v>
      </c>
      <c r="AL51" t="s">
        <v>70</v>
      </c>
      <c r="AM51" t="s">
        <v>70</v>
      </c>
      <c r="AN51" t="s">
        <v>72</v>
      </c>
      <c r="AO51" t="s">
        <v>135</v>
      </c>
      <c r="AP51" t="s">
        <v>72</v>
      </c>
      <c r="AQ51" t="s">
        <v>74</v>
      </c>
      <c r="AR51" s="1">
        <v>39942</v>
      </c>
      <c r="AS51" t="s">
        <v>75</v>
      </c>
      <c r="AT51" t="s">
        <v>71</v>
      </c>
      <c r="AU51">
        <v>1747</v>
      </c>
      <c r="AV51" t="s">
        <v>76</v>
      </c>
      <c r="AW51" s="3">
        <v>41136</v>
      </c>
      <c r="AX51" t="s">
        <v>798</v>
      </c>
      <c r="AY51" t="s">
        <v>804</v>
      </c>
      <c r="AZ51" t="s">
        <v>76</v>
      </c>
      <c r="BA51" t="s">
        <v>807</v>
      </c>
      <c r="BB51" t="s">
        <v>801</v>
      </c>
      <c r="BC51" t="s">
        <v>802</v>
      </c>
      <c r="BD51" s="3">
        <v>0.13448074679113187</v>
      </c>
      <c r="BE51">
        <v>501.4</v>
      </c>
      <c r="BG51" s="2">
        <f>Z51*12</f>
        <v>41136</v>
      </c>
      <c r="BH51" t="str" cm="1">
        <f t="array" ref="BH51">_xlfn.IFS(Q51&lt;5,"0-5 Years",Q51&lt;10,"5-10 Years",Q51&lt;15,"10-15 Years",TRUE,"15+ Years")</f>
        <v>15+ Years</v>
      </c>
      <c r="BI51" t="str" cm="1">
        <f t="array" ref="BI51">_xlfn.IFS(AA51&gt;=540,"A",AA51&gt;=480,"B",AA51&gt;=420,"C",AA51&gt;=360,"D",TRUE,"F")</f>
        <v>C</v>
      </c>
      <c r="BJ51" t="str" cm="1">
        <f t="array" ref="BJ51">_xlfn.IFS(AU51&lt;0,"Separated",AU51&lt;=90,"High Risk",AU51&lt;=180,"Medium Risk",TRUE,"Retained")</f>
        <v>Retained</v>
      </c>
      <c r="BK51" t="str" cm="1">
        <f t="array" ref="BK51">_xlfn.IFS(V51=0,"No Combat",V51=1,"1 Tour",V51=2,"2 Tours",TRUE,"3+ Tours")</f>
        <v>1 Tour</v>
      </c>
      <c r="BL51" t="str">
        <f t="shared" si="0"/>
        <v>Standard</v>
      </c>
      <c r="BM51" t="str">
        <f t="shared" si="1"/>
        <v>Not Ready</v>
      </c>
      <c r="BN51" s="3">
        <f t="shared" si="2"/>
        <v>0.13448074679113187</v>
      </c>
      <c r="BO51">
        <f t="shared" si="3"/>
        <v>501.4</v>
      </c>
    </row>
    <row r="52" spans="1:67" x14ac:dyDescent="0.25">
      <c r="A52" t="s">
        <v>326</v>
      </c>
      <c r="B52" t="s">
        <v>154</v>
      </c>
      <c r="C52" t="s">
        <v>223</v>
      </c>
      <c r="D52" t="s">
        <v>122</v>
      </c>
      <c r="E52">
        <v>25</v>
      </c>
      <c r="F52" t="s">
        <v>241</v>
      </c>
      <c r="G52" t="s">
        <v>53</v>
      </c>
      <c r="H52" t="s">
        <v>54</v>
      </c>
      <c r="I52" t="s">
        <v>217</v>
      </c>
      <c r="J52" t="s">
        <v>218</v>
      </c>
      <c r="K52" t="s">
        <v>146</v>
      </c>
      <c r="L52" t="s">
        <v>174</v>
      </c>
      <c r="M52" t="s">
        <v>296</v>
      </c>
      <c r="N52" t="s">
        <v>108</v>
      </c>
      <c r="O52" t="s">
        <v>109</v>
      </c>
      <c r="P52" s="1">
        <v>43587</v>
      </c>
      <c r="Q52">
        <v>5.0999999999999996</v>
      </c>
      <c r="R52" t="s">
        <v>195</v>
      </c>
      <c r="S52" t="s">
        <v>196</v>
      </c>
      <c r="T52" t="s">
        <v>197</v>
      </c>
      <c r="U52">
        <v>0</v>
      </c>
      <c r="V52">
        <v>0</v>
      </c>
      <c r="W52" s="2">
        <v>4739</v>
      </c>
      <c r="X52" s="2">
        <v>2075</v>
      </c>
      <c r="Y52" s="2">
        <v>422</v>
      </c>
      <c r="Z52" s="2">
        <v>7236</v>
      </c>
      <c r="AA52">
        <v>595</v>
      </c>
      <c r="AB52" t="s">
        <v>65</v>
      </c>
      <c r="AC52">
        <v>13</v>
      </c>
      <c r="AD52">
        <v>73</v>
      </c>
      <c r="AE52">
        <v>61</v>
      </c>
      <c r="AF52" t="s">
        <v>66</v>
      </c>
      <c r="AG52">
        <v>36</v>
      </c>
      <c r="AH52" t="s">
        <v>94</v>
      </c>
      <c r="AI52" t="s">
        <v>95</v>
      </c>
      <c r="AJ52" t="s">
        <v>69</v>
      </c>
      <c r="AK52" t="s">
        <v>71</v>
      </c>
      <c r="AL52" t="s">
        <v>70</v>
      </c>
      <c r="AM52" t="s">
        <v>70</v>
      </c>
      <c r="AN52" t="s">
        <v>270</v>
      </c>
      <c r="AO52" t="s">
        <v>203</v>
      </c>
      <c r="AP52" t="s">
        <v>72</v>
      </c>
      <c r="AQ52" t="s">
        <v>98</v>
      </c>
      <c r="AR52" s="1">
        <v>45610</v>
      </c>
      <c r="AS52" t="s">
        <v>118</v>
      </c>
      <c r="AT52" t="s">
        <v>71</v>
      </c>
      <c r="AU52">
        <v>977</v>
      </c>
      <c r="AV52" t="s">
        <v>76</v>
      </c>
      <c r="AW52" s="3">
        <v>86832</v>
      </c>
      <c r="AX52" t="s">
        <v>808</v>
      </c>
      <c r="AY52" t="s">
        <v>799</v>
      </c>
      <c r="AZ52" t="s">
        <v>76</v>
      </c>
      <c r="BA52" t="s">
        <v>800</v>
      </c>
      <c r="BB52" t="s">
        <v>801</v>
      </c>
      <c r="BC52" t="s">
        <v>802</v>
      </c>
      <c r="BD52" s="3">
        <v>8.22277501381979E-2</v>
      </c>
      <c r="BE52">
        <v>677.4</v>
      </c>
      <c r="BG52" s="2">
        <f>Z52*12</f>
        <v>86832</v>
      </c>
      <c r="BH52" t="str" cm="1">
        <f t="array" ref="BH52">_xlfn.IFS(Q52&lt;5,"0-5 Years",Q52&lt;10,"5-10 Years",Q52&lt;15,"10-15 Years",TRUE,"15+ Years")</f>
        <v>5-10 Years</v>
      </c>
      <c r="BI52" t="str" cm="1">
        <f t="array" ref="BI52">_xlfn.IFS(AA52&gt;=540,"A",AA52&gt;=480,"B",AA52&gt;=420,"C",AA52&gt;=360,"D",TRUE,"F")</f>
        <v>A</v>
      </c>
      <c r="BJ52" t="str" cm="1">
        <f t="array" ref="BJ52">_xlfn.IFS(AU52&lt;0,"Separated",AU52&lt;=90,"High Risk",AU52&lt;=180,"Medium Risk",TRUE,"Retained")</f>
        <v>Retained</v>
      </c>
      <c r="BK52" t="str" cm="1">
        <f t="array" ref="BK52">_xlfn.IFS(V52=0,"No Combat",V52=1,"1 Tour",V52=2,"2 Tours",TRUE,"3+ Tours")</f>
        <v>No Combat</v>
      </c>
      <c r="BL52" t="str">
        <f t="shared" si="0"/>
        <v>Standard</v>
      </c>
      <c r="BM52" t="str">
        <f t="shared" si="1"/>
        <v>Not Ready</v>
      </c>
      <c r="BN52" s="3">
        <f t="shared" si="2"/>
        <v>8.22277501381979E-2</v>
      </c>
      <c r="BO52">
        <f t="shared" si="3"/>
        <v>677.4</v>
      </c>
    </row>
    <row r="53" spans="1:67" x14ac:dyDescent="0.25">
      <c r="A53" t="s">
        <v>327</v>
      </c>
      <c r="B53" t="s">
        <v>78</v>
      </c>
      <c r="C53" t="s">
        <v>50</v>
      </c>
      <c r="D53" t="s">
        <v>51</v>
      </c>
      <c r="E53">
        <v>38</v>
      </c>
      <c r="F53" t="s">
        <v>123</v>
      </c>
      <c r="G53" t="s">
        <v>285</v>
      </c>
      <c r="H53" t="s">
        <v>286</v>
      </c>
      <c r="I53" t="s">
        <v>268</v>
      </c>
      <c r="J53" t="s">
        <v>269</v>
      </c>
      <c r="K53" t="s">
        <v>173</v>
      </c>
      <c r="L53" t="s">
        <v>106</v>
      </c>
      <c r="M53" t="s">
        <v>212</v>
      </c>
      <c r="N53" t="s">
        <v>88</v>
      </c>
      <c r="O53" t="s">
        <v>176</v>
      </c>
      <c r="P53" s="1">
        <v>44475</v>
      </c>
      <c r="Q53">
        <v>2.7</v>
      </c>
      <c r="R53" t="s">
        <v>90</v>
      </c>
      <c r="S53" t="s">
        <v>163</v>
      </c>
      <c r="T53" t="s">
        <v>164</v>
      </c>
      <c r="U53">
        <v>11</v>
      </c>
      <c r="V53">
        <v>1</v>
      </c>
      <c r="W53" s="2">
        <v>7668</v>
      </c>
      <c r="X53" s="2">
        <v>938</v>
      </c>
      <c r="Y53" s="2">
        <v>266</v>
      </c>
      <c r="Z53" s="2">
        <v>8872</v>
      </c>
      <c r="AA53">
        <v>343</v>
      </c>
      <c r="AB53" t="s">
        <v>151</v>
      </c>
      <c r="AC53">
        <v>14.5</v>
      </c>
      <c r="AD53">
        <v>62</v>
      </c>
      <c r="AE53">
        <v>70</v>
      </c>
      <c r="AF53" t="s">
        <v>112</v>
      </c>
      <c r="AG53">
        <v>20</v>
      </c>
      <c r="AH53" t="s">
        <v>113</v>
      </c>
      <c r="AI53" t="s">
        <v>114</v>
      </c>
      <c r="AJ53" t="s">
        <v>188</v>
      </c>
      <c r="AK53" t="s">
        <v>70</v>
      </c>
      <c r="AL53" t="s">
        <v>70</v>
      </c>
      <c r="AM53" t="s">
        <v>70</v>
      </c>
      <c r="AN53" t="s">
        <v>231</v>
      </c>
      <c r="AO53" t="s">
        <v>135</v>
      </c>
      <c r="AP53" t="s">
        <v>72</v>
      </c>
      <c r="AQ53" t="s">
        <v>117</v>
      </c>
      <c r="AR53" s="1">
        <v>44272</v>
      </c>
      <c r="AS53" t="s">
        <v>137</v>
      </c>
      <c r="AT53" t="s">
        <v>71</v>
      </c>
      <c r="AU53">
        <v>701</v>
      </c>
      <c r="AV53" t="s">
        <v>76</v>
      </c>
      <c r="AW53" s="3">
        <v>106464</v>
      </c>
      <c r="AX53" t="s">
        <v>803</v>
      </c>
      <c r="AY53" t="s">
        <v>122</v>
      </c>
      <c r="AZ53" t="s">
        <v>76</v>
      </c>
      <c r="BA53" t="s">
        <v>807</v>
      </c>
      <c r="BB53" t="s">
        <v>801</v>
      </c>
      <c r="BC53" t="s">
        <v>802</v>
      </c>
      <c r="BD53" s="3">
        <v>3.8660955816050495E-2</v>
      </c>
      <c r="BE53">
        <v>383.4</v>
      </c>
      <c r="BG53" s="2">
        <f>Z53*12</f>
        <v>106464</v>
      </c>
      <c r="BH53" t="str" cm="1">
        <f t="array" ref="BH53">_xlfn.IFS(Q53&lt;5,"0-5 Years",Q53&lt;10,"5-10 Years",Q53&lt;15,"10-15 Years",TRUE,"15+ Years")</f>
        <v>0-5 Years</v>
      </c>
      <c r="BI53" t="str" cm="1">
        <f t="array" ref="BI53">_xlfn.IFS(AA53&gt;=540,"A",AA53&gt;=480,"B",AA53&gt;=420,"C",AA53&gt;=360,"D",TRUE,"F")</f>
        <v>F</v>
      </c>
      <c r="BJ53" t="str" cm="1">
        <f t="array" ref="BJ53">_xlfn.IFS(AU53&lt;0,"Separated",AU53&lt;=90,"High Risk",AU53&lt;=180,"Medium Risk",TRUE,"Retained")</f>
        <v>Retained</v>
      </c>
      <c r="BK53" t="str" cm="1">
        <f t="array" ref="BK53">_xlfn.IFS(V53=0,"No Combat",V53=1,"1 Tour",V53=2,"2 Tours",TRUE,"3+ Tours")</f>
        <v>1 Tour</v>
      </c>
      <c r="BL53" t="str">
        <f t="shared" si="0"/>
        <v>Standard</v>
      </c>
      <c r="BM53" t="str">
        <f t="shared" si="1"/>
        <v>Not Ready</v>
      </c>
      <c r="BN53" s="3">
        <f t="shared" si="2"/>
        <v>3.8660955816050495E-2</v>
      </c>
      <c r="BO53">
        <f t="shared" si="3"/>
        <v>383.4</v>
      </c>
    </row>
    <row r="54" spans="1:67" x14ac:dyDescent="0.25">
      <c r="A54" t="s">
        <v>328</v>
      </c>
      <c r="B54" t="s">
        <v>263</v>
      </c>
      <c r="C54" t="s">
        <v>191</v>
      </c>
      <c r="D54" t="s">
        <v>51</v>
      </c>
      <c r="E54">
        <v>33</v>
      </c>
      <c r="F54" t="s">
        <v>141</v>
      </c>
      <c r="G54" t="s">
        <v>298</v>
      </c>
      <c r="H54" t="s">
        <v>299</v>
      </c>
      <c r="I54" t="s">
        <v>83</v>
      </c>
      <c r="J54" t="s">
        <v>84</v>
      </c>
      <c r="K54" t="s">
        <v>85</v>
      </c>
      <c r="L54" t="s">
        <v>86</v>
      </c>
      <c r="M54" t="s">
        <v>147</v>
      </c>
      <c r="N54" t="s">
        <v>162</v>
      </c>
      <c r="O54" t="s">
        <v>61</v>
      </c>
      <c r="P54" s="1">
        <v>42231</v>
      </c>
      <c r="Q54">
        <v>8.8000000000000007</v>
      </c>
      <c r="R54" t="s">
        <v>129</v>
      </c>
      <c r="S54" t="s">
        <v>110</v>
      </c>
      <c r="T54" t="s">
        <v>111</v>
      </c>
      <c r="U54">
        <v>1</v>
      </c>
      <c r="V54">
        <v>0</v>
      </c>
      <c r="W54" s="2">
        <v>2149</v>
      </c>
      <c r="X54" s="2">
        <v>0</v>
      </c>
      <c r="Y54" s="2">
        <v>422</v>
      </c>
      <c r="Z54" s="2">
        <v>2571</v>
      </c>
      <c r="AA54">
        <v>314</v>
      </c>
      <c r="AB54" t="s">
        <v>151</v>
      </c>
      <c r="AC54">
        <v>14.9</v>
      </c>
      <c r="AD54">
        <v>75</v>
      </c>
      <c r="AE54">
        <v>79</v>
      </c>
      <c r="AF54" t="s">
        <v>112</v>
      </c>
      <c r="AG54">
        <v>24</v>
      </c>
      <c r="AH54" t="s">
        <v>113</v>
      </c>
      <c r="AI54" t="s">
        <v>68</v>
      </c>
      <c r="AJ54" t="s">
        <v>69</v>
      </c>
      <c r="AK54" t="s">
        <v>70</v>
      </c>
      <c r="AL54" t="s">
        <v>70</v>
      </c>
      <c r="AM54" t="s">
        <v>70</v>
      </c>
      <c r="AN54" t="s">
        <v>133</v>
      </c>
      <c r="AO54" t="s">
        <v>97</v>
      </c>
      <c r="AP54" t="s">
        <v>227</v>
      </c>
      <c r="AQ54" t="s">
        <v>74</v>
      </c>
      <c r="AR54" s="1">
        <v>43743</v>
      </c>
      <c r="AS54" t="s">
        <v>75</v>
      </c>
      <c r="AT54" t="s">
        <v>71</v>
      </c>
      <c r="AU54">
        <v>-177</v>
      </c>
      <c r="AV54" t="s">
        <v>179</v>
      </c>
      <c r="AW54" s="3">
        <v>30852</v>
      </c>
      <c r="AX54" t="s">
        <v>808</v>
      </c>
      <c r="AY54" t="s">
        <v>122</v>
      </c>
      <c r="AZ54" t="s">
        <v>810</v>
      </c>
      <c r="BA54" t="s">
        <v>800</v>
      </c>
      <c r="BB54" t="s">
        <v>801</v>
      </c>
      <c r="BC54" t="s">
        <v>802</v>
      </c>
      <c r="BD54" s="3">
        <v>0.12213146635550369</v>
      </c>
      <c r="BE54">
        <v>362.4</v>
      </c>
      <c r="BG54" s="2">
        <f>Z54*12</f>
        <v>30852</v>
      </c>
      <c r="BH54" t="str" cm="1">
        <f t="array" ref="BH54">_xlfn.IFS(Q54&lt;5,"0-5 Years",Q54&lt;10,"5-10 Years",Q54&lt;15,"10-15 Years",TRUE,"15+ Years")</f>
        <v>5-10 Years</v>
      </c>
      <c r="BI54" t="str" cm="1">
        <f t="array" ref="BI54">_xlfn.IFS(AA54&gt;=540,"A",AA54&gt;=480,"B",AA54&gt;=420,"C",AA54&gt;=360,"D",TRUE,"F")</f>
        <v>F</v>
      </c>
      <c r="BJ54" t="str" cm="1">
        <f t="array" ref="BJ54">_xlfn.IFS(AU54&lt;0,"Separated",AU54&lt;=90,"High Risk",AU54&lt;=180,"Medium Risk",TRUE,"Retained")</f>
        <v>Separated</v>
      </c>
      <c r="BK54" t="str" cm="1">
        <f t="array" ref="BK54">_xlfn.IFS(V54=0,"No Combat",V54=1,"1 Tour",V54=2,"2 Tours",TRUE,"3+ Tours")</f>
        <v>No Combat</v>
      </c>
      <c r="BL54" t="str">
        <f t="shared" si="0"/>
        <v>Standard</v>
      </c>
      <c r="BM54" t="str">
        <f t="shared" si="1"/>
        <v>Not Ready</v>
      </c>
      <c r="BN54" s="3">
        <f t="shared" si="2"/>
        <v>0.12213146635550369</v>
      </c>
      <c r="BO54">
        <f t="shared" si="3"/>
        <v>362.4</v>
      </c>
    </row>
    <row r="55" spans="1:67" x14ac:dyDescent="0.25">
      <c r="A55" t="s">
        <v>329</v>
      </c>
      <c r="B55" t="s">
        <v>181</v>
      </c>
      <c r="C55" t="s">
        <v>330</v>
      </c>
      <c r="D55" t="s">
        <v>122</v>
      </c>
      <c r="E55">
        <v>18</v>
      </c>
      <c r="F55" t="s">
        <v>192</v>
      </c>
      <c r="G55" t="s">
        <v>142</v>
      </c>
      <c r="H55" t="s">
        <v>143</v>
      </c>
      <c r="I55" t="s">
        <v>83</v>
      </c>
      <c r="J55" t="s">
        <v>84</v>
      </c>
      <c r="K55" t="s">
        <v>85</v>
      </c>
      <c r="L55" t="s">
        <v>174</v>
      </c>
      <c r="M55" t="s">
        <v>127</v>
      </c>
      <c r="N55" t="s">
        <v>88</v>
      </c>
      <c r="O55" t="s">
        <v>176</v>
      </c>
      <c r="P55" s="1">
        <v>40863</v>
      </c>
      <c r="Q55">
        <v>12.5</v>
      </c>
      <c r="R55" t="s">
        <v>129</v>
      </c>
      <c r="S55" t="s">
        <v>91</v>
      </c>
      <c r="T55" t="s">
        <v>92</v>
      </c>
      <c r="U55">
        <v>13</v>
      </c>
      <c r="V55">
        <v>2</v>
      </c>
      <c r="W55" s="2">
        <v>5473</v>
      </c>
      <c r="X55" s="2">
        <v>1141</v>
      </c>
      <c r="Y55" s="2">
        <v>422</v>
      </c>
      <c r="Z55" s="2">
        <v>7036</v>
      </c>
      <c r="AA55">
        <v>470</v>
      </c>
      <c r="AB55" t="s">
        <v>65</v>
      </c>
      <c r="AC55">
        <v>15.5</v>
      </c>
      <c r="AD55">
        <v>22</v>
      </c>
      <c r="AE55">
        <v>76</v>
      </c>
      <c r="AF55" t="s">
        <v>132</v>
      </c>
      <c r="AG55">
        <v>24</v>
      </c>
      <c r="AH55" t="s">
        <v>113</v>
      </c>
      <c r="AI55" t="s">
        <v>152</v>
      </c>
      <c r="AJ55" t="s">
        <v>69</v>
      </c>
      <c r="AK55" t="s">
        <v>70</v>
      </c>
      <c r="AL55" t="s">
        <v>70</v>
      </c>
      <c r="AM55" t="s">
        <v>70</v>
      </c>
      <c r="AN55" t="s">
        <v>72</v>
      </c>
      <c r="AO55" t="s">
        <v>72</v>
      </c>
      <c r="AP55" t="s">
        <v>135</v>
      </c>
      <c r="AQ55" t="s">
        <v>136</v>
      </c>
      <c r="AR55" s="1">
        <v>41094</v>
      </c>
      <c r="AS55" t="s">
        <v>198</v>
      </c>
      <c r="AT55" t="s">
        <v>71</v>
      </c>
      <c r="AU55">
        <v>466</v>
      </c>
      <c r="AV55" t="s">
        <v>76</v>
      </c>
      <c r="AW55" s="3">
        <v>84432</v>
      </c>
      <c r="AX55" t="s">
        <v>805</v>
      </c>
      <c r="AY55" t="s">
        <v>804</v>
      </c>
      <c r="AZ55" t="s">
        <v>76</v>
      </c>
      <c r="BA55" t="s">
        <v>811</v>
      </c>
      <c r="BB55" t="s">
        <v>801</v>
      </c>
      <c r="BC55" t="s">
        <v>802</v>
      </c>
      <c r="BD55" s="3">
        <v>6.6799317794201257E-2</v>
      </c>
      <c r="BE55">
        <v>518.4</v>
      </c>
      <c r="BG55" s="2">
        <f>Z55*12</f>
        <v>84432</v>
      </c>
      <c r="BH55" t="str" cm="1">
        <f t="array" ref="BH55">_xlfn.IFS(Q55&lt;5,"0-5 Years",Q55&lt;10,"5-10 Years",Q55&lt;15,"10-15 Years",TRUE,"15+ Years")</f>
        <v>10-15 Years</v>
      </c>
      <c r="BI55" t="str" cm="1">
        <f t="array" ref="BI55">_xlfn.IFS(AA55&gt;=540,"A",AA55&gt;=480,"B",AA55&gt;=420,"C",AA55&gt;=360,"D",TRUE,"F")</f>
        <v>C</v>
      </c>
      <c r="BJ55" t="str" cm="1">
        <f t="array" ref="BJ55">_xlfn.IFS(AU55&lt;0,"Separated",AU55&lt;=90,"High Risk",AU55&lt;=180,"Medium Risk",TRUE,"Retained")</f>
        <v>Retained</v>
      </c>
      <c r="BK55" t="str" cm="1">
        <f t="array" ref="BK55">_xlfn.IFS(V55=0,"No Combat",V55=1,"1 Tour",V55=2,"2 Tours",TRUE,"3+ Tours")</f>
        <v>2 Tours</v>
      </c>
      <c r="BL55" t="str">
        <f t="shared" si="0"/>
        <v>Standard</v>
      </c>
      <c r="BM55" t="str">
        <f t="shared" si="1"/>
        <v>Not Ready</v>
      </c>
      <c r="BN55" s="3">
        <f t="shared" si="2"/>
        <v>6.6799317794201257E-2</v>
      </c>
      <c r="BO55">
        <f t="shared" si="3"/>
        <v>518.4</v>
      </c>
    </row>
    <row r="56" spans="1:67" x14ac:dyDescent="0.25">
      <c r="A56" t="s">
        <v>331</v>
      </c>
      <c r="B56" t="s">
        <v>78</v>
      </c>
      <c r="C56" t="s">
        <v>332</v>
      </c>
      <c r="D56" t="s">
        <v>51</v>
      </c>
      <c r="E56">
        <v>24</v>
      </c>
      <c r="F56" t="s">
        <v>305</v>
      </c>
      <c r="G56" t="s">
        <v>298</v>
      </c>
      <c r="H56" t="s">
        <v>299</v>
      </c>
      <c r="I56" t="s">
        <v>225</v>
      </c>
      <c r="J56" t="s">
        <v>226</v>
      </c>
      <c r="K56" t="s">
        <v>105</v>
      </c>
      <c r="L56" t="s">
        <v>58</v>
      </c>
      <c r="M56" t="s">
        <v>175</v>
      </c>
      <c r="N56" t="s">
        <v>162</v>
      </c>
      <c r="O56" t="s">
        <v>176</v>
      </c>
      <c r="P56" s="1">
        <v>41400</v>
      </c>
      <c r="Q56">
        <v>11.1</v>
      </c>
      <c r="R56" t="s">
        <v>208</v>
      </c>
      <c r="S56" t="s">
        <v>91</v>
      </c>
      <c r="T56" t="s">
        <v>92</v>
      </c>
      <c r="U56">
        <v>2</v>
      </c>
      <c r="V56">
        <v>0</v>
      </c>
      <c r="W56" s="2">
        <v>2149</v>
      </c>
      <c r="X56" s="2">
        <v>0</v>
      </c>
      <c r="Y56" s="2">
        <v>422</v>
      </c>
      <c r="Z56" s="2">
        <v>2571</v>
      </c>
      <c r="AA56">
        <v>432</v>
      </c>
      <c r="AB56" t="s">
        <v>65</v>
      </c>
      <c r="AC56">
        <v>17</v>
      </c>
      <c r="AD56">
        <v>45</v>
      </c>
      <c r="AE56">
        <v>50</v>
      </c>
      <c r="AF56" t="s">
        <v>93</v>
      </c>
      <c r="AG56">
        <v>19</v>
      </c>
      <c r="AH56" t="s">
        <v>113</v>
      </c>
      <c r="AI56" t="s">
        <v>68</v>
      </c>
      <c r="AJ56" t="s">
        <v>72</v>
      </c>
      <c r="AK56" t="s">
        <v>70</v>
      </c>
      <c r="AL56" t="s">
        <v>70</v>
      </c>
      <c r="AM56" t="s">
        <v>70</v>
      </c>
      <c r="AN56" t="s">
        <v>72</v>
      </c>
      <c r="AO56" t="s">
        <v>135</v>
      </c>
      <c r="AP56" t="s">
        <v>287</v>
      </c>
      <c r="AQ56" t="s">
        <v>74</v>
      </c>
      <c r="AR56" s="1">
        <v>42386</v>
      </c>
      <c r="AS56" t="s">
        <v>198</v>
      </c>
      <c r="AT56" t="s">
        <v>71</v>
      </c>
      <c r="AU56">
        <v>-197</v>
      </c>
      <c r="AV56" t="s">
        <v>179</v>
      </c>
      <c r="AW56" s="3">
        <v>30852</v>
      </c>
      <c r="AX56" t="s">
        <v>805</v>
      </c>
      <c r="AY56" t="s">
        <v>804</v>
      </c>
      <c r="AZ56" t="s">
        <v>810</v>
      </c>
      <c r="BA56" t="s">
        <v>800</v>
      </c>
      <c r="BB56" t="s">
        <v>801</v>
      </c>
      <c r="BC56" t="s">
        <v>802</v>
      </c>
      <c r="BD56" s="3">
        <v>0.16802800466744458</v>
      </c>
      <c r="BE56">
        <v>470.4</v>
      </c>
      <c r="BG56" s="2">
        <f>Z56*12</f>
        <v>30852</v>
      </c>
      <c r="BH56" t="str" cm="1">
        <f t="array" ref="BH56">_xlfn.IFS(Q56&lt;5,"0-5 Years",Q56&lt;10,"5-10 Years",Q56&lt;15,"10-15 Years",TRUE,"15+ Years")</f>
        <v>10-15 Years</v>
      </c>
      <c r="BI56" t="str" cm="1">
        <f t="array" ref="BI56">_xlfn.IFS(AA56&gt;=540,"A",AA56&gt;=480,"B",AA56&gt;=420,"C",AA56&gt;=360,"D",TRUE,"F")</f>
        <v>C</v>
      </c>
      <c r="BJ56" t="str" cm="1">
        <f t="array" ref="BJ56">_xlfn.IFS(AU56&lt;0,"Separated",AU56&lt;=90,"High Risk",AU56&lt;=180,"Medium Risk",TRUE,"Retained")</f>
        <v>Separated</v>
      </c>
      <c r="BK56" t="str" cm="1">
        <f t="array" ref="BK56">_xlfn.IFS(V56=0,"No Combat",V56=1,"1 Tour",V56=2,"2 Tours",TRUE,"3+ Tours")</f>
        <v>No Combat</v>
      </c>
      <c r="BL56" t="str">
        <f t="shared" si="0"/>
        <v>Standard</v>
      </c>
      <c r="BM56" t="str">
        <f t="shared" si="1"/>
        <v>Not Ready</v>
      </c>
      <c r="BN56" s="3">
        <f t="shared" si="2"/>
        <v>0.16802800466744458</v>
      </c>
      <c r="BO56">
        <f t="shared" si="3"/>
        <v>470.4</v>
      </c>
    </row>
    <row r="57" spans="1:67" x14ac:dyDescent="0.25">
      <c r="A57" t="s">
        <v>333</v>
      </c>
      <c r="B57" t="s">
        <v>229</v>
      </c>
      <c r="C57" t="s">
        <v>334</v>
      </c>
      <c r="D57" t="s">
        <v>122</v>
      </c>
      <c r="E57">
        <v>29</v>
      </c>
      <c r="F57" t="s">
        <v>168</v>
      </c>
      <c r="G57" t="s">
        <v>193</v>
      </c>
      <c r="H57" t="s">
        <v>194</v>
      </c>
      <c r="I57" t="s">
        <v>292</v>
      </c>
      <c r="J57" t="s">
        <v>293</v>
      </c>
      <c r="K57" t="s">
        <v>294</v>
      </c>
      <c r="L57" t="s">
        <v>106</v>
      </c>
      <c r="M57" t="s">
        <v>161</v>
      </c>
      <c r="N57" t="s">
        <v>265</v>
      </c>
      <c r="O57" t="s">
        <v>176</v>
      </c>
      <c r="P57" s="1">
        <v>44165</v>
      </c>
      <c r="Q57">
        <v>3.5</v>
      </c>
      <c r="R57" t="s">
        <v>90</v>
      </c>
      <c r="S57" t="s">
        <v>163</v>
      </c>
      <c r="T57" t="s">
        <v>164</v>
      </c>
      <c r="U57">
        <v>9</v>
      </c>
      <c r="V57">
        <v>1</v>
      </c>
      <c r="W57" s="2">
        <v>2259</v>
      </c>
      <c r="X57" s="2">
        <v>0</v>
      </c>
      <c r="Y57" s="2">
        <v>422</v>
      </c>
      <c r="Z57" s="2">
        <v>2681</v>
      </c>
      <c r="AA57">
        <v>379</v>
      </c>
      <c r="AB57" t="s">
        <v>65</v>
      </c>
      <c r="AC57">
        <v>18.600000000000001</v>
      </c>
      <c r="AD57">
        <v>79</v>
      </c>
      <c r="AE57">
        <v>74</v>
      </c>
      <c r="AF57" t="s">
        <v>112</v>
      </c>
      <c r="AG57">
        <v>32</v>
      </c>
      <c r="AH57" t="s">
        <v>67</v>
      </c>
      <c r="AI57" t="s">
        <v>152</v>
      </c>
      <c r="AJ57" t="s">
        <v>188</v>
      </c>
      <c r="AK57" t="s">
        <v>70</v>
      </c>
      <c r="AL57" t="s">
        <v>70</v>
      </c>
      <c r="AM57" t="s">
        <v>71</v>
      </c>
      <c r="AN57" t="s">
        <v>115</v>
      </c>
      <c r="AO57" t="s">
        <v>73</v>
      </c>
      <c r="AP57" t="s">
        <v>72</v>
      </c>
      <c r="AQ57" t="s">
        <v>98</v>
      </c>
      <c r="AR57" s="1">
        <v>44096</v>
      </c>
      <c r="AS57" t="s">
        <v>75</v>
      </c>
      <c r="AT57" t="s">
        <v>71</v>
      </c>
      <c r="AU57">
        <v>-147</v>
      </c>
      <c r="AV57" t="s">
        <v>179</v>
      </c>
      <c r="AW57" s="3">
        <v>32172</v>
      </c>
      <c r="AX57" t="s">
        <v>803</v>
      </c>
      <c r="AY57" t="s">
        <v>809</v>
      </c>
      <c r="AZ57" t="s">
        <v>810</v>
      </c>
      <c r="BA57" t="s">
        <v>807</v>
      </c>
      <c r="BB57" t="s">
        <v>801</v>
      </c>
      <c r="BC57" t="s">
        <v>802</v>
      </c>
      <c r="BD57" s="3">
        <v>0.14136516225289072</v>
      </c>
      <c r="BE57">
        <v>463.4</v>
      </c>
      <c r="BG57" s="2">
        <f>Z57*12</f>
        <v>32172</v>
      </c>
      <c r="BH57" t="str" cm="1">
        <f t="array" ref="BH57">_xlfn.IFS(Q57&lt;5,"0-5 Years",Q57&lt;10,"5-10 Years",Q57&lt;15,"10-15 Years",TRUE,"15+ Years")</f>
        <v>0-5 Years</v>
      </c>
      <c r="BI57" t="str" cm="1">
        <f t="array" ref="BI57">_xlfn.IFS(AA57&gt;=540,"A",AA57&gt;=480,"B",AA57&gt;=420,"C",AA57&gt;=360,"D",TRUE,"F")</f>
        <v>D</v>
      </c>
      <c r="BJ57" t="str" cm="1">
        <f t="array" ref="BJ57">_xlfn.IFS(AU57&lt;0,"Separated",AU57&lt;=90,"High Risk",AU57&lt;=180,"Medium Risk",TRUE,"Retained")</f>
        <v>Separated</v>
      </c>
      <c r="BK57" t="str" cm="1">
        <f t="array" ref="BK57">_xlfn.IFS(V57=0,"No Combat",V57=1,"1 Tour",V57=2,"2 Tours",TRUE,"3+ Tours")</f>
        <v>1 Tour</v>
      </c>
      <c r="BL57" t="str">
        <f t="shared" si="0"/>
        <v>Standard</v>
      </c>
      <c r="BM57" t="str">
        <f t="shared" si="1"/>
        <v>Not Ready</v>
      </c>
      <c r="BN57" s="3">
        <f t="shared" si="2"/>
        <v>0.14136516225289072</v>
      </c>
      <c r="BO57">
        <f t="shared" si="3"/>
        <v>463.4</v>
      </c>
    </row>
    <row r="58" spans="1:67" x14ac:dyDescent="0.25">
      <c r="A58" t="s">
        <v>335</v>
      </c>
      <c r="B58" t="s">
        <v>78</v>
      </c>
      <c r="C58" t="s">
        <v>252</v>
      </c>
      <c r="D58" t="s">
        <v>51</v>
      </c>
      <c r="E58">
        <v>27</v>
      </c>
      <c r="F58" t="s">
        <v>123</v>
      </c>
      <c r="G58" t="s">
        <v>285</v>
      </c>
      <c r="H58" t="s">
        <v>286</v>
      </c>
      <c r="I58" t="s">
        <v>103</v>
      </c>
      <c r="J58" t="s">
        <v>104</v>
      </c>
      <c r="K58" t="s">
        <v>105</v>
      </c>
      <c r="L58" t="s">
        <v>126</v>
      </c>
      <c r="M58" t="s">
        <v>212</v>
      </c>
      <c r="N58" t="s">
        <v>128</v>
      </c>
      <c r="O58" t="s">
        <v>61</v>
      </c>
      <c r="P58" s="1">
        <v>38957</v>
      </c>
      <c r="Q58">
        <v>17.8</v>
      </c>
      <c r="R58" t="s">
        <v>75</v>
      </c>
      <c r="S58" t="s">
        <v>130</v>
      </c>
      <c r="T58" t="s">
        <v>131</v>
      </c>
      <c r="U58">
        <v>10</v>
      </c>
      <c r="V58">
        <v>1</v>
      </c>
      <c r="W58" s="2">
        <v>7668</v>
      </c>
      <c r="X58" s="2">
        <v>0</v>
      </c>
      <c r="Y58" s="2">
        <v>266</v>
      </c>
      <c r="Z58" s="2">
        <v>7934</v>
      </c>
      <c r="AA58">
        <v>466</v>
      </c>
      <c r="AB58" t="s">
        <v>65</v>
      </c>
      <c r="AC58">
        <v>16.3</v>
      </c>
      <c r="AD58">
        <v>63</v>
      </c>
      <c r="AE58">
        <v>63</v>
      </c>
      <c r="AF58" t="s">
        <v>93</v>
      </c>
      <c r="AG58">
        <v>40</v>
      </c>
      <c r="AH58" t="s">
        <v>94</v>
      </c>
      <c r="AI58" t="s">
        <v>114</v>
      </c>
      <c r="AJ58" t="s">
        <v>72</v>
      </c>
      <c r="AK58" t="s">
        <v>71</v>
      </c>
      <c r="AL58" t="s">
        <v>70</v>
      </c>
      <c r="AM58" t="s">
        <v>70</v>
      </c>
      <c r="AN58" t="s">
        <v>202</v>
      </c>
      <c r="AO58" t="s">
        <v>203</v>
      </c>
      <c r="AP58" t="s">
        <v>178</v>
      </c>
      <c r="AQ58" t="s">
        <v>98</v>
      </c>
      <c r="AR58" s="1">
        <v>41552</v>
      </c>
      <c r="AS58" t="s">
        <v>75</v>
      </c>
      <c r="AT58" t="s">
        <v>71</v>
      </c>
      <c r="AU58">
        <v>1625</v>
      </c>
      <c r="AV58" t="s">
        <v>76</v>
      </c>
      <c r="AW58" s="3">
        <v>95208</v>
      </c>
      <c r="AX58" t="s">
        <v>798</v>
      </c>
      <c r="AY58" t="s">
        <v>804</v>
      </c>
      <c r="AZ58" t="s">
        <v>76</v>
      </c>
      <c r="BA58" t="s">
        <v>807</v>
      </c>
      <c r="BB58" t="s">
        <v>801</v>
      </c>
      <c r="BC58" t="s">
        <v>802</v>
      </c>
      <c r="BD58" s="3">
        <v>5.8734560120998237E-2</v>
      </c>
      <c r="BE58">
        <v>556.4</v>
      </c>
      <c r="BG58" s="2">
        <f>Z58*12</f>
        <v>95208</v>
      </c>
      <c r="BH58" t="str" cm="1">
        <f t="array" ref="BH58">_xlfn.IFS(Q58&lt;5,"0-5 Years",Q58&lt;10,"5-10 Years",Q58&lt;15,"10-15 Years",TRUE,"15+ Years")</f>
        <v>15+ Years</v>
      </c>
      <c r="BI58" t="str" cm="1">
        <f t="array" ref="BI58">_xlfn.IFS(AA58&gt;=540,"A",AA58&gt;=480,"B",AA58&gt;=420,"C",AA58&gt;=360,"D",TRUE,"F")</f>
        <v>C</v>
      </c>
      <c r="BJ58" t="str" cm="1">
        <f t="array" ref="BJ58">_xlfn.IFS(AU58&lt;0,"Separated",AU58&lt;=90,"High Risk",AU58&lt;=180,"Medium Risk",TRUE,"Retained")</f>
        <v>Retained</v>
      </c>
      <c r="BK58" t="str" cm="1">
        <f t="array" ref="BK58">_xlfn.IFS(V58=0,"No Combat",V58=1,"1 Tour",V58=2,"2 Tours",TRUE,"3+ Tours")</f>
        <v>1 Tour</v>
      </c>
      <c r="BL58" t="str">
        <f t="shared" si="0"/>
        <v>Standard</v>
      </c>
      <c r="BM58" t="str">
        <f t="shared" si="1"/>
        <v>Not Ready</v>
      </c>
      <c r="BN58" s="3">
        <f t="shared" si="2"/>
        <v>5.8734560120998237E-2</v>
      </c>
      <c r="BO58">
        <f t="shared" si="3"/>
        <v>556.4</v>
      </c>
    </row>
    <row r="59" spans="1:67" x14ac:dyDescent="0.25">
      <c r="A59" t="s">
        <v>336</v>
      </c>
      <c r="B59" t="s">
        <v>49</v>
      </c>
      <c r="C59" t="s">
        <v>79</v>
      </c>
      <c r="D59" t="s">
        <v>51</v>
      </c>
      <c r="E59">
        <v>37</v>
      </c>
      <c r="F59" t="s">
        <v>316</v>
      </c>
      <c r="G59" t="s">
        <v>169</v>
      </c>
      <c r="H59" t="s">
        <v>170</v>
      </c>
      <c r="I59" t="s">
        <v>158</v>
      </c>
      <c r="J59" t="s">
        <v>159</v>
      </c>
      <c r="K59" t="s">
        <v>160</v>
      </c>
      <c r="L59" t="s">
        <v>201</v>
      </c>
      <c r="M59" t="s">
        <v>207</v>
      </c>
      <c r="N59" t="s">
        <v>108</v>
      </c>
      <c r="O59" t="s">
        <v>176</v>
      </c>
      <c r="P59" s="1">
        <v>43386</v>
      </c>
      <c r="Q59">
        <v>5.6</v>
      </c>
      <c r="R59" t="s">
        <v>150</v>
      </c>
      <c r="S59" t="s">
        <v>63</v>
      </c>
      <c r="T59" t="s">
        <v>64</v>
      </c>
      <c r="U59">
        <v>0</v>
      </c>
      <c r="V59">
        <v>0</v>
      </c>
      <c r="W59" s="2">
        <v>3294</v>
      </c>
      <c r="X59" s="2">
        <v>0</v>
      </c>
      <c r="Y59" s="2">
        <v>422</v>
      </c>
      <c r="Z59" s="2">
        <v>3716</v>
      </c>
      <c r="AA59">
        <v>377</v>
      </c>
      <c r="AB59" t="s">
        <v>65</v>
      </c>
      <c r="AC59">
        <v>17.5</v>
      </c>
      <c r="AD59">
        <v>57</v>
      </c>
      <c r="AE59">
        <v>39</v>
      </c>
      <c r="AF59" t="s">
        <v>112</v>
      </c>
      <c r="AG59">
        <v>34</v>
      </c>
      <c r="AH59" t="s">
        <v>67</v>
      </c>
      <c r="AI59" t="s">
        <v>95</v>
      </c>
      <c r="AJ59" t="s">
        <v>96</v>
      </c>
      <c r="AK59" t="s">
        <v>70</v>
      </c>
      <c r="AL59" t="s">
        <v>70</v>
      </c>
      <c r="AM59" t="s">
        <v>70</v>
      </c>
      <c r="AN59" t="s">
        <v>243</v>
      </c>
      <c r="AO59" t="s">
        <v>135</v>
      </c>
      <c r="AP59" t="s">
        <v>135</v>
      </c>
      <c r="AQ59" t="s">
        <v>136</v>
      </c>
      <c r="AR59" s="1">
        <v>45079</v>
      </c>
      <c r="AS59" t="s">
        <v>75</v>
      </c>
      <c r="AT59" t="s">
        <v>71</v>
      </c>
      <c r="AU59">
        <v>503</v>
      </c>
      <c r="AV59" t="s">
        <v>76</v>
      </c>
      <c r="AW59" s="3">
        <v>44592</v>
      </c>
      <c r="AX59" t="s">
        <v>808</v>
      </c>
      <c r="AY59" t="s">
        <v>809</v>
      </c>
      <c r="AZ59" t="s">
        <v>76</v>
      </c>
      <c r="BA59" t="s">
        <v>800</v>
      </c>
      <c r="BB59" t="s">
        <v>801</v>
      </c>
      <c r="BC59" t="s">
        <v>802</v>
      </c>
      <c r="BD59" s="3">
        <v>0.10145317545748116</v>
      </c>
      <c r="BE59">
        <v>445.4</v>
      </c>
      <c r="BG59" s="2">
        <f>Z59*12</f>
        <v>44592</v>
      </c>
      <c r="BH59" t="str" cm="1">
        <f t="array" ref="BH59">_xlfn.IFS(Q59&lt;5,"0-5 Years",Q59&lt;10,"5-10 Years",Q59&lt;15,"10-15 Years",TRUE,"15+ Years")</f>
        <v>5-10 Years</v>
      </c>
      <c r="BI59" t="str" cm="1">
        <f t="array" ref="BI59">_xlfn.IFS(AA59&gt;=540,"A",AA59&gt;=480,"B",AA59&gt;=420,"C",AA59&gt;=360,"D",TRUE,"F")</f>
        <v>D</v>
      </c>
      <c r="BJ59" t="str" cm="1">
        <f t="array" ref="BJ59">_xlfn.IFS(AU59&lt;0,"Separated",AU59&lt;=90,"High Risk",AU59&lt;=180,"Medium Risk",TRUE,"Retained")</f>
        <v>Retained</v>
      </c>
      <c r="BK59" t="str" cm="1">
        <f t="array" ref="BK59">_xlfn.IFS(V59=0,"No Combat",V59=1,"1 Tour",V59=2,"2 Tours",TRUE,"3+ Tours")</f>
        <v>No Combat</v>
      </c>
      <c r="BL59" t="str">
        <f t="shared" si="0"/>
        <v>Standard</v>
      </c>
      <c r="BM59" t="str">
        <f t="shared" si="1"/>
        <v>Not Ready</v>
      </c>
      <c r="BN59" s="3">
        <f t="shared" si="2"/>
        <v>0.10145317545748116</v>
      </c>
      <c r="BO59">
        <f t="shared" si="3"/>
        <v>445.4</v>
      </c>
    </row>
    <row r="60" spans="1:67" x14ac:dyDescent="0.25">
      <c r="A60" t="s">
        <v>337</v>
      </c>
      <c r="B60" t="s">
        <v>229</v>
      </c>
      <c r="C60" t="s">
        <v>206</v>
      </c>
      <c r="D60" t="s">
        <v>122</v>
      </c>
      <c r="E60">
        <v>32</v>
      </c>
      <c r="F60" t="s">
        <v>322</v>
      </c>
      <c r="G60" t="s">
        <v>193</v>
      </c>
      <c r="H60" t="s">
        <v>194</v>
      </c>
      <c r="I60" t="s">
        <v>260</v>
      </c>
      <c r="J60" t="s">
        <v>261</v>
      </c>
      <c r="K60" t="s">
        <v>173</v>
      </c>
      <c r="L60" t="s">
        <v>174</v>
      </c>
      <c r="M60" t="s">
        <v>275</v>
      </c>
      <c r="N60" t="s">
        <v>162</v>
      </c>
      <c r="O60" t="s">
        <v>109</v>
      </c>
      <c r="P60" s="1">
        <v>42319</v>
      </c>
      <c r="Q60">
        <v>8.6</v>
      </c>
      <c r="R60" t="s">
        <v>195</v>
      </c>
      <c r="S60" t="s">
        <v>91</v>
      </c>
      <c r="T60" t="s">
        <v>92</v>
      </c>
      <c r="U60">
        <v>6</v>
      </c>
      <c r="V60">
        <v>1</v>
      </c>
      <c r="W60" s="2">
        <v>2259</v>
      </c>
      <c r="X60" s="2">
        <v>0</v>
      </c>
      <c r="Y60" s="2">
        <v>422</v>
      </c>
      <c r="Z60" s="2">
        <v>2681</v>
      </c>
      <c r="AA60">
        <v>466</v>
      </c>
      <c r="AB60" t="s">
        <v>65</v>
      </c>
      <c r="AC60">
        <v>15.2</v>
      </c>
      <c r="AD60">
        <v>65</v>
      </c>
      <c r="AE60">
        <v>50</v>
      </c>
      <c r="AF60" t="s">
        <v>132</v>
      </c>
      <c r="AG60">
        <v>20</v>
      </c>
      <c r="AH60" t="s">
        <v>113</v>
      </c>
      <c r="AI60" t="s">
        <v>114</v>
      </c>
      <c r="AJ60" t="s">
        <v>188</v>
      </c>
      <c r="AK60" t="s">
        <v>70</v>
      </c>
      <c r="AL60" t="s">
        <v>71</v>
      </c>
      <c r="AM60" t="s">
        <v>70</v>
      </c>
      <c r="AN60" t="s">
        <v>72</v>
      </c>
      <c r="AO60" t="s">
        <v>72</v>
      </c>
      <c r="AP60" t="s">
        <v>72</v>
      </c>
      <c r="AQ60" t="s">
        <v>136</v>
      </c>
      <c r="AR60" s="1">
        <v>43578</v>
      </c>
      <c r="AS60" t="s">
        <v>137</v>
      </c>
      <c r="AT60" t="s">
        <v>71</v>
      </c>
      <c r="AU60">
        <v>1212</v>
      </c>
      <c r="AV60" t="s">
        <v>76</v>
      </c>
      <c r="AW60" s="3">
        <v>32172</v>
      </c>
      <c r="AX60" t="s">
        <v>808</v>
      </c>
      <c r="AY60" t="s">
        <v>804</v>
      </c>
      <c r="AZ60" t="s">
        <v>76</v>
      </c>
      <c r="BA60" t="s">
        <v>807</v>
      </c>
      <c r="BB60" t="s">
        <v>801</v>
      </c>
      <c r="BC60" t="s">
        <v>802</v>
      </c>
      <c r="BD60" s="3">
        <v>0.17381574039537487</v>
      </c>
      <c r="BE60">
        <v>516.4</v>
      </c>
      <c r="BG60" s="2">
        <f>Z60*12</f>
        <v>32172</v>
      </c>
      <c r="BH60" t="str" cm="1">
        <f t="array" ref="BH60">_xlfn.IFS(Q60&lt;5,"0-5 Years",Q60&lt;10,"5-10 Years",Q60&lt;15,"10-15 Years",TRUE,"15+ Years")</f>
        <v>5-10 Years</v>
      </c>
      <c r="BI60" t="str" cm="1">
        <f t="array" ref="BI60">_xlfn.IFS(AA60&gt;=540,"A",AA60&gt;=480,"B",AA60&gt;=420,"C",AA60&gt;=360,"D",TRUE,"F")</f>
        <v>C</v>
      </c>
      <c r="BJ60" t="str" cm="1">
        <f t="array" ref="BJ60">_xlfn.IFS(AU60&lt;0,"Separated",AU60&lt;=90,"High Risk",AU60&lt;=180,"Medium Risk",TRUE,"Retained")</f>
        <v>Retained</v>
      </c>
      <c r="BK60" t="str" cm="1">
        <f t="array" ref="BK60">_xlfn.IFS(V60=0,"No Combat",V60=1,"1 Tour",V60=2,"2 Tours",TRUE,"3+ Tours")</f>
        <v>1 Tour</v>
      </c>
      <c r="BL60" t="str">
        <f t="shared" si="0"/>
        <v>Standard</v>
      </c>
      <c r="BM60" t="str">
        <f t="shared" si="1"/>
        <v>Not Ready</v>
      </c>
      <c r="BN60" s="3">
        <f t="shared" si="2"/>
        <v>0.17381574039537487</v>
      </c>
      <c r="BO60">
        <f t="shared" si="3"/>
        <v>516.4</v>
      </c>
    </row>
    <row r="61" spans="1:67" x14ac:dyDescent="0.25">
      <c r="A61" t="s">
        <v>338</v>
      </c>
      <c r="B61" t="s">
        <v>267</v>
      </c>
      <c r="C61" t="s">
        <v>264</v>
      </c>
      <c r="D61" t="s">
        <v>51</v>
      </c>
      <c r="E61">
        <v>45</v>
      </c>
      <c r="F61" t="s">
        <v>311</v>
      </c>
      <c r="G61" t="s">
        <v>215</v>
      </c>
      <c r="H61" t="s">
        <v>216</v>
      </c>
      <c r="I61" t="s">
        <v>55</v>
      </c>
      <c r="J61" t="s">
        <v>56</v>
      </c>
      <c r="K61" t="s">
        <v>57</v>
      </c>
      <c r="L61" t="s">
        <v>58</v>
      </c>
      <c r="M61" t="s">
        <v>249</v>
      </c>
      <c r="N61" t="s">
        <v>148</v>
      </c>
      <c r="O61" t="s">
        <v>109</v>
      </c>
      <c r="P61" s="1">
        <v>42438</v>
      </c>
      <c r="Q61">
        <v>8.1999999999999993</v>
      </c>
      <c r="R61" t="s">
        <v>75</v>
      </c>
      <c r="S61" t="s">
        <v>110</v>
      </c>
      <c r="T61" t="s">
        <v>111</v>
      </c>
      <c r="U61">
        <v>15</v>
      </c>
      <c r="V61">
        <v>2</v>
      </c>
      <c r="W61" s="2">
        <v>3637</v>
      </c>
      <c r="X61" s="2">
        <v>0</v>
      </c>
      <c r="Y61" s="2">
        <v>266</v>
      </c>
      <c r="Z61" s="2">
        <v>3903</v>
      </c>
      <c r="AA61">
        <v>413</v>
      </c>
      <c r="AB61" t="s">
        <v>65</v>
      </c>
      <c r="AC61">
        <v>20.5</v>
      </c>
      <c r="AD61">
        <v>52</v>
      </c>
      <c r="AE61">
        <v>59</v>
      </c>
      <c r="AF61" t="s">
        <v>93</v>
      </c>
      <c r="AG61">
        <v>34</v>
      </c>
      <c r="AH61" t="s">
        <v>67</v>
      </c>
      <c r="AI61" t="s">
        <v>95</v>
      </c>
      <c r="AJ61" t="s">
        <v>69</v>
      </c>
      <c r="AK61" t="s">
        <v>70</v>
      </c>
      <c r="AL61" t="s">
        <v>70</v>
      </c>
      <c r="AM61" t="s">
        <v>71</v>
      </c>
      <c r="AN61" t="s">
        <v>133</v>
      </c>
      <c r="AO61" t="s">
        <v>221</v>
      </c>
      <c r="AP61" t="s">
        <v>72</v>
      </c>
      <c r="AQ61" t="s">
        <v>117</v>
      </c>
      <c r="AR61" s="1">
        <v>43868</v>
      </c>
      <c r="AS61" t="s">
        <v>118</v>
      </c>
      <c r="AT61" t="s">
        <v>71</v>
      </c>
      <c r="AU61">
        <v>1151</v>
      </c>
      <c r="AV61" t="s">
        <v>76</v>
      </c>
      <c r="AW61" s="3">
        <v>46836</v>
      </c>
      <c r="AX61" t="s">
        <v>808</v>
      </c>
      <c r="AY61" t="s">
        <v>809</v>
      </c>
      <c r="AZ61" t="s">
        <v>76</v>
      </c>
      <c r="BA61" t="s">
        <v>811</v>
      </c>
      <c r="BB61" t="s">
        <v>801</v>
      </c>
      <c r="BC61" t="s">
        <v>802</v>
      </c>
      <c r="BD61" s="3">
        <v>0.10581603894440174</v>
      </c>
      <c r="BE61">
        <v>501.4</v>
      </c>
      <c r="BG61" s="2">
        <f>Z61*12</f>
        <v>46836</v>
      </c>
      <c r="BH61" t="str" cm="1">
        <f t="array" ref="BH61">_xlfn.IFS(Q61&lt;5,"0-5 Years",Q61&lt;10,"5-10 Years",Q61&lt;15,"10-15 Years",TRUE,"15+ Years")</f>
        <v>5-10 Years</v>
      </c>
      <c r="BI61" t="str" cm="1">
        <f t="array" ref="BI61">_xlfn.IFS(AA61&gt;=540,"A",AA61&gt;=480,"B",AA61&gt;=420,"C",AA61&gt;=360,"D",TRUE,"F")</f>
        <v>D</v>
      </c>
      <c r="BJ61" t="str" cm="1">
        <f t="array" ref="BJ61">_xlfn.IFS(AU61&lt;0,"Separated",AU61&lt;=90,"High Risk",AU61&lt;=180,"Medium Risk",TRUE,"Retained")</f>
        <v>Retained</v>
      </c>
      <c r="BK61" t="str" cm="1">
        <f t="array" ref="BK61">_xlfn.IFS(V61=0,"No Combat",V61=1,"1 Tour",V61=2,"2 Tours",TRUE,"3+ Tours")</f>
        <v>2 Tours</v>
      </c>
      <c r="BL61" t="str">
        <f t="shared" si="0"/>
        <v>Standard</v>
      </c>
      <c r="BM61" t="str">
        <f t="shared" si="1"/>
        <v>Not Ready</v>
      </c>
      <c r="BN61" s="3">
        <f t="shared" si="2"/>
        <v>0.10581603894440174</v>
      </c>
      <c r="BO61">
        <f t="shared" si="3"/>
        <v>501.4</v>
      </c>
    </row>
    <row r="62" spans="1:67" x14ac:dyDescent="0.25">
      <c r="A62" t="s">
        <v>339</v>
      </c>
      <c r="B62" t="s">
        <v>78</v>
      </c>
      <c r="C62" t="s">
        <v>191</v>
      </c>
      <c r="D62" t="s">
        <v>51</v>
      </c>
      <c r="E62">
        <v>34</v>
      </c>
      <c r="F62" t="s">
        <v>291</v>
      </c>
      <c r="G62" t="s">
        <v>298</v>
      </c>
      <c r="H62" t="s">
        <v>299</v>
      </c>
      <c r="I62" t="s">
        <v>225</v>
      </c>
      <c r="J62" t="s">
        <v>226</v>
      </c>
      <c r="K62" t="s">
        <v>105</v>
      </c>
      <c r="L62" t="s">
        <v>201</v>
      </c>
      <c r="M62" t="s">
        <v>107</v>
      </c>
      <c r="N62" t="s">
        <v>88</v>
      </c>
      <c r="O62" t="s">
        <v>61</v>
      </c>
      <c r="P62" s="1">
        <v>40717</v>
      </c>
      <c r="Q62">
        <v>12.9</v>
      </c>
      <c r="R62" t="s">
        <v>208</v>
      </c>
      <c r="S62" t="s">
        <v>163</v>
      </c>
      <c r="T62" t="s">
        <v>164</v>
      </c>
      <c r="U62">
        <v>12</v>
      </c>
      <c r="V62">
        <v>2</v>
      </c>
      <c r="W62" s="2">
        <v>2149</v>
      </c>
      <c r="X62" s="2">
        <v>1832</v>
      </c>
      <c r="Y62" s="2">
        <v>422</v>
      </c>
      <c r="Z62" s="2">
        <v>4403</v>
      </c>
      <c r="AA62">
        <v>350</v>
      </c>
      <c r="AB62" t="s">
        <v>151</v>
      </c>
      <c r="AC62">
        <v>19</v>
      </c>
      <c r="AD62">
        <v>37</v>
      </c>
      <c r="AE62">
        <v>69</v>
      </c>
      <c r="AF62" t="s">
        <v>93</v>
      </c>
      <c r="AG62">
        <v>19</v>
      </c>
      <c r="AH62" t="s">
        <v>113</v>
      </c>
      <c r="AI62" t="s">
        <v>152</v>
      </c>
      <c r="AJ62" t="s">
        <v>96</v>
      </c>
      <c r="AK62" t="s">
        <v>70</v>
      </c>
      <c r="AL62" t="s">
        <v>71</v>
      </c>
      <c r="AM62" t="s">
        <v>70</v>
      </c>
      <c r="AN62" t="s">
        <v>72</v>
      </c>
      <c r="AO62" t="s">
        <v>227</v>
      </c>
      <c r="AP62" t="s">
        <v>72</v>
      </c>
      <c r="AQ62" t="s">
        <v>117</v>
      </c>
      <c r="AR62" s="1">
        <v>41666</v>
      </c>
      <c r="AS62" t="s">
        <v>137</v>
      </c>
      <c r="AT62" t="s">
        <v>71</v>
      </c>
      <c r="AU62">
        <v>864</v>
      </c>
      <c r="AV62" t="s">
        <v>76</v>
      </c>
      <c r="AW62" s="3">
        <v>52836</v>
      </c>
      <c r="AX62" t="s">
        <v>805</v>
      </c>
      <c r="AY62" t="s">
        <v>122</v>
      </c>
      <c r="AZ62" t="s">
        <v>76</v>
      </c>
      <c r="BA62" t="s">
        <v>811</v>
      </c>
      <c r="BB62" t="s">
        <v>801</v>
      </c>
      <c r="BC62" t="s">
        <v>802</v>
      </c>
      <c r="BD62" s="3">
        <v>7.9491255961844198E-2</v>
      </c>
      <c r="BE62">
        <v>398.4</v>
      </c>
      <c r="BG62" s="2">
        <f>Z62*12</f>
        <v>52836</v>
      </c>
      <c r="BH62" t="str" cm="1">
        <f t="array" ref="BH62">_xlfn.IFS(Q62&lt;5,"0-5 Years",Q62&lt;10,"5-10 Years",Q62&lt;15,"10-15 Years",TRUE,"15+ Years")</f>
        <v>10-15 Years</v>
      </c>
      <c r="BI62" t="str" cm="1">
        <f t="array" ref="BI62">_xlfn.IFS(AA62&gt;=540,"A",AA62&gt;=480,"B",AA62&gt;=420,"C",AA62&gt;=360,"D",TRUE,"F")</f>
        <v>F</v>
      </c>
      <c r="BJ62" t="str" cm="1">
        <f t="array" ref="BJ62">_xlfn.IFS(AU62&lt;0,"Separated",AU62&lt;=90,"High Risk",AU62&lt;=180,"Medium Risk",TRUE,"Retained")</f>
        <v>Retained</v>
      </c>
      <c r="BK62" t="str" cm="1">
        <f t="array" ref="BK62">_xlfn.IFS(V62=0,"No Combat",V62=1,"1 Tour",V62=2,"2 Tours",TRUE,"3+ Tours")</f>
        <v>2 Tours</v>
      </c>
      <c r="BL62" t="str">
        <f t="shared" si="0"/>
        <v>Standard</v>
      </c>
      <c r="BM62" t="str">
        <f t="shared" si="1"/>
        <v>Not Ready</v>
      </c>
      <c r="BN62" s="3">
        <f t="shared" si="2"/>
        <v>7.9491255961844198E-2</v>
      </c>
      <c r="BO62">
        <f t="shared" si="3"/>
        <v>398.4</v>
      </c>
    </row>
    <row r="63" spans="1:67" x14ac:dyDescent="0.25">
      <c r="A63" t="s">
        <v>340</v>
      </c>
      <c r="B63" t="s">
        <v>229</v>
      </c>
      <c r="C63" t="s">
        <v>246</v>
      </c>
      <c r="D63" t="s">
        <v>122</v>
      </c>
      <c r="E63">
        <v>27</v>
      </c>
      <c r="F63" t="s">
        <v>316</v>
      </c>
      <c r="G63" t="s">
        <v>124</v>
      </c>
      <c r="H63" t="s">
        <v>125</v>
      </c>
      <c r="I63" t="s">
        <v>225</v>
      </c>
      <c r="J63" t="s">
        <v>226</v>
      </c>
      <c r="K63" t="s">
        <v>105</v>
      </c>
      <c r="L63" t="s">
        <v>201</v>
      </c>
      <c r="M63" t="s">
        <v>275</v>
      </c>
      <c r="N63" t="s">
        <v>88</v>
      </c>
      <c r="O63" t="s">
        <v>61</v>
      </c>
      <c r="P63" s="1">
        <v>40962</v>
      </c>
      <c r="Q63">
        <v>12.3</v>
      </c>
      <c r="R63" t="s">
        <v>195</v>
      </c>
      <c r="S63" t="s">
        <v>130</v>
      </c>
      <c r="T63" t="s">
        <v>131</v>
      </c>
      <c r="U63">
        <v>12</v>
      </c>
      <c r="V63">
        <v>2</v>
      </c>
      <c r="W63" s="2">
        <v>2730</v>
      </c>
      <c r="X63" s="2">
        <v>2062</v>
      </c>
      <c r="Y63" s="2">
        <v>422</v>
      </c>
      <c r="Z63" s="2">
        <v>5214</v>
      </c>
      <c r="AA63">
        <v>562</v>
      </c>
      <c r="AB63" t="s">
        <v>65</v>
      </c>
      <c r="AC63">
        <v>17.5</v>
      </c>
      <c r="AD63">
        <v>52</v>
      </c>
      <c r="AE63">
        <v>62</v>
      </c>
      <c r="AF63" t="s">
        <v>132</v>
      </c>
      <c r="AG63">
        <v>38</v>
      </c>
      <c r="AH63" t="s">
        <v>94</v>
      </c>
      <c r="AI63" t="s">
        <v>152</v>
      </c>
      <c r="AJ63" t="s">
        <v>96</v>
      </c>
      <c r="AK63" t="s">
        <v>71</v>
      </c>
      <c r="AL63" t="s">
        <v>70</v>
      </c>
      <c r="AM63" t="s">
        <v>70</v>
      </c>
      <c r="AN63" t="s">
        <v>72</v>
      </c>
      <c r="AO63" t="s">
        <v>116</v>
      </c>
      <c r="AP63" t="s">
        <v>72</v>
      </c>
      <c r="AQ63" t="s">
        <v>136</v>
      </c>
      <c r="AR63" s="1">
        <v>45647</v>
      </c>
      <c r="AS63" t="s">
        <v>198</v>
      </c>
      <c r="AT63" t="s">
        <v>71</v>
      </c>
      <c r="AU63">
        <v>432</v>
      </c>
      <c r="AV63" t="s">
        <v>76</v>
      </c>
      <c r="AW63" s="3">
        <v>62568</v>
      </c>
      <c r="AX63" t="s">
        <v>805</v>
      </c>
      <c r="AY63" t="s">
        <v>799</v>
      </c>
      <c r="AZ63" t="s">
        <v>76</v>
      </c>
      <c r="BA63" t="s">
        <v>811</v>
      </c>
      <c r="BB63" t="s">
        <v>801</v>
      </c>
      <c r="BC63" t="s">
        <v>802</v>
      </c>
      <c r="BD63" s="3">
        <v>0.1077867280398926</v>
      </c>
      <c r="BE63">
        <v>648.4</v>
      </c>
      <c r="BG63" s="2">
        <f>Z63*12</f>
        <v>62568</v>
      </c>
      <c r="BH63" t="str" cm="1">
        <f t="array" ref="BH63">_xlfn.IFS(Q63&lt;5,"0-5 Years",Q63&lt;10,"5-10 Years",Q63&lt;15,"10-15 Years",TRUE,"15+ Years")</f>
        <v>10-15 Years</v>
      </c>
      <c r="BI63" t="str" cm="1">
        <f t="array" ref="BI63">_xlfn.IFS(AA63&gt;=540,"A",AA63&gt;=480,"B",AA63&gt;=420,"C",AA63&gt;=360,"D",TRUE,"F")</f>
        <v>A</v>
      </c>
      <c r="BJ63" t="str" cm="1">
        <f t="array" ref="BJ63">_xlfn.IFS(AU63&lt;0,"Separated",AU63&lt;=90,"High Risk",AU63&lt;=180,"Medium Risk",TRUE,"Retained")</f>
        <v>Retained</v>
      </c>
      <c r="BK63" t="str" cm="1">
        <f t="array" ref="BK63">_xlfn.IFS(V63=0,"No Combat",V63=1,"1 Tour",V63=2,"2 Tours",TRUE,"3+ Tours")</f>
        <v>2 Tours</v>
      </c>
      <c r="BL63" t="str">
        <f t="shared" si="0"/>
        <v>Standard</v>
      </c>
      <c r="BM63" t="str">
        <f t="shared" si="1"/>
        <v>Not Ready</v>
      </c>
      <c r="BN63" s="3">
        <f t="shared" si="2"/>
        <v>0.1077867280398926</v>
      </c>
      <c r="BO63">
        <f t="shared" si="3"/>
        <v>648.4</v>
      </c>
    </row>
    <row r="64" spans="1:67" x14ac:dyDescent="0.25">
      <c r="A64" t="s">
        <v>341</v>
      </c>
      <c r="B64" t="s">
        <v>181</v>
      </c>
      <c r="C64" t="s">
        <v>167</v>
      </c>
      <c r="D64" t="s">
        <v>51</v>
      </c>
      <c r="E64">
        <v>39</v>
      </c>
      <c r="F64" t="s">
        <v>141</v>
      </c>
      <c r="G64" t="s">
        <v>156</v>
      </c>
      <c r="H64" t="s">
        <v>157</v>
      </c>
      <c r="I64" t="s">
        <v>273</v>
      </c>
      <c r="J64" t="s">
        <v>274</v>
      </c>
      <c r="K64" t="s">
        <v>57</v>
      </c>
      <c r="L64" t="s">
        <v>106</v>
      </c>
      <c r="M64" t="s">
        <v>107</v>
      </c>
      <c r="N64" t="s">
        <v>60</v>
      </c>
      <c r="O64" t="s">
        <v>61</v>
      </c>
      <c r="P64" s="1">
        <v>44091</v>
      </c>
      <c r="Q64">
        <v>3.7</v>
      </c>
      <c r="R64" t="s">
        <v>129</v>
      </c>
      <c r="S64" t="s">
        <v>163</v>
      </c>
      <c r="T64" t="s">
        <v>164</v>
      </c>
      <c r="U64">
        <v>6</v>
      </c>
      <c r="V64">
        <v>1</v>
      </c>
      <c r="W64" s="2">
        <v>4836</v>
      </c>
      <c r="X64" s="2">
        <v>838</v>
      </c>
      <c r="Y64" s="2">
        <v>266</v>
      </c>
      <c r="Z64" s="2">
        <v>5940</v>
      </c>
      <c r="AA64">
        <v>394</v>
      </c>
      <c r="AB64" t="s">
        <v>65</v>
      </c>
      <c r="AC64">
        <v>15.2</v>
      </c>
      <c r="AD64">
        <v>29</v>
      </c>
      <c r="AE64">
        <v>56</v>
      </c>
      <c r="AF64" t="s">
        <v>132</v>
      </c>
      <c r="AG64">
        <v>32</v>
      </c>
      <c r="AH64" t="s">
        <v>67</v>
      </c>
      <c r="AI64" t="s">
        <v>152</v>
      </c>
      <c r="AJ64" t="s">
        <v>188</v>
      </c>
      <c r="AK64" t="s">
        <v>70</v>
      </c>
      <c r="AL64" t="s">
        <v>70</v>
      </c>
      <c r="AM64" t="s">
        <v>70</v>
      </c>
      <c r="AN64" t="s">
        <v>72</v>
      </c>
      <c r="AO64" t="s">
        <v>72</v>
      </c>
      <c r="AP64" t="s">
        <v>287</v>
      </c>
      <c r="AQ64" t="s">
        <v>136</v>
      </c>
      <c r="AR64" s="1">
        <v>44185</v>
      </c>
      <c r="AS64" t="s">
        <v>198</v>
      </c>
      <c r="AT64" t="s">
        <v>71</v>
      </c>
      <c r="AU64">
        <v>1382</v>
      </c>
      <c r="AV64" t="s">
        <v>76</v>
      </c>
      <c r="AW64" s="3">
        <v>71280</v>
      </c>
      <c r="AX64" t="s">
        <v>803</v>
      </c>
      <c r="AY64" t="s">
        <v>809</v>
      </c>
      <c r="AZ64" t="s">
        <v>76</v>
      </c>
      <c r="BA64" t="s">
        <v>807</v>
      </c>
      <c r="BB64" t="s">
        <v>801</v>
      </c>
      <c r="BC64" t="s">
        <v>802</v>
      </c>
      <c r="BD64" s="3">
        <v>6.6329966329966336E-2</v>
      </c>
      <c r="BE64">
        <v>458.4</v>
      </c>
      <c r="BG64" s="2">
        <f>Z64*12</f>
        <v>71280</v>
      </c>
      <c r="BH64" t="str" cm="1">
        <f t="array" ref="BH64">_xlfn.IFS(Q64&lt;5,"0-5 Years",Q64&lt;10,"5-10 Years",Q64&lt;15,"10-15 Years",TRUE,"15+ Years")</f>
        <v>0-5 Years</v>
      </c>
      <c r="BI64" t="str" cm="1">
        <f t="array" ref="BI64">_xlfn.IFS(AA64&gt;=540,"A",AA64&gt;=480,"B",AA64&gt;=420,"C",AA64&gt;=360,"D",TRUE,"F")</f>
        <v>D</v>
      </c>
      <c r="BJ64" t="str" cm="1">
        <f t="array" ref="BJ64">_xlfn.IFS(AU64&lt;0,"Separated",AU64&lt;=90,"High Risk",AU64&lt;=180,"Medium Risk",TRUE,"Retained")</f>
        <v>Retained</v>
      </c>
      <c r="BK64" t="str" cm="1">
        <f t="array" ref="BK64">_xlfn.IFS(V64=0,"No Combat",V64=1,"1 Tour",V64=2,"2 Tours",TRUE,"3+ Tours")</f>
        <v>1 Tour</v>
      </c>
      <c r="BL64" t="str">
        <f t="shared" si="0"/>
        <v>Standard</v>
      </c>
      <c r="BM64" t="str">
        <f t="shared" si="1"/>
        <v>Not Ready</v>
      </c>
      <c r="BN64" s="3">
        <f t="shared" si="2"/>
        <v>6.6329966329966336E-2</v>
      </c>
      <c r="BO64">
        <f t="shared" si="3"/>
        <v>458.4</v>
      </c>
    </row>
    <row r="65" spans="1:67" x14ac:dyDescent="0.25">
      <c r="A65" t="s">
        <v>342</v>
      </c>
      <c r="B65" t="s">
        <v>210</v>
      </c>
      <c r="C65" t="s">
        <v>332</v>
      </c>
      <c r="D65" t="s">
        <v>51</v>
      </c>
      <c r="E65">
        <v>42</v>
      </c>
      <c r="F65" t="s">
        <v>192</v>
      </c>
      <c r="G65" t="s">
        <v>242</v>
      </c>
      <c r="H65" t="s">
        <v>54</v>
      </c>
      <c r="I65" t="s">
        <v>225</v>
      </c>
      <c r="J65" t="s">
        <v>226</v>
      </c>
      <c r="K65" t="s">
        <v>105</v>
      </c>
      <c r="L65" t="s">
        <v>126</v>
      </c>
      <c r="M65" t="s">
        <v>107</v>
      </c>
      <c r="N65" t="s">
        <v>108</v>
      </c>
      <c r="O65" t="s">
        <v>176</v>
      </c>
      <c r="P65" s="1">
        <v>42924</v>
      </c>
      <c r="Q65">
        <v>6.9</v>
      </c>
      <c r="R65" t="s">
        <v>195</v>
      </c>
      <c r="S65" t="s">
        <v>110</v>
      </c>
      <c r="T65" t="s">
        <v>111</v>
      </c>
      <c r="U65">
        <v>7</v>
      </c>
      <c r="V65">
        <v>1</v>
      </c>
      <c r="W65" s="2">
        <v>4739</v>
      </c>
      <c r="X65" s="2">
        <v>1409</v>
      </c>
      <c r="Y65" s="2">
        <v>422</v>
      </c>
      <c r="Z65" s="2">
        <v>6570</v>
      </c>
      <c r="AA65">
        <v>540</v>
      </c>
      <c r="AB65" t="s">
        <v>65</v>
      </c>
      <c r="AC65">
        <v>18.5</v>
      </c>
      <c r="AD65">
        <v>64</v>
      </c>
      <c r="AE65">
        <v>75</v>
      </c>
      <c r="AF65" t="s">
        <v>112</v>
      </c>
      <c r="AG65">
        <v>31</v>
      </c>
      <c r="AH65" t="s">
        <v>67</v>
      </c>
      <c r="AI65" t="s">
        <v>68</v>
      </c>
      <c r="AJ65" t="s">
        <v>72</v>
      </c>
      <c r="AK65" t="s">
        <v>70</v>
      </c>
      <c r="AL65" t="s">
        <v>70</v>
      </c>
      <c r="AM65" t="s">
        <v>70</v>
      </c>
      <c r="AN65" t="s">
        <v>72</v>
      </c>
      <c r="AO65" t="s">
        <v>221</v>
      </c>
      <c r="AP65" t="s">
        <v>72</v>
      </c>
      <c r="AQ65" t="s">
        <v>117</v>
      </c>
      <c r="AR65" s="1">
        <v>43059</v>
      </c>
      <c r="AS65" t="s">
        <v>137</v>
      </c>
      <c r="AT65" t="s">
        <v>71</v>
      </c>
      <c r="AU65">
        <v>918</v>
      </c>
      <c r="AV65" t="s">
        <v>76</v>
      </c>
      <c r="AW65" s="3">
        <v>78840</v>
      </c>
      <c r="AX65" t="s">
        <v>808</v>
      </c>
      <c r="AY65" t="s">
        <v>799</v>
      </c>
      <c r="AZ65" t="s">
        <v>76</v>
      </c>
      <c r="BA65" t="s">
        <v>807</v>
      </c>
      <c r="BB65" t="s">
        <v>801</v>
      </c>
      <c r="BC65" t="s">
        <v>802</v>
      </c>
      <c r="BD65" s="3">
        <v>8.2191780821917804E-2</v>
      </c>
      <c r="BE65">
        <v>602.4</v>
      </c>
      <c r="BG65" s="2">
        <f>Z65*12</f>
        <v>78840</v>
      </c>
      <c r="BH65" t="str" cm="1">
        <f t="array" ref="BH65">_xlfn.IFS(Q65&lt;5,"0-5 Years",Q65&lt;10,"5-10 Years",Q65&lt;15,"10-15 Years",TRUE,"15+ Years")</f>
        <v>5-10 Years</v>
      </c>
      <c r="BI65" t="str" cm="1">
        <f t="array" ref="BI65">_xlfn.IFS(AA65&gt;=540,"A",AA65&gt;=480,"B",AA65&gt;=420,"C",AA65&gt;=360,"D",TRUE,"F")</f>
        <v>A</v>
      </c>
      <c r="BJ65" t="str" cm="1">
        <f t="array" ref="BJ65">_xlfn.IFS(AU65&lt;0,"Separated",AU65&lt;=90,"High Risk",AU65&lt;=180,"Medium Risk",TRUE,"Retained")</f>
        <v>Retained</v>
      </c>
      <c r="BK65" t="str" cm="1">
        <f t="array" ref="BK65">_xlfn.IFS(V65=0,"No Combat",V65=1,"1 Tour",V65=2,"2 Tours",TRUE,"3+ Tours")</f>
        <v>1 Tour</v>
      </c>
      <c r="BL65" t="str">
        <f t="shared" si="0"/>
        <v>Standard</v>
      </c>
      <c r="BM65" t="str">
        <f t="shared" si="1"/>
        <v>Not Ready</v>
      </c>
      <c r="BN65" s="3">
        <f t="shared" si="2"/>
        <v>8.2191780821917804E-2</v>
      </c>
      <c r="BO65">
        <f t="shared" si="3"/>
        <v>602.4</v>
      </c>
    </row>
    <row r="66" spans="1:67" x14ac:dyDescent="0.25">
      <c r="A66" t="s">
        <v>343</v>
      </c>
      <c r="B66" t="s">
        <v>49</v>
      </c>
      <c r="C66" t="s">
        <v>240</v>
      </c>
      <c r="D66" t="s">
        <v>122</v>
      </c>
      <c r="E66">
        <v>31</v>
      </c>
      <c r="F66" t="s">
        <v>141</v>
      </c>
      <c r="G66" t="s">
        <v>285</v>
      </c>
      <c r="H66" t="s">
        <v>286</v>
      </c>
      <c r="I66" t="s">
        <v>55</v>
      </c>
      <c r="J66" t="s">
        <v>56</v>
      </c>
      <c r="K66" t="s">
        <v>57</v>
      </c>
      <c r="L66" t="s">
        <v>58</v>
      </c>
      <c r="M66" t="s">
        <v>147</v>
      </c>
      <c r="N66" t="s">
        <v>88</v>
      </c>
      <c r="O66" t="s">
        <v>61</v>
      </c>
      <c r="P66" s="1">
        <v>44056</v>
      </c>
      <c r="Q66">
        <v>3.8</v>
      </c>
      <c r="R66" t="s">
        <v>150</v>
      </c>
      <c r="S66" t="s">
        <v>110</v>
      </c>
      <c r="T66" t="s">
        <v>111</v>
      </c>
      <c r="U66">
        <v>4</v>
      </c>
      <c r="V66">
        <v>0</v>
      </c>
      <c r="W66" s="2">
        <v>7668</v>
      </c>
      <c r="X66" s="2">
        <v>0</v>
      </c>
      <c r="Y66" s="2">
        <v>266</v>
      </c>
      <c r="Z66" s="2">
        <v>7934</v>
      </c>
      <c r="AA66">
        <v>405</v>
      </c>
      <c r="AB66" t="s">
        <v>65</v>
      </c>
      <c r="AC66">
        <v>14.6</v>
      </c>
      <c r="AD66">
        <v>62</v>
      </c>
      <c r="AE66">
        <v>63</v>
      </c>
      <c r="AF66" t="s">
        <v>93</v>
      </c>
      <c r="AG66">
        <v>17</v>
      </c>
      <c r="AH66" t="s">
        <v>113</v>
      </c>
      <c r="AI66" t="s">
        <v>95</v>
      </c>
      <c r="AJ66" t="s">
        <v>188</v>
      </c>
      <c r="AK66" t="s">
        <v>71</v>
      </c>
      <c r="AL66" t="s">
        <v>70</v>
      </c>
      <c r="AM66" t="s">
        <v>70</v>
      </c>
      <c r="AN66" t="s">
        <v>243</v>
      </c>
      <c r="AO66" t="s">
        <v>97</v>
      </c>
      <c r="AP66" t="s">
        <v>72</v>
      </c>
      <c r="AQ66" t="s">
        <v>74</v>
      </c>
      <c r="AR66" s="1">
        <v>44488</v>
      </c>
      <c r="AS66" t="s">
        <v>118</v>
      </c>
      <c r="AT66" t="s">
        <v>71</v>
      </c>
      <c r="AU66">
        <v>669</v>
      </c>
      <c r="AV66" t="s">
        <v>76</v>
      </c>
      <c r="AW66" s="3">
        <v>95208</v>
      </c>
      <c r="AX66" t="s">
        <v>803</v>
      </c>
      <c r="AY66" t="s">
        <v>809</v>
      </c>
      <c r="AZ66" t="s">
        <v>76</v>
      </c>
      <c r="BA66" t="s">
        <v>800</v>
      </c>
      <c r="BB66" t="s">
        <v>801</v>
      </c>
      <c r="BC66" t="s">
        <v>802</v>
      </c>
      <c r="BD66" s="3">
        <v>5.1046130577262414E-2</v>
      </c>
      <c r="BE66">
        <v>449.4</v>
      </c>
      <c r="BG66" s="2">
        <f>Z66*12</f>
        <v>95208</v>
      </c>
      <c r="BH66" t="str" cm="1">
        <f t="array" ref="BH66">_xlfn.IFS(Q66&lt;5,"0-5 Years",Q66&lt;10,"5-10 Years",Q66&lt;15,"10-15 Years",TRUE,"15+ Years")</f>
        <v>0-5 Years</v>
      </c>
      <c r="BI66" t="str" cm="1">
        <f t="array" ref="BI66">_xlfn.IFS(AA66&gt;=540,"A",AA66&gt;=480,"B",AA66&gt;=420,"C",AA66&gt;=360,"D",TRUE,"F")</f>
        <v>D</v>
      </c>
      <c r="BJ66" t="str" cm="1">
        <f t="array" ref="BJ66">_xlfn.IFS(AU66&lt;0,"Separated",AU66&lt;=90,"High Risk",AU66&lt;=180,"Medium Risk",TRUE,"Retained")</f>
        <v>Retained</v>
      </c>
      <c r="BK66" t="str" cm="1">
        <f t="array" ref="BK66">_xlfn.IFS(V66=0,"No Combat",V66=1,"1 Tour",V66=2,"2 Tours",TRUE,"3+ Tours")</f>
        <v>No Combat</v>
      </c>
      <c r="BL66" t="str">
        <f t="shared" si="0"/>
        <v>Standard</v>
      </c>
      <c r="BM66" t="str">
        <f t="shared" si="1"/>
        <v>Not Ready</v>
      </c>
      <c r="BN66" s="3">
        <f t="shared" si="2"/>
        <v>5.1046130577262414E-2</v>
      </c>
      <c r="BO66">
        <f t="shared" si="3"/>
        <v>449.4</v>
      </c>
    </row>
    <row r="67" spans="1:67" x14ac:dyDescent="0.25">
      <c r="A67" t="s">
        <v>344</v>
      </c>
      <c r="B67" t="s">
        <v>139</v>
      </c>
      <c r="C67" t="s">
        <v>79</v>
      </c>
      <c r="D67" t="s">
        <v>51</v>
      </c>
      <c r="E67">
        <v>32</v>
      </c>
      <c r="F67" t="s">
        <v>80</v>
      </c>
      <c r="G67" t="s">
        <v>53</v>
      </c>
      <c r="H67" t="s">
        <v>54</v>
      </c>
      <c r="I67" t="s">
        <v>103</v>
      </c>
      <c r="J67" t="s">
        <v>104</v>
      </c>
      <c r="K67" t="s">
        <v>105</v>
      </c>
      <c r="L67" t="s">
        <v>106</v>
      </c>
      <c r="M67" t="s">
        <v>59</v>
      </c>
      <c r="N67" t="s">
        <v>128</v>
      </c>
      <c r="O67" t="s">
        <v>89</v>
      </c>
      <c r="P67" s="1">
        <v>39787</v>
      </c>
      <c r="Q67">
        <v>15.5</v>
      </c>
      <c r="R67" t="s">
        <v>195</v>
      </c>
      <c r="S67" t="s">
        <v>91</v>
      </c>
      <c r="T67" t="s">
        <v>92</v>
      </c>
      <c r="U67">
        <v>5</v>
      </c>
      <c r="V67">
        <v>0</v>
      </c>
      <c r="W67" s="2">
        <v>4739</v>
      </c>
      <c r="X67" s="2">
        <v>874</v>
      </c>
      <c r="Y67" s="2">
        <v>422</v>
      </c>
      <c r="Z67" s="2">
        <v>6035</v>
      </c>
      <c r="AA67">
        <v>438</v>
      </c>
      <c r="AB67" t="s">
        <v>65</v>
      </c>
      <c r="AC67">
        <v>19.2</v>
      </c>
      <c r="AD67">
        <v>31</v>
      </c>
      <c r="AE67">
        <v>77</v>
      </c>
      <c r="AF67" t="s">
        <v>66</v>
      </c>
      <c r="AG67">
        <v>16</v>
      </c>
      <c r="AH67" t="s">
        <v>113</v>
      </c>
      <c r="AI67" t="s">
        <v>114</v>
      </c>
      <c r="AJ67" t="s">
        <v>69</v>
      </c>
      <c r="AK67" t="s">
        <v>70</v>
      </c>
      <c r="AL67" t="s">
        <v>71</v>
      </c>
      <c r="AM67" t="s">
        <v>70</v>
      </c>
      <c r="AN67" t="s">
        <v>72</v>
      </c>
      <c r="AO67" t="s">
        <v>134</v>
      </c>
      <c r="AP67" t="s">
        <v>97</v>
      </c>
      <c r="AQ67" t="s">
        <v>117</v>
      </c>
      <c r="AR67" s="1">
        <v>45437</v>
      </c>
      <c r="AS67" t="s">
        <v>137</v>
      </c>
      <c r="AT67" t="s">
        <v>71</v>
      </c>
      <c r="AU67">
        <v>1379</v>
      </c>
      <c r="AV67" t="s">
        <v>76</v>
      </c>
      <c r="AW67" s="3">
        <v>72420</v>
      </c>
      <c r="AX67" t="s">
        <v>798</v>
      </c>
      <c r="AY67" t="s">
        <v>804</v>
      </c>
      <c r="AZ67" t="s">
        <v>76</v>
      </c>
      <c r="BA67" t="s">
        <v>800</v>
      </c>
      <c r="BB67" t="s">
        <v>801</v>
      </c>
      <c r="BC67" t="s">
        <v>802</v>
      </c>
      <c r="BD67" s="3">
        <v>7.2576636288318147E-2</v>
      </c>
      <c r="BE67">
        <v>480.4</v>
      </c>
      <c r="BG67" s="2">
        <f t="shared" ref="BG67:BG130" si="4">Z67*12</f>
        <v>72420</v>
      </c>
      <c r="BH67" t="str" cm="1">
        <f t="array" ref="BH67">_xlfn.IFS(Q67&lt;5,"0-5 Years",Q67&lt;10,"5-10 Years",Q67&lt;15,"10-15 Years",TRUE,"15+ Years")</f>
        <v>15+ Years</v>
      </c>
      <c r="BI67" t="str" cm="1">
        <f t="array" ref="BI67">_xlfn.IFS(AA67&gt;=540,"A",AA67&gt;=480,"B",AA67&gt;=420,"C",AA67&gt;=360,"D",TRUE,"F")</f>
        <v>C</v>
      </c>
      <c r="BJ67" t="str" cm="1">
        <f t="array" ref="BJ67">_xlfn.IFS(AU67&lt;0,"Separated",AU67&lt;=90,"High Risk",AU67&lt;=180,"Medium Risk",TRUE,"Retained")</f>
        <v>Retained</v>
      </c>
      <c r="BK67" t="str" cm="1">
        <f t="array" ref="BK67">_xlfn.IFS(V67=0,"No Combat",V67=1,"1 Tour",V67=2,"2 Tours",TRUE,"3+ Tours")</f>
        <v>No Combat</v>
      </c>
      <c r="BL67" t="str">
        <f t="shared" ref="BL67:BL130" si="5">IF(AND(AA67&gt;=500,AG67&gt;=35,AQ67="Outstanding"),"High Performer","Standard")</f>
        <v>Standard</v>
      </c>
      <c r="BM67" t="str">
        <f t="shared" ref="BM67:BM130" si="6">IF(AND(OR(G67="SGT",G67="SSG",G67="SFC"),AQ67="Outstanding"),"Promotion Ready","Not Ready")</f>
        <v>Not Ready</v>
      </c>
      <c r="BN67" s="3">
        <f t="shared" ref="BN67:BN130" si="7">AA67/Z67</f>
        <v>7.2576636288318147E-2</v>
      </c>
      <c r="BO67">
        <f t="shared" ref="BO67:BO130" si="8">(AA67+0.4)+(AG67*10*0.2)+(IF(AK67="YES",100,0)*0.1)+(IF(AL67="YES",100,0)*0.1)+(IF(AM67="YES",100,0)*0.2)</f>
        <v>480.4</v>
      </c>
    </row>
    <row r="68" spans="1:67" x14ac:dyDescent="0.25">
      <c r="A68" t="s">
        <v>345</v>
      </c>
      <c r="B68" t="s">
        <v>346</v>
      </c>
      <c r="C68" t="s">
        <v>264</v>
      </c>
      <c r="D68" t="s">
        <v>51</v>
      </c>
      <c r="E68">
        <v>30</v>
      </c>
      <c r="F68" t="s">
        <v>322</v>
      </c>
      <c r="G68" t="s">
        <v>215</v>
      </c>
      <c r="H68" t="s">
        <v>216</v>
      </c>
      <c r="I68" t="s">
        <v>292</v>
      </c>
      <c r="J68" t="s">
        <v>293</v>
      </c>
      <c r="K68" t="s">
        <v>294</v>
      </c>
      <c r="L68" t="s">
        <v>86</v>
      </c>
      <c r="M68" t="s">
        <v>87</v>
      </c>
      <c r="N68" t="s">
        <v>265</v>
      </c>
      <c r="O68" t="s">
        <v>149</v>
      </c>
      <c r="P68" s="1">
        <v>39790</v>
      </c>
      <c r="Q68">
        <v>15.5</v>
      </c>
      <c r="R68" t="s">
        <v>75</v>
      </c>
      <c r="S68" t="s">
        <v>63</v>
      </c>
      <c r="T68" t="s">
        <v>64</v>
      </c>
      <c r="U68">
        <v>0</v>
      </c>
      <c r="V68">
        <v>0</v>
      </c>
      <c r="W68" s="2">
        <v>3637</v>
      </c>
      <c r="X68" s="2">
        <v>2108</v>
      </c>
      <c r="Y68" s="2">
        <v>266</v>
      </c>
      <c r="Z68" s="2">
        <v>6011</v>
      </c>
      <c r="AA68">
        <v>334</v>
      </c>
      <c r="AB68" t="s">
        <v>151</v>
      </c>
      <c r="AC68">
        <v>19.5</v>
      </c>
      <c r="AD68">
        <v>52</v>
      </c>
      <c r="AE68">
        <v>50</v>
      </c>
      <c r="AF68" t="s">
        <v>132</v>
      </c>
      <c r="AG68">
        <v>37</v>
      </c>
      <c r="AH68" t="s">
        <v>94</v>
      </c>
      <c r="AI68" t="s">
        <v>95</v>
      </c>
      <c r="AJ68" t="s">
        <v>96</v>
      </c>
      <c r="AK68" t="s">
        <v>70</v>
      </c>
      <c r="AL68" t="s">
        <v>71</v>
      </c>
      <c r="AM68" t="s">
        <v>70</v>
      </c>
      <c r="AN68" t="s">
        <v>243</v>
      </c>
      <c r="AO68" t="s">
        <v>97</v>
      </c>
      <c r="AP68" t="s">
        <v>72</v>
      </c>
      <c r="AQ68" t="s">
        <v>98</v>
      </c>
      <c r="AR68" s="1">
        <v>44219</v>
      </c>
      <c r="AS68" t="s">
        <v>75</v>
      </c>
      <c r="AT68" t="s">
        <v>71</v>
      </c>
      <c r="AU68">
        <v>-454</v>
      </c>
      <c r="AV68" t="s">
        <v>179</v>
      </c>
      <c r="AW68" s="3">
        <v>72132</v>
      </c>
      <c r="AX68" t="s">
        <v>798</v>
      </c>
      <c r="AY68" t="s">
        <v>122</v>
      </c>
      <c r="AZ68" t="s">
        <v>810</v>
      </c>
      <c r="BA68" t="s">
        <v>800</v>
      </c>
      <c r="BB68" t="s">
        <v>801</v>
      </c>
      <c r="BC68" t="s">
        <v>802</v>
      </c>
      <c r="BD68" s="3">
        <v>5.5564797870570622E-2</v>
      </c>
      <c r="BE68">
        <v>418.4</v>
      </c>
      <c r="BG68" s="2">
        <f t="shared" si="4"/>
        <v>72132</v>
      </c>
      <c r="BH68" t="str" cm="1">
        <f t="array" ref="BH68">_xlfn.IFS(Q68&lt;5,"0-5 Years",Q68&lt;10,"5-10 Years",Q68&lt;15,"10-15 Years",TRUE,"15+ Years")</f>
        <v>15+ Years</v>
      </c>
      <c r="BI68" t="str" cm="1">
        <f t="array" ref="BI68">_xlfn.IFS(AA68&gt;=540,"A",AA68&gt;=480,"B",AA68&gt;=420,"C",AA68&gt;=360,"D",TRUE,"F")</f>
        <v>F</v>
      </c>
      <c r="BJ68" t="str" cm="1">
        <f t="array" ref="BJ68">_xlfn.IFS(AU68&lt;0,"Separated",AU68&lt;=90,"High Risk",AU68&lt;=180,"Medium Risk",TRUE,"Retained")</f>
        <v>Separated</v>
      </c>
      <c r="BK68" t="str" cm="1">
        <f t="array" ref="BK68">_xlfn.IFS(V68=0,"No Combat",V68=1,"1 Tour",V68=2,"2 Tours",TRUE,"3+ Tours")</f>
        <v>No Combat</v>
      </c>
      <c r="BL68" t="str">
        <f t="shared" si="5"/>
        <v>Standard</v>
      </c>
      <c r="BM68" t="str">
        <f t="shared" si="6"/>
        <v>Not Ready</v>
      </c>
      <c r="BN68" s="3">
        <f t="shared" si="7"/>
        <v>5.5564797870570622E-2</v>
      </c>
      <c r="BO68">
        <f t="shared" si="8"/>
        <v>418.4</v>
      </c>
    </row>
    <row r="69" spans="1:67" x14ac:dyDescent="0.25">
      <c r="A69" t="s">
        <v>347</v>
      </c>
      <c r="B69" t="s">
        <v>120</v>
      </c>
      <c r="C69" t="s">
        <v>332</v>
      </c>
      <c r="D69" t="s">
        <v>51</v>
      </c>
      <c r="E69">
        <v>33</v>
      </c>
      <c r="F69" t="s">
        <v>168</v>
      </c>
      <c r="G69" t="s">
        <v>298</v>
      </c>
      <c r="H69" t="s">
        <v>299</v>
      </c>
      <c r="I69" t="s">
        <v>158</v>
      </c>
      <c r="J69" t="s">
        <v>159</v>
      </c>
      <c r="K69" t="s">
        <v>160</v>
      </c>
      <c r="L69" t="s">
        <v>174</v>
      </c>
      <c r="M69" t="s">
        <v>249</v>
      </c>
      <c r="N69" t="s">
        <v>88</v>
      </c>
      <c r="O69" t="s">
        <v>149</v>
      </c>
      <c r="P69" s="1">
        <v>41674</v>
      </c>
      <c r="Q69">
        <v>10.3</v>
      </c>
      <c r="R69" t="s">
        <v>129</v>
      </c>
      <c r="S69" t="s">
        <v>219</v>
      </c>
      <c r="T69" t="s">
        <v>220</v>
      </c>
      <c r="U69">
        <v>0</v>
      </c>
      <c r="V69">
        <v>0</v>
      </c>
      <c r="W69" s="2">
        <v>2149</v>
      </c>
      <c r="X69" s="2">
        <v>1829</v>
      </c>
      <c r="Y69" s="2">
        <v>422</v>
      </c>
      <c r="Z69" s="2">
        <v>4400</v>
      </c>
      <c r="AA69">
        <v>478</v>
      </c>
      <c r="AB69" t="s">
        <v>65</v>
      </c>
      <c r="AC69">
        <v>18.399999999999999</v>
      </c>
      <c r="AD69">
        <v>60</v>
      </c>
      <c r="AE69">
        <v>48</v>
      </c>
      <c r="AF69" t="s">
        <v>93</v>
      </c>
      <c r="AG69">
        <v>23</v>
      </c>
      <c r="AH69" t="s">
        <v>113</v>
      </c>
      <c r="AI69" t="s">
        <v>114</v>
      </c>
      <c r="AJ69" t="s">
        <v>96</v>
      </c>
      <c r="AK69" t="s">
        <v>70</v>
      </c>
      <c r="AL69" t="s">
        <v>70</v>
      </c>
      <c r="AM69" t="s">
        <v>70</v>
      </c>
      <c r="AN69" t="s">
        <v>115</v>
      </c>
      <c r="AO69" t="s">
        <v>178</v>
      </c>
      <c r="AP69" t="s">
        <v>72</v>
      </c>
      <c r="AQ69" t="s">
        <v>74</v>
      </c>
      <c r="AR69" s="1">
        <v>45216</v>
      </c>
      <c r="AS69" t="s">
        <v>118</v>
      </c>
      <c r="AT69" t="s">
        <v>71</v>
      </c>
      <c r="AU69">
        <v>-165</v>
      </c>
      <c r="AV69" t="s">
        <v>179</v>
      </c>
      <c r="AW69" s="3">
        <v>52800</v>
      </c>
      <c r="AX69" t="s">
        <v>805</v>
      </c>
      <c r="AY69" t="s">
        <v>804</v>
      </c>
      <c r="AZ69" t="s">
        <v>810</v>
      </c>
      <c r="BA69" t="s">
        <v>800</v>
      </c>
      <c r="BB69" t="s">
        <v>801</v>
      </c>
      <c r="BC69" t="s">
        <v>802</v>
      </c>
      <c r="BD69" s="3">
        <v>0.10863636363636364</v>
      </c>
      <c r="BE69">
        <v>524.4</v>
      </c>
      <c r="BG69" s="2">
        <f t="shared" si="4"/>
        <v>52800</v>
      </c>
      <c r="BH69" t="str" cm="1">
        <f t="array" ref="BH69">_xlfn.IFS(Q69&lt;5,"0-5 Years",Q69&lt;10,"5-10 Years",Q69&lt;15,"10-15 Years",TRUE,"15+ Years")</f>
        <v>10-15 Years</v>
      </c>
      <c r="BI69" t="str" cm="1">
        <f t="array" ref="BI69">_xlfn.IFS(AA69&gt;=540,"A",AA69&gt;=480,"B",AA69&gt;=420,"C",AA69&gt;=360,"D",TRUE,"F")</f>
        <v>C</v>
      </c>
      <c r="BJ69" t="str" cm="1">
        <f t="array" ref="BJ69">_xlfn.IFS(AU69&lt;0,"Separated",AU69&lt;=90,"High Risk",AU69&lt;=180,"Medium Risk",TRUE,"Retained")</f>
        <v>Separated</v>
      </c>
      <c r="BK69" t="str" cm="1">
        <f t="array" ref="BK69">_xlfn.IFS(V69=0,"No Combat",V69=1,"1 Tour",V69=2,"2 Tours",TRUE,"3+ Tours")</f>
        <v>No Combat</v>
      </c>
      <c r="BL69" t="str">
        <f t="shared" si="5"/>
        <v>Standard</v>
      </c>
      <c r="BM69" t="str">
        <f t="shared" si="6"/>
        <v>Not Ready</v>
      </c>
      <c r="BN69" s="3">
        <f t="shared" si="7"/>
        <v>0.10863636363636364</v>
      </c>
      <c r="BO69">
        <f t="shared" si="8"/>
        <v>524.4</v>
      </c>
    </row>
    <row r="70" spans="1:67" x14ac:dyDescent="0.25">
      <c r="A70" t="s">
        <v>348</v>
      </c>
      <c r="B70" t="s">
        <v>282</v>
      </c>
      <c r="C70" t="s">
        <v>246</v>
      </c>
      <c r="D70" t="s">
        <v>122</v>
      </c>
      <c r="E70">
        <v>19</v>
      </c>
      <c r="F70" t="s">
        <v>168</v>
      </c>
      <c r="G70" t="s">
        <v>193</v>
      </c>
      <c r="H70" t="s">
        <v>194</v>
      </c>
      <c r="I70" t="s">
        <v>236</v>
      </c>
      <c r="J70" t="s">
        <v>237</v>
      </c>
      <c r="K70" t="s">
        <v>238</v>
      </c>
      <c r="L70" t="s">
        <v>201</v>
      </c>
      <c r="M70" t="s">
        <v>127</v>
      </c>
      <c r="N70" t="s">
        <v>60</v>
      </c>
      <c r="O70" t="s">
        <v>61</v>
      </c>
      <c r="P70" s="1">
        <v>42493</v>
      </c>
      <c r="Q70">
        <v>8.1</v>
      </c>
      <c r="R70" t="s">
        <v>75</v>
      </c>
      <c r="S70" t="s">
        <v>130</v>
      </c>
      <c r="T70" t="s">
        <v>131</v>
      </c>
      <c r="U70">
        <v>4</v>
      </c>
      <c r="V70">
        <v>0</v>
      </c>
      <c r="W70" s="2">
        <v>2259</v>
      </c>
      <c r="X70" s="2">
        <v>1136</v>
      </c>
      <c r="Y70" s="2">
        <v>422</v>
      </c>
      <c r="Z70" s="2">
        <v>3817</v>
      </c>
      <c r="AA70">
        <v>395</v>
      </c>
      <c r="AB70" t="s">
        <v>65</v>
      </c>
      <c r="AC70">
        <v>19.8</v>
      </c>
      <c r="AD70">
        <v>48</v>
      </c>
      <c r="AE70">
        <v>37</v>
      </c>
      <c r="AF70" t="s">
        <v>132</v>
      </c>
      <c r="AG70">
        <v>18</v>
      </c>
      <c r="AH70" t="s">
        <v>113</v>
      </c>
      <c r="AI70" t="s">
        <v>95</v>
      </c>
      <c r="AJ70" t="s">
        <v>188</v>
      </c>
      <c r="AK70" t="s">
        <v>70</v>
      </c>
      <c r="AL70" t="s">
        <v>70</v>
      </c>
      <c r="AM70" t="s">
        <v>70</v>
      </c>
      <c r="AN70" t="s">
        <v>231</v>
      </c>
      <c r="AO70" t="s">
        <v>203</v>
      </c>
      <c r="AP70" t="s">
        <v>72</v>
      </c>
      <c r="AQ70" t="s">
        <v>136</v>
      </c>
      <c r="AR70" s="1">
        <v>43412</v>
      </c>
      <c r="AS70" t="s">
        <v>75</v>
      </c>
      <c r="AT70" t="s">
        <v>71</v>
      </c>
      <c r="AU70">
        <v>-488</v>
      </c>
      <c r="AV70" t="s">
        <v>179</v>
      </c>
      <c r="AW70" s="3">
        <v>45804</v>
      </c>
      <c r="AX70" t="s">
        <v>808</v>
      </c>
      <c r="AY70" t="s">
        <v>809</v>
      </c>
      <c r="AZ70" t="s">
        <v>810</v>
      </c>
      <c r="BA70" t="s">
        <v>800</v>
      </c>
      <c r="BB70" t="s">
        <v>801</v>
      </c>
      <c r="BC70" t="s">
        <v>802</v>
      </c>
      <c r="BD70" s="3">
        <v>0.10348441184176055</v>
      </c>
      <c r="BE70">
        <v>431.4</v>
      </c>
      <c r="BG70" s="2">
        <f t="shared" si="4"/>
        <v>45804</v>
      </c>
      <c r="BH70" t="str" cm="1">
        <f t="array" ref="BH70">_xlfn.IFS(Q70&lt;5,"0-5 Years",Q70&lt;10,"5-10 Years",Q70&lt;15,"10-15 Years",TRUE,"15+ Years")</f>
        <v>5-10 Years</v>
      </c>
      <c r="BI70" t="str" cm="1">
        <f t="array" ref="BI70">_xlfn.IFS(AA70&gt;=540,"A",AA70&gt;=480,"B",AA70&gt;=420,"C",AA70&gt;=360,"D",TRUE,"F")</f>
        <v>D</v>
      </c>
      <c r="BJ70" t="str" cm="1">
        <f t="array" ref="BJ70">_xlfn.IFS(AU70&lt;0,"Separated",AU70&lt;=90,"High Risk",AU70&lt;=180,"Medium Risk",TRUE,"Retained")</f>
        <v>Separated</v>
      </c>
      <c r="BK70" t="str" cm="1">
        <f t="array" ref="BK70">_xlfn.IFS(V70=0,"No Combat",V70=1,"1 Tour",V70=2,"2 Tours",TRUE,"3+ Tours")</f>
        <v>No Combat</v>
      </c>
      <c r="BL70" t="str">
        <f t="shared" si="5"/>
        <v>Standard</v>
      </c>
      <c r="BM70" t="str">
        <f t="shared" si="6"/>
        <v>Not Ready</v>
      </c>
      <c r="BN70" s="3">
        <f t="shared" si="7"/>
        <v>0.10348441184176055</v>
      </c>
      <c r="BO70">
        <f t="shared" si="8"/>
        <v>431.4</v>
      </c>
    </row>
    <row r="71" spans="1:67" x14ac:dyDescent="0.25">
      <c r="A71" t="s">
        <v>349</v>
      </c>
      <c r="B71" t="s">
        <v>205</v>
      </c>
      <c r="C71" t="s">
        <v>79</v>
      </c>
      <c r="D71" t="s">
        <v>51</v>
      </c>
      <c r="E71">
        <v>35</v>
      </c>
      <c r="F71" t="s">
        <v>291</v>
      </c>
      <c r="G71" t="s">
        <v>183</v>
      </c>
      <c r="H71" t="s">
        <v>184</v>
      </c>
      <c r="I71" t="s">
        <v>83</v>
      </c>
      <c r="J71" t="s">
        <v>84</v>
      </c>
      <c r="K71" t="s">
        <v>85</v>
      </c>
      <c r="L71" t="s">
        <v>106</v>
      </c>
      <c r="M71" t="s">
        <v>127</v>
      </c>
      <c r="N71" t="s">
        <v>148</v>
      </c>
      <c r="O71" t="s">
        <v>89</v>
      </c>
      <c r="P71" s="1">
        <v>38918</v>
      </c>
      <c r="Q71">
        <v>17.899999999999999</v>
      </c>
      <c r="R71" t="s">
        <v>150</v>
      </c>
      <c r="S71" t="s">
        <v>91</v>
      </c>
      <c r="T71" t="s">
        <v>92</v>
      </c>
      <c r="U71">
        <v>1</v>
      </c>
      <c r="V71">
        <v>0</v>
      </c>
      <c r="W71" s="2">
        <v>5696</v>
      </c>
      <c r="X71" s="2">
        <v>1387</v>
      </c>
      <c r="Y71" s="2">
        <v>266</v>
      </c>
      <c r="Z71" s="2">
        <v>7349</v>
      </c>
      <c r="AA71">
        <v>505</v>
      </c>
      <c r="AB71" t="s">
        <v>65</v>
      </c>
      <c r="AC71">
        <v>14</v>
      </c>
      <c r="AD71">
        <v>28</v>
      </c>
      <c r="AE71">
        <v>79</v>
      </c>
      <c r="AF71" t="s">
        <v>112</v>
      </c>
      <c r="AG71">
        <v>28</v>
      </c>
      <c r="AH71" t="s">
        <v>113</v>
      </c>
      <c r="AI71" t="s">
        <v>152</v>
      </c>
      <c r="AJ71" t="s">
        <v>188</v>
      </c>
      <c r="AK71" t="s">
        <v>70</v>
      </c>
      <c r="AL71" t="s">
        <v>71</v>
      </c>
      <c r="AM71" t="s">
        <v>70</v>
      </c>
      <c r="AN71" t="s">
        <v>202</v>
      </c>
      <c r="AO71" t="s">
        <v>287</v>
      </c>
      <c r="AP71" t="s">
        <v>227</v>
      </c>
      <c r="AQ71" t="s">
        <v>74</v>
      </c>
      <c r="AR71" s="1">
        <v>45556</v>
      </c>
      <c r="AS71" t="s">
        <v>118</v>
      </c>
      <c r="AT71" t="s">
        <v>71</v>
      </c>
      <c r="AU71">
        <v>-486</v>
      </c>
      <c r="AV71" t="s">
        <v>179</v>
      </c>
      <c r="AW71" s="3">
        <v>88188</v>
      </c>
      <c r="AX71" t="s">
        <v>798</v>
      </c>
      <c r="AY71" t="s">
        <v>806</v>
      </c>
      <c r="AZ71" t="s">
        <v>810</v>
      </c>
      <c r="BA71" t="s">
        <v>800</v>
      </c>
      <c r="BB71" t="s">
        <v>801</v>
      </c>
      <c r="BC71" t="s">
        <v>802</v>
      </c>
      <c r="BD71" s="3">
        <v>6.8716832222071034E-2</v>
      </c>
      <c r="BE71">
        <v>571.4</v>
      </c>
      <c r="BG71" s="2">
        <f t="shared" si="4"/>
        <v>88188</v>
      </c>
      <c r="BH71" t="str" cm="1">
        <f t="array" ref="BH71">_xlfn.IFS(Q71&lt;5,"0-5 Years",Q71&lt;10,"5-10 Years",Q71&lt;15,"10-15 Years",TRUE,"15+ Years")</f>
        <v>15+ Years</v>
      </c>
      <c r="BI71" t="str" cm="1">
        <f t="array" ref="BI71">_xlfn.IFS(AA71&gt;=540,"A",AA71&gt;=480,"B",AA71&gt;=420,"C",AA71&gt;=360,"D",TRUE,"F")</f>
        <v>B</v>
      </c>
      <c r="BJ71" t="str" cm="1">
        <f t="array" ref="BJ71">_xlfn.IFS(AU71&lt;0,"Separated",AU71&lt;=90,"High Risk",AU71&lt;=180,"Medium Risk",TRUE,"Retained")</f>
        <v>Separated</v>
      </c>
      <c r="BK71" t="str" cm="1">
        <f t="array" ref="BK71">_xlfn.IFS(V71=0,"No Combat",V71=1,"1 Tour",V71=2,"2 Tours",TRUE,"3+ Tours")</f>
        <v>No Combat</v>
      </c>
      <c r="BL71" t="str">
        <f t="shared" si="5"/>
        <v>Standard</v>
      </c>
      <c r="BM71" t="str">
        <f t="shared" si="6"/>
        <v>Not Ready</v>
      </c>
      <c r="BN71" s="3">
        <f t="shared" si="7"/>
        <v>6.8716832222071034E-2</v>
      </c>
      <c r="BO71">
        <f t="shared" si="8"/>
        <v>571.4</v>
      </c>
    </row>
    <row r="72" spans="1:67" x14ac:dyDescent="0.25">
      <c r="A72" t="s">
        <v>350</v>
      </c>
      <c r="B72" t="s">
        <v>229</v>
      </c>
      <c r="C72" t="s">
        <v>252</v>
      </c>
      <c r="D72" t="s">
        <v>51</v>
      </c>
      <c r="E72">
        <v>30</v>
      </c>
      <c r="F72" t="s">
        <v>278</v>
      </c>
      <c r="G72" t="s">
        <v>183</v>
      </c>
      <c r="H72" t="s">
        <v>184</v>
      </c>
      <c r="I72" t="s">
        <v>103</v>
      </c>
      <c r="J72" t="s">
        <v>104</v>
      </c>
      <c r="K72" t="s">
        <v>105</v>
      </c>
      <c r="L72" t="s">
        <v>126</v>
      </c>
      <c r="M72" t="s">
        <v>107</v>
      </c>
      <c r="N72" t="s">
        <v>108</v>
      </c>
      <c r="O72" t="s">
        <v>109</v>
      </c>
      <c r="P72" s="1">
        <v>41188</v>
      </c>
      <c r="Q72">
        <v>11.7</v>
      </c>
      <c r="R72" t="s">
        <v>75</v>
      </c>
      <c r="S72" t="s">
        <v>130</v>
      </c>
      <c r="T72" t="s">
        <v>131</v>
      </c>
      <c r="U72">
        <v>8</v>
      </c>
      <c r="V72">
        <v>1</v>
      </c>
      <c r="W72" s="2">
        <v>5696</v>
      </c>
      <c r="X72" s="2">
        <v>0</v>
      </c>
      <c r="Y72" s="2">
        <v>266</v>
      </c>
      <c r="Z72" s="2">
        <v>5962</v>
      </c>
      <c r="AA72">
        <v>298</v>
      </c>
      <c r="AB72" t="s">
        <v>151</v>
      </c>
      <c r="AC72">
        <v>12.8</v>
      </c>
      <c r="AD72">
        <v>62</v>
      </c>
      <c r="AE72">
        <v>56</v>
      </c>
      <c r="AF72" t="s">
        <v>93</v>
      </c>
      <c r="AG72">
        <v>22</v>
      </c>
      <c r="AH72" t="s">
        <v>113</v>
      </c>
      <c r="AI72" t="s">
        <v>114</v>
      </c>
      <c r="AJ72" t="s">
        <v>72</v>
      </c>
      <c r="AK72" t="s">
        <v>70</v>
      </c>
      <c r="AL72" t="s">
        <v>70</v>
      </c>
      <c r="AM72" t="s">
        <v>71</v>
      </c>
      <c r="AN72" t="s">
        <v>270</v>
      </c>
      <c r="AO72" t="s">
        <v>97</v>
      </c>
      <c r="AP72" t="s">
        <v>72</v>
      </c>
      <c r="AQ72" t="s">
        <v>136</v>
      </c>
      <c r="AR72" s="1">
        <v>42056</v>
      </c>
      <c r="AS72" t="s">
        <v>118</v>
      </c>
      <c r="AT72" t="s">
        <v>71</v>
      </c>
      <c r="AU72">
        <v>1563</v>
      </c>
      <c r="AV72" t="s">
        <v>76</v>
      </c>
      <c r="AW72" s="3">
        <v>71544</v>
      </c>
      <c r="AX72" t="s">
        <v>805</v>
      </c>
      <c r="AY72" t="s">
        <v>122</v>
      </c>
      <c r="AZ72" t="s">
        <v>76</v>
      </c>
      <c r="BA72" t="s">
        <v>807</v>
      </c>
      <c r="BB72" t="s">
        <v>801</v>
      </c>
      <c r="BC72" t="s">
        <v>802</v>
      </c>
      <c r="BD72" s="3">
        <v>4.9983227104998321E-2</v>
      </c>
      <c r="BE72">
        <v>362.4</v>
      </c>
      <c r="BG72" s="2">
        <f t="shared" si="4"/>
        <v>71544</v>
      </c>
      <c r="BH72" t="str" cm="1">
        <f t="array" ref="BH72">_xlfn.IFS(Q72&lt;5,"0-5 Years",Q72&lt;10,"5-10 Years",Q72&lt;15,"10-15 Years",TRUE,"15+ Years")</f>
        <v>10-15 Years</v>
      </c>
      <c r="BI72" t="str" cm="1">
        <f t="array" ref="BI72">_xlfn.IFS(AA72&gt;=540,"A",AA72&gt;=480,"B",AA72&gt;=420,"C",AA72&gt;=360,"D",TRUE,"F")</f>
        <v>F</v>
      </c>
      <c r="BJ72" t="str" cm="1">
        <f t="array" ref="BJ72">_xlfn.IFS(AU72&lt;0,"Separated",AU72&lt;=90,"High Risk",AU72&lt;=180,"Medium Risk",TRUE,"Retained")</f>
        <v>Retained</v>
      </c>
      <c r="BK72" t="str" cm="1">
        <f t="array" ref="BK72">_xlfn.IFS(V72=0,"No Combat",V72=1,"1 Tour",V72=2,"2 Tours",TRUE,"3+ Tours")</f>
        <v>1 Tour</v>
      </c>
      <c r="BL72" t="str">
        <f t="shared" si="5"/>
        <v>Standard</v>
      </c>
      <c r="BM72" t="str">
        <f t="shared" si="6"/>
        <v>Not Ready</v>
      </c>
      <c r="BN72" s="3">
        <f t="shared" si="7"/>
        <v>4.9983227104998321E-2</v>
      </c>
      <c r="BO72">
        <f t="shared" si="8"/>
        <v>362.4</v>
      </c>
    </row>
    <row r="73" spans="1:67" x14ac:dyDescent="0.25">
      <c r="A73" t="s">
        <v>351</v>
      </c>
      <c r="B73" t="s">
        <v>251</v>
      </c>
      <c r="C73" t="s">
        <v>182</v>
      </c>
      <c r="D73" t="s">
        <v>51</v>
      </c>
      <c r="E73">
        <v>40</v>
      </c>
      <c r="F73" t="s">
        <v>52</v>
      </c>
      <c r="G73" t="s">
        <v>215</v>
      </c>
      <c r="H73" t="s">
        <v>216</v>
      </c>
      <c r="I73" t="s">
        <v>225</v>
      </c>
      <c r="J73" t="s">
        <v>226</v>
      </c>
      <c r="K73" t="s">
        <v>105</v>
      </c>
      <c r="L73" t="s">
        <v>201</v>
      </c>
      <c r="M73" t="s">
        <v>175</v>
      </c>
      <c r="N73" t="s">
        <v>128</v>
      </c>
      <c r="O73" t="s">
        <v>176</v>
      </c>
      <c r="P73" s="1">
        <v>40293</v>
      </c>
      <c r="Q73">
        <v>14.1</v>
      </c>
      <c r="R73" t="s">
        <v>150</v>
      </c>
      <c r="S73" t="s">
        <v>110</v>
      </c>
      <c r="T73" t="s">
        <v>111</v>
      </c>
      <c r="U73">
        <v>4</v>
      </c>
      <c r="V73">
        <v>0</v>
      </c>
      <c r="W73" s="2">
        <v>3637</v>
      </c>
      <c r="X73" s="2">
        <v>0</v>
      </c>
      <c r="Y73" s="2">
        <v>266</v>
      </c>
      <c r="Z73" s="2">
        <v>3903</v>
      </c>
      <c r="AA73">
        <v>575</v>
      </c>
      <c r="AB73" t="s">
        <v>65</v>
      </c>
      <c r="AC73">
        <v>16</v>
      </c>
      <c r="AD73">
        <v>37</v>
      </c>
      <c r="AE73">
        <v>33</v>
      </c>
      <c r="AF73" t="s">
        <v>93</v>
      </c>
      <c r="AG73">
        <v>36</v>
      </c>
      <c r="AH73" t="s">
        <v>94</v>
      </c>
      <c r="AI73" t="s">
        <v>95</v>
      </c>
      <c r="AJ73" t="s">
        <v>96</v>
      </c>
      <c r="AK73" t="s">
        <v>70</v>
      </c>
      <c r="AL73" t="s">
        <v>70</v>
      </c>
      <c r="AM73" t="s">
        <v>70</v>
      </c>
      <c r="AN73" t="s">
        <v>72</v>
      </c>
      <c r="AO73" t="s">
        <v>72</v>
      </c>
      <c r="AP73" t="s">
        <v>72</v>
      </c>
      <c r="AQ73" t="s">
        <v>74</v>
      </c>
      <c r="AR73" s="1">
        <v>41685</v>
      </c>
      <c r="AS73" t="s">
        <v>118</v>
      </c>
      <c r="AT73" t="s">
        <v>71</v>
      </c>
      <c r="AU73">
        <v>1703</v>
      </c>
      <c r="AV73" t="s">
        <v>76</v>
      </c>
      <c r="AW73" s="3">
        <v>46836</v>
      </c>
      <c r="AX73" t="s">
        <v>805</v>
      </c>
      <c r="AY73" t="s">
        <v>799</v>
      </c>
      <c r="AZ73" t="s">
        <v>76</v>
      </c>
      <c r="BA73" t="s">
        <v>800</v>
      </c>
      <c r="BB73" t="s">
        <v>814</v>
      </c>
      <c r="BC73" t="s">
        <v>802</v>
      </c>
      <c r="BD73" s="3">
        <v>0.14732257238022034</v>
      </c>
      <c r="BE73">
        <v>647.4</v>
      </c>
      <c r="BG73" s="2">
        <f t="shared" si="4"/>
        <v>46836</v>
      </c>
      <c r="BH73" t="str" cm="1">
        <f t="array" ref="BH73">_xlfn.IFS(Q73&lt;5,"0-5 Years",Q73&lt;10,"5-10 Years",Q73&lt;15,"10-15 Years",TRUE,"15+ Years")</f>
        <v>10-15 Years</v>
      </c>
      <c r="BI73" t="str" cm="1">
        <f t="array" ref="BI73">_xlfn.IFS(AA73&gt;=540,"A",AA73&gt;=480,"B",AA73&gt;=420,"C",AA73&gt;=360,"D",TRUE,"F")</f>
        <v>A</v>
      </c>
      <c r="BJ73" t="str" cm="1">
        <f t="array" ref="BJ73">_xlfn.IFS(AU73&lt;0,"Separated",AU73&lt;=90,"High Risk",AU73&lt;=180,"Medium Risk",TRUE,"Retained")</f>
        <v>Retained</v>
      </c>
      <c r="BK73" t="str" cm="1">
        <f t="array" ref="BK73">_xlfn.IFS(V73=0,"No Combat",V73=1,"1 Tour",V73=2,"2 Tours",TRUE,"3+ Tours")</f>
        <v>No Combat</v>
      </c>
      <c r="BL73" t="str">
        <f t="shared" si="5"/>
        <v>High Performer</v>
      </c>
      <c r="BM73" t="str">
        <f t="shared" si="6"/>
        <v>Not Ready</v>
      </c>
      <c r="BN73" s="3">
        <f t="shared" si="7"/>
        <v>0.14732257238022034</v>
      </c>
      <c r="BO73">
        <f t="shared" si="8"/>
        <v>647.4</v>
      </c>
    </row>
    <row r="74" spans="1:67" x14ac:dyDescent="0.25">
      <c r="A74" t="s">
        <v>352</v>
      </c>
      <c r="B74" t="s">
        <v>120</v>
      </c>
      <c r="C74" t="s">
        <v>353</v>
      </c>
      <c r="D74" t="s">
        <v>122</v>
      </c>
      <c r="E74">
        <v>39</v>
      </c>
      <c r="F74" t="s">
        <v>305</v>
      </c>
      <c r="G74" t="s">
        <v>142</v>
      </c>
      <c r="H74" t="s">
        <v>143</v>
      </c>
      <c r="I74" t="s">
        <v>144</v>
      </c>
      <c r="J74" t="s">
        <v>145</v>
      </c>
      <c r="K74" t="s">
        <v>146</v>
      </c>
      <c r="L74" t="s">
        <v>106</v>
      </c>
      <c r="M74" t="s">
        <v>275</v>
      </c>
      <c r="N74" t="s">
        <v>128</v>
      </c>
      <c r="O74" t="s">
        <v>109</v>
      </c>
      <c r="P74" s="1">
        <v>38825</v>
      </c>
      <c r="Q74">
        <v>18.100000000000001</v>
      </c>
      <c r="R74" t="s">
        <v>150</v>
      </c>
      <c r="S74" t="s">
        <v>63</v>
      </c>
      <c r="T74" t="s">
        <v>64</v>
      </c>
      <c r="U74">
        <v>0</v>
      </c>
      <c r="V74">
        <v>0</v>
      </c>
      <c r="W74" s="2">
        <v>5473</v>
      </c>
      <c r="X74" s="2">
        <v>1645</v>
      </c>
      <c r="Y74" s="2">
        <v>422</v>
      </c>
      <c r="Z74" s="2">
        <v>7540</v>
      </c>
      <c r="AA74">
        <v>414</v>
      </c>
      <c r="AB74" t="s">
        <v>65</v>
      </c>
      <c r="AC74">
        <v>17.2</v>
      </c>
      <c r="AD74">
        <v>28</v>
      </c>
      <c r="AE74">
        <v>54</v>
      </c>
      <c r="AF74" t="s">
        <v>112</v>
      </c>
      <c r="AG74">
        <v>22</v>
      </c>
      <c r="AH74" t="s">
        <v>113</v>
      </c>
      <c r="AI74" t="s">
        <v>152</v>
      </c>
      <c r="AJ74" t="s">
        <v>188</v>
      </c>
      <c r="AK74" t="s">
        <v>71</v>
      </c>
      <c r="AL74" t="s">
        <v>70</v>
      </c>
      <c r="AM74" t="s">
        <v>70</v>
      </c>
      <c r="AN74" t="s">
        <v>202</v>
      </c>
      <c r="AO74" t="s">
        <v>221</v>
      </c>
      <c r="AP74" t="s">
        <v>287</v>
      </c>
      <c r="AQ74" t="s">
        <v>117</v>
      </c>
      <c r="AR74" s="1">
        <v>45309</v>
      </c>
      <c r="AS74" t="s">
        <v>137</v>
      </c>
      <c r="AT74" t="s">
        <v>71</v>
      </c>
      <c r="AU74">
        <v>1789</v>
      </c>
      <c r="AV74" t="s">
        <v>76</v>
      </c>
      <c r="AW74" s="3">
        <v>90480</v>
      </c>
      <c r="AX74" t="s">
        <v>798</v>
      </c>
      <c r="AY74" t="s">
        <v>809</v>
      </c>
      <c r="AZ74" t="s">
        <v>76</v>
      </c>
      <c r="BA74" t="s">
        <v>800</v>
      </c>
      <c r="BB74" t="s">
        <v>801</v>
      </c>
      <c r="BC74" t="s">
        <v>802</v>
      </c>
      <c r="BD74" s="3">
        <v>5.4907161803713529E-2</v>
      </c>
      <c r="BE74">
        <v>468.4</v>
      </c>
      <c r="BG74" s="2">
        <f t="shared" si="4"/>
        <v>90480</v>
      </c>
      <c r="BH74" t="str" cm="1">
        <f t="array" ref="BH74">_xlfn.IFS(Q74&lt;5,"0-5 Years",Q74&lt;10,"5-10 Years",Q74&lt;15,"10-15 Years",TRUE,"15+ Years")</f>
        <v>15+ Years</v>
      </c>
      <c r="BI74" t="str" cm="1">
        <f t="array" ref="BI74">_xlfn.IFS(AA74&gt;=540,"A",AA74&gt;=480,"B",AA74&gt;=420,"C",AA74&gt;=360,"D",TRUE,"F")</f>
        <v>D</v>
      </c>
      <c r="BJ74" t="str" cm="1">
        <f t="array" ref="BJ74">_xlfn.IFS(AU74&lt;0,"Separated",AU74&lt;=90,"High Risk",AU74&lt;=180,"Medium Risk",TRUE,"Retained")</f>
        <v>Retained</v>
      </c>
      <c r="BK74" t="str" cm="1">
        <f t="array" ref="BK74">_xlfn.IFS(V74=0,"No Combat",V74=1,"1 Tour",V74=2,"2 Tours",TRUE,"3+ Tours")</f>
        <v>No Combat</v>
      </c>
      <c r="BL74" t="str">
        <f t="shared" si="5"/>
        <v>Standard</v>
      </c>
      <c r="BM74" t="str">
        <f t="shared" si="6"/>
        <v>Not Ready</v>
      </c>
      <c r="BN74" s="3">
        <f t="shared" si="7"/>
        <v>5.4907161803713529E-2</v>
      </c>
      <c r="BO74">
        <f t="shared" si="8"/>
        <v>468.4</v>
      </c>
    </row>
    <row r="75" spans="1:67" x14ac:dyDescent="0.25">
      <c r="A75" t="s">
        <v>354</v>
      </c>
      <c r="B75" t="s">
        <v>263</v>
      </c>
      <c r="C75" t="s">
        <v>167</v>
      </c>
      <c r="D75" t="s">
        <v>51</v>
      </c>
      <c r="E75">
        <v>34</v>
      </c>
      <c r="F75" t="s">
        <v>141</v>
      </c>
      <c r="G75" t="s">
        <v>215</v>
      </c>
      <c r="H75" t="s">
        <v>216</v>
      </c>
      <c r="I75" t="s">
        <v>217</v>
      </c>
      <c r="J75" t="s">
        <v>218</v>
      </c>
      <c r="K75" t="s">
        <v>146</v>
      </c>
      <c r="L75" t="s">
        <v>174</v>
      </c>
      <c r="M75" t="s">
        <v>107</v>
      </c>
      <c r="N75" t="s">
        <v>108</v>
      </c>
      <c r="O75" t="s">
        <v>89</v>
      </c>
      <c r="P75" s="1">
        <v>44471</v>
      </c>
      <c r="Q75">
        <v>2.7</v>
      </c>
      <c r="R75" t="s">
        <v>208</v>
      </c>
      <c r="S75" t="s">
        <v>196</v>
      </c>
      <c r="T75" t="s">
        <v>197</v>
      </c>
      <c r="U75">
        <v>0</v>
      </c>
      <c r="V75">
        <v>0</v>
      </c>
      <c r="W75" s="2">
        <v>3637</v>
      </c>
      <c r="X75" s="2">
        <v>0</v>
      </c>
      <c r="Y75" s="2">
        <v>266</v>
      </c>
      <c r="Z75" s="2">
        <v>3903</v>
      </c>
      <c r="AA75">
        <v>493</v>
      </c>
      <c r="AB75" t="s">
        <v>65</v>
      </c>
      <c r="AC75">
        <v>18.399999999999999</v>
      </c>
      <c r="AD75">
        <v>65</v>
      </c>
      <c r="AE75">
        <v>43</v>
      </c>
      <c r="AF75" t="s">
        <v>93</v>
      </c>
      <c r="AG75">
        <v>33</v>
      </c>
      <c r="AH75" t="s">
        <v>67</v>
      </c>
      <c r="AI75" t="s">
        <v>95</v>
      </c>
      <c r="AJ75" t="s">
        <v>96</v>
      </c>
      <c r="AK75" t="s">
        <v>70</v>
      </c>
      <c r="AL75" t="s">
        <v>70</v>
      </c>
      <c r="AM75" t="s">
        <v>70</v>
      </c>
      <c r="AN75" t="s">
        <v>133</v>
      </c>
      <c r="AO75" t="s">
        <v>221</v>
      </c>
      <c r="AP75" t="s">
        <v>227</v>
      </c>
      <c r="AQ75" t="s">
        <v>74</v>
      </c>
      <c r="AR75" s="1">
        <v>45158</v>
      </c>
      <c r="AS75" t="s">
        <v>137</v>
      </c>
      <c r="AT75" t="s">
        <v>71</v>
      </c>
      <c r="AU75">
        <v>811</v>
      </c>
      <c r="AV75" t="s">
        <v>76</v>
      </c>
      <c r="AW75" s="3">
        <v>46836</v>
      </c>
      <c r="AX75" t="s">
        <v>803</v>
      </c>
      <c r="AY75" t="s">
        <v>806</v>
      </c>
      <c r="AZ75" t="s">
        <v>76</v>
      </c>
      <c r="BA75" t="s">
        <v>800</v>
      </c>
      <c r="BB75" t="s">
        <v>801</v>
      </c>
      <c r="BC75" t="s">
        <v>802</v>
      </c>
      <c r="BD75" s="3">
        <v>0.12631309249295414</v>
      </c>
      <c r="BE75">
        <v>559.4</v>
      </c>
      <c r="BG75" s="2">
        <f t="shared" si="4"/>
        <v>46836</v>
      </c>
      <c r="BH75" t="str" cm="1">
        <f t="array" ref="BH75">_xlfn.IFS(Q75&lt;5,"0-5 Years",Q75&lt;10,"5-10 Years",Q75&lt;15,"10-15 Years",TRUE,"15+ Years")</f>
        <v>0-5 Years</v>
      </c>
      <c r="BI75" t="str" cm="1">
        <f t="array" ref="BI75">_xlfn.IFS(AA75&gt;=540,"A",AA75&gt;=480,"B",AA75&gt;=420,"C",AA75&gt;=360,"D",TRUE,"F")</f>
        <v>B</v>
      </c>
      <c r="BJ75" t="str" cm="1">
        <f t="array" ref="BJ75">_xlfn.IFS(AU75&lt;0,"Separated",AU75&lt;=90,"High Risk",AU75&lt;=180,"Medium Risk",TRUE,"Retained")</f>
        <v>Retained</v>
      </c>
      <c r="BK75" t="str" cm="1">
        <f t="array" ref="BK75">_xlfn.IFS(V75=0,"No Combat",V75=1,"1 Tour",V75=2,"2 Tours",TRUE,"3+ Tours")</f>
        <v>No Combat</v>
      </c>
      <c r="BL75" t="str">
        <f t="shared" si="5"/>
        <v>Standard</v>
      </c>
      <c r="BM75" t="str">
        <f t="shared" si="6"/>
        <v>Not Ready</v>
      </c>
      <c r="BN75" s="3">
        <f t="shared" si="7"/>
        <v>0.12631309249295414</v>
      </c>
      <c r="BO75">
        <f t="shared" si="8"/>
        <v>559.4</v>
      </c>
    </row>
    <row r="76" spans="1:67" x14ac:dyDescent="0.25">
      <c r="A76" t="s">
        <v>355</v>
      </c>
      <c r="B76" t="s">
        <v>267</v>
      </c>
      <c r="C76" t="s">
        <v>332</v>
      </c>
      <c r="D76" t="s">
        <v>51</v>
      </c>
      <c r="E76">
        <v>41</v>
      </c>
      <c r="F76" t="s">
        <v>248</v>
      </c>
      <c r="G76" t="s">
        <v>183</v>
      </c>
      <c r="H76" t="s">
        <v>184</v>
      </c>
      <c r="I76" t="s">
        <v>268</v>
      </c>
      <c r="J76" t="s">
        <v>269</v>
      </c>
      <c r="K76" t="s">
        <v>173</v>
      </c>
      <c r="L76" t="s">
        <v>201</v>
      </c>
      <c r="M76" t="s">
        <v>107</v>
      </c>
      <c r="N76" t="s">
        <v>265</v>
      </c>
      <c r="O76" t="s">
        <v>149</v>
      </c>
      <c r="P76" s="1">
        <v>38485</v>
      </c>
      <c r="Q76">
        <v>19.100000000000001</v>
      </c>
      <c r="R76" t="s">
        <v>195</v>
      </c>
      <c r="S76" t="s">
        <v>110</v>
      </c>
      <c r="T76" t="s">
        <v>111</v>
      </c>
      <c r="U76">
        <v>13</v>
      </c>
      <c r="V76">
        <v>2</v>
      </c>
      <c r="W76" s="2">
        <v>5696</v>
      </c>
      <c r="X76" s="2">
        <v>0</v>
      </c>
      <c r="Y76" s="2">
        <v>266</v>
      </c>
      <c r="Z76" s="2">
        <v>5962</v>
      </c>
      <c r="AA76">
        <v>581</v>
      </c>
      <c r="AB76" t="s">
        <v>65</v>
      </c>
      <c r="AC76">
        <v>14.2</v>
      </c>
      <c r="AD76">
        <v>34</v>
      </c>
      <c r="AE76">
        <v>54</v>
      </c>
      <c r="AF76" t="s">
        <v>93</v>
      </c>
      <c r="AG76">
        <v>31</v>
      </c>
      <c r="AH76" t="s">
        <v>67</v>
      </c>
      <c r="AI76" t="s">
        <v>114</v>
      </c>
      <c r="AJ76" t="s">
        <v>69</v>
      </c>
      <c r="AK76" t="s">
        <v>70</v>
      </c>
      <c r="AL76" t="s">
        <v>70</v>
      </c>
      <c r="AM76" t="s">
        <v>70</v>
      </c>
      <c r="AN76" t="s">
        <v>231</v>
      </c>
      <c r="AO76" t="s">
        <v>203</v>
      </c>
      <c r="AP76" t="s">
        <v>72</v>
      </c>
      <c r="AQ76" t="s">
        <v>117</v>
      </c>
      <c r="AR76" s="1">
        <v>39860</v>
      </c>
      <c r="AS76" t="s">
        <v>118</v>
      </c>
      <c r="AT76" t="s">
        <v>71</v>
      </c>
      <c r="AU76">
        <v>1720</v>
      </c>
      <c r="AV76" t="s">
        <v>76</v>
      </c>
      <c r="AW76" s="3">
        <v>71544</v>
      </c>
      <c r="AX76" t="s">
        <v>798</v>
      </c>
      <c r="AY76" t="s">
        <v>799</v>
      </c>
      <c r="AZ76" t="s">
        <v>76</v>
      </c>
      <c r="BA76" t="s">
        <v>811</v>
      </c>
      <c r="BB76" t="s">
        <v>801</v>
      </c>
      <c r="BC76" t="s">
        <v>802</v>
      </c>
      <c r="BD76" s="3">
        <v>9.7450519959745047E-2</v>
      </c>
      <c r="BE76">
        <v>643.4</v>
      </c>
      <c r="BG76" s="2">
        <f t="shared" si="4"/>
        <v>71544</v>
      </c>
      <c r="BH76" t="str" cm="1">
        <f t="array" ref="BH76">_xlfn.IFS(Q76&lt;5,"0-5 Years",Q76&lt;10,"5-10 Years",Q76&lt;15,"10-15 Years",TRUE,"15+ Years")</f>
        <v>15+ Years</v>
      </c>
      <c r="BI76" t="str" cm="1">
        <f t="array" ref="BI76">_xlfn.IFS(AA76&gt;=540,"A",AA76&gt;=480,"B",AA76&gt;=420,"C",AA76&gt;=360,"D",TRUE,"F")</f>
        <v>A</v>
      </c>
      <c r="BJ76" t="str" cm="1">
        <f t="array" ref="BJ76">_xlfn.IFS(AU76&lt;0,"Separated",AU76&lt;=90,"High Risk",AU76&lt;=180,"Medium Risk",TRUE,"Retained")</f>
        <v>Retained</v>
      </c>
      <c r="BK76" t="str" cm="1">
        <f t="array" ref="BK76">_xlfn.IFS(V76=0,"No Combat",V76=1,"1 Tour",V76=2,"2 Tours",TRUE,"3+ Tours")</f>
        <v>2 Tours</v>
      </c>
      <c r="BL76" t="str">
        <f t="shared" si="5"/>
        <v>Standard</v>
      </c>
      <c r="BM76" t="str">
        <f t="shared" si="6"/>
        <v>Not Ready</v>
      </c>
      <c r="BN76" s="3">
        <f t="shared" si="7"/>
        <v>9.7450519959745047E-2</v>
      </c>
      <c r="BO76">
        <f t="shared" si="8"/>
        <v>643.4</v>
      </c>
    </row>
    <row r="77" spans="1:67" x14ac:dyDescent="0.25">
      <c r="A77" t="s">
        <v>356</v>
      </c>
      <c r="B77" t="s">
        <v>259</v>
      </c>
      <c r="C77" t="s">
        <v>191</v>
      </c>
      <c r="D77" t="s">
        <v>51</v>
      </c>
      <c r="E77">
        <v>18</v>
      </c>
      <c r="F77" t="s">
        <v>283</v>
      </c>
      <c r="G77" t="s">
        <v>298</v>
      </c>
      <c r="H77" t="s">
        <v>299</v>
      </c>
      <c r="I77" t="s">
        <v>292</v>
      </c>
      <c r="J77" t="s">
        <v>293</v>
      </c>
      <c r="K77" t="s">
        <v>294</v>
      </c>
      <c r="L77" t="s">
        <v>174</v>
      </c>
      <c r="M77" t="s">
        <v>212</v>
      </c>
      <c r="N77" t="s">
        <v>108</v>
      </c>
      <c r="O77" t="s">
        <v>149</v>
      </c>
      <c r="P77" s="1">
        <v>38909</v>
      </c>
      <c r="Q77">
        <v>17.899999999999999</v>
      </c>
      <c r="R77" t="s">
        <v>150</v>
      </c>
      <c r="S77" t="s">
        <v>219</v>
      </c>
      <c r="T77" t="s">
        <v>220</v>
      </c>
      <c r="U77">
        <v>0</v>
      </c>
      <c r="V77">
        <v>0</v>
      </c>
      <c r="W77" s="2">
        <v>2149</v>
      </c>
      <c r="X77" s="2">
        <v>0</v>
      </c>
      <c r="Y77" s="2">
        <v>422</v>
      </c>
      <c r="Z77" s="2">
        <v>2571</v>
      </c>
      <c r="AA77">
        <v>320</v>
      </c>
      <c r="AB77" t="s">
        <v>151</v>
      </c>
      <c r="AC77">
        <v>14.4</v>
      </c>
      <c r="AD77">
        <v>49</v>
      </c>
      <c r="AE77">
        <v>53</v>
      </c>
      <c r="AF77" t="s">
        <v>132</v>
      </c>
      <c r="AG77">
        <v>37</v>
      </c>
      <c r="AH77" t="s">
        <v>94</v>
      </c>
      <c r="AI77" t="s">
        <v>95</v>
      </c>
      <c r="AJ77" t="s">
        <v>72</v>
      </c>
      <c r="AK77" t="s">
        <v>70</v>
      </c>
      <c r="AL77" t="s">
        <v>70</v>
      </c>
      <c r="AM77" t="s">
        <v>70</v>
      </c>
      <c r="AN77" t="s">
        <v>72</v>
      </c>
      <c r="AO77" t="s">
        <v>287</v>
      </c>
      <c r="AP77" t="s">
        <v>72</v>
      </c>
      <c r="AQ77" t="s">
        <v>74</v>
      </c>
      <c r="AR77" s="1">
        <v>39507</v>
      </c>
      <c r="AS77" t="s">
        <v>118</v>
      </c>
      <c r="AT77" t="s">
        <v>71</v>
      </c>
      <c r="AU77">
        <v>1647</v>
      </c>
      <c r="AV77" t="s">
        <v>76</v>
      </c>
      <c r="AW77" s="3">
        <v>30852</v>
      </c>
      <c r="AX77" t="s">
        <v>798</v>
      </c>
      <c r="AY77" t="s">
        <v>122</v>
      </c>
      <c r="AZ77" t="s">
        <v>76</v>
      </c>
      <c r="BA77" t="s">
        <v>800</v>
      </c>
      <c r="BB77" t="s">
        <v>801</v>
      </c>
      <c r="BC77" t="s">
        <v>802</v>
      </c>
      <c r="BD77" s="3">
        <v>0.12446518864255153</v>
      </c>
      <c r="BE77">
        <v>394.4</v>
      </c>
      <c r="BG77" s="2">
        <f t="shared" si="4"/>
        <v>30852</v>
      </c>
      <c r="BH77" t="str" cm="1">
        <f t="array" ref="BH77">_xlfn.IFS(Q77&lt;5,"0-5 Years",Q77&lt;10,"5-10 Years",Q77&lt;15,"10-15 Years",TRUE,"15+ Years")</f>
        <v>15+ Years</v>
      </c>
      <c r="BI77" t="str" cm="1">
        <f t="array" ref="BI77">_xlfn.IFS(AA77&gt;=540,"A",AA77&gt;=480,"B",AA77&gt;=420,"C",AA77&gt;=360,"D",TRUE,"F")</f>
        <v>F</v>
      </c>
      <c r="BJ77" t="str" cm="1">
        <f t="array" ref="BJ77">_xlfn.IFS(AU77&lt;0,"Separated",AU77&lt;=90,"High Risk",AU77&lt;=180,"Medium Risk",TRUE,"Retained")</f>
        <v>Retained</v>
      </c>
      <c r="BK77" t="str" cm="1">
        <f t="array" ref="BK77">_xlfn.IFS(V77=0,"No Combat",V77=1,"1 Tour",V77=2,"2 Tours",TRUE,"3+ Tours")</f>
        <v>No Combat</v>
      </c>
      <c r="BL77" t="str">
        <f t="shared" si="5"/>
        <v>Standard</v>
      </c>
      <c r="BM77" t="str">
        <f t="shared" si="6"/>
        <v>Not Ready</v>
      </c>
      <c r="BN77" s="3">
        <f t="shared" si="7"/>
        <v>0.12446518864255153</v>
      </c>
      <c r="BO77">
        <f t="shared" si="8"/>
        <v>394.4</v>
      </c>
    </row>
    <row r="78" spans="1:67" x14ac:dyDescent="0.25">
      <c r="A78" t="s">
        <v>357</v>
      </c>
      <c r="B78" t="s">
        <v>263</v>
      </c>
      <c r="C78" t="s">
        <v>182</v>
      </c>
      <c r="D78" t="s">
        <v>51</v>
      </c>
      <c r="E78">
        <v>45</v>
      </c>
      <c r="F78" t="s">
        <v>52</v>
      </c>
      <c r="G78" t="s">
        <v>242</v>
      </c>
      <c r="H78" t="s">
        <v>54</v>
      </c>
      <c r="I78" t="s">
        <v>144</v>
      </c>
      <c r="J78" t="s">
        <v>145</v>
      </c>
      <c r="K78" t="s">
        <v>146</v>
      </c>
      <c r="L78" t="s">
        <v>86</v>
      </c>
      <c r="M78" t="s">
        <v>207</v>
      </c>
      <c r="N78" t="s">
        <v>128</v>
      </c>
      <c r="O78" t="s">
        <v>109</v>
      </c>
      <c r="P78" s="1">
        <v>39000</v>
      </c>
      <c r="Q78">
        <v>17.600000000000001</v>
      </c>
      <c r="R78" t="s">
        <v>150</v>
      </c>
      <c r="S78" t="s">
        <v>110</v>
      </c>
      <c r="T78" t="s">
        <v>111</v>
      </c>
      <c r="U78">
        <v>12</v>
      </c>
      <c r="V78">
        <v>2</v>
      </c>
      <c r="W78" s="2">
        <v>4739</v>
      </c>
      <c r="X78" s="2">
        <v>0</v>
      </c>
      <c r="Y78" s="2">
        <v>422</v>
      </c>
      <c r="Z78" s="2">
        <v>5161</v>
      </c>
      <c r="AA78">
        <v>331</v>
      </c>
      <c r="AB78" t="s">
        <v>151</v>
      </c>
      <c r="AC78">
        <v>20.9</v>
      </c>
      <c r="AD78">
        <v>34</v>
      </c>
      <c r="AE78">
        <v>49</v>
      </c>
      <c r="AF78" t="s">
        <v>66</v>
      </c>
      <c r="AG78">
        <v>18</v>
      </c>
      <c r="AH78" t="s">
        <v>113</v>
      </c>
      <c r="AI78" t="s">
        <v>68</v>
      </c>
      <c r="AJ78" t="s">
        <v>72</v>
      </c>
      <c r="AK78" t="s">
        <v>70</v>
      </c>
      <c r="AL78" t="s">
        <v>71</v>
      </c>
      <c r="AM78" t="s">
        <v>70</v>
      </c>
      <c r="AN78" t="s">
        <v>270</v>
      </c>
      <c r="AO78" t="s">
        <v>227</v>
      </c>
      <c r="AP78" t="s">
        <v>72</v>
      </c>
      <c r="AQ78" t="s">
        <v>74</v>
      </c>
      <c r="AR78" s="1">
        <v>40600</v>
      </c>
      <c r="AS78" t="s">
        <v>137</v>
      </c>
      <c r="AT78" t="s">
        <v>71</v>
      </c>
      <c r="AU78">
        <v>365</v>
      </c>
      <c r="AV78" t="s">
        <v>76</v>
      </c>
      <c r="AW78" s="3">
        <v>61932</v>
      </c>
      <c r="AX78" t="s">
        <v>798</v>
      </c>
      <c r="AY78" t="s">
        <v>122</v>
      </c>
      <c r="AZ78" t="s">
        <v>76</v>
      </c>
      <c r="BA78" t="s">
        <v>811</v>
      </c>
      <c r="BB78" t="s">
        <v>801</v>
      </c>
      <c r="BC78" t="s">
        <v>802</v>
      </c>
      <c r="BD78" s="3">
        <v>6.4134857585739197E-2</v>
      </c>
      <c r="BE78">
        <v>377.4</v>
      </c>
      <c r="BG78" s="2">
        <f t="shared" si="4"/>
        <v>61932</v>
      </c>
      <c r="BH78" t="str" cm="1">
        <f t="array" ref="BH78">_xlfn.IFS(Q78&lt;5,"0-5 Years",Q78&lt;10,"5-10 Years",Q78&lt;15,"10-15 Years",TRUE,"15+ Years")</f>
        <v>15+ Years</v>
      </c>
      <c r="BI78" t="str" cm="1">
        <f t="array" ref="BI78">_xlfn.IFS(AA78&gt;=540,"A",AA78&gt;=480,"B",AA78&gt;=420,"C",AA78&gt;=360,"D",TRUE,"F")</f>
        <v>F</v>
      </c>
      <c r="BJ78" t="str" cm="1">
        <f t="array" ref="BJ78">_xlfn.IFS(AU78&lt;0,"Separated",AU78&lt;=90,"High Risk",AU78&lt;=180,"Medium Risk",TRUE,"Retained")</f>
        <v>Retained</v>
      </c>
      <c r="BK78" t="str" cm="1">
        <f t="array" ref="BK78">_xlfn.IFS(V78=0,"No Combat",V78=1,"1 Tour",V78=2,"2 Tours",TRUE,"3+ Tours")</f>
        <v>2 Tours</v>
      </c>
      <c r="BL78" t="str">
        <f t="shared" si="5"/>
        <v>Standard</v>
      </c>
      <c r="BM78" t="str">
        <f t="shared" si="6"/>
        <v>Not Ready</v>
      </c>
      <c r="BN78" s="3">
        <f t="shared" si="7"/>
        <v>6.4134857585739197E-2</v>
      </c>
      <c r="BO78">
        <f t="shared" si="8"/>
        <v>377.4</v>
      </c>
    </row>
    <row r="79" spans="1:67" x14ac:dyDescent="0.25">
      <c r="A79" t="s">
        <v>358</v>
      </c>
      <c r="B79" t="s">
        <v>205</v>
      </c>
      <c r="C79" t="s">
        <v>206</v>
      </c>
      <c r="D79" t="s">
        <v>122</v>
      </c>
      <c r="E79">
        <v>43</v>
      </c>
      <c r="F79" t="s">
        <v>325</v>
      </c>
      <c r="G79" t="s">
        <v>193</v>
      </c>
      <c r="H79" t="s">
        <v>194</v>
      </c>
      <c r="I79" t="s">
        <v>158</v>
      </c>
      <c r="J79" t="s">
        <v>159</v>
      </c>
      <c r="K79" t="s">
        <v>160</v>
      </c>
      <c r="L79" t="s">
        <v>86</v>
      </c>
      <c r="M79" t="s">
        <v>147</v>
      </c>
      <c r="N79" t="s">
        <v>148</v>
      </c>
      <c r="O79" t="s">
        <v>89</v>
      </c>
      <c r="P79" s="1">
        <v>39822</v>
      </c>
      <c r="Q79">
        <v>15.4</v>
      </c>
      <c r="R79" t="s">
        <v>129</v>
      </c>
      <c r="S79" t="s">
        <v>196</v>
      </c>
      <c r="T79" t="s">
        <v>197</v>
      </c>
      <c r="U79">
        <v>0</v>
      </c>
      <c r="V79">
        <v>0</v>
      </c>
      <c r="W79" s="2">
        <v>2259</v>
      </c>
      <c r="X79" s="2">
        <v>0</v>
      </c>
      <c r="Y79" s="2">
        <v>422</v>
      </c>
      <c r="Z79" s="2">
        <v>2681</v>
      </c>
      <c r="AA79">
        <v>493</v>
      </c>
      <c r="AB79" t="s">
        <v>65</v>
      </c>
      <c r="AC79">
        <v>20.7</v>
      </c>
      <c r="AD79">
        <v>57</v>
      </c>
      <c r="AE79">
        <v>39</v>
      </c>
      <c r="AF79" t="s">
        <v>66</v>
      </c>
      <c r="AG79">
        <v>25</v>
      </c>
      <c r="AH79" t="s">
        <v>113</v>
      </c>
      <c r="AI79" t="s">
        <v>152</v>
      </c>
      <c r="AJ79" t="s">
        <v>96</v>
      </c>
      <c r="AK79" t="s">
        <v>70</v>
      </c>
      <c r="AL79" t="s">
        <v>70</v>
      </c>
      <c r="AM79" t="s">
        <v>70</v>
      </c>
      <c r="AN79" t="s">
        <v>72</v>
      </c>
      <c r="AO79" t="s">
        <v>178</v>
      </c>
      <c r="AP79" t="s">
        <v>116</v>
      </c>
      <c r="AQ79" t="s">
        <v>74</v>
      </c>
      <c r="AR79" s="1">
        <v>43394</v>
      </c>
      <c r="AS79" t="s">
        <v>75</v>
      </c>
      <c r="AT79" t="s">
        <v>71</v>
      </c>
      <c r="AU79">
        <v>450</v>
      </c>
      <c r="AV79" t="s">
        <v>76</v>
      </c>
      <c r="AW79" s="3">
        <v>32172</v>
      </c>
      <c r="AX79" t="s">
        <v>798</v>
      </c>
      <c r="AY79" t="s">
        <v>806</v>
      </c>
      <c r="AZ79" t="s">
        <v>76</v>
      </c>
      <c r="BA79" t="s">
        <v>800</v>
      </c>
      <c r="BB79" t="s">
        <v>801</v>
      </c>
      <c r="BC79" t="s">
        <v>802</v>
      </c>
      <c r="BD79" s="3">
        <v>0.18388660947407684</v>
      </c>
      <c r="BE79">
        <v>543.4</v>
      </c>
      <c r="BG79" s="2">
        <f t="shared" si="4"/>
        <v>32172</v>
      </c>
      <c r="BH79" t="str" cm="1">
        <f t="array" ref="BH79">_xlfn.IFS(Q79&lt;5,"0-5 Years",Q79&lt;10,"5-10 Years",Q79&lt;15,"10-15 Years",TRUE,"15+ Years")</f>
        <v>15+ Years</v>
      </c>
      <c r="BI79" t="str" cm="1">
        <f t="array" ref="BI79">_xlfn.IFS(AA79&gt;=540,"A",AA79&gt;=480,"B",AA79&gt;=420,"C",AA79&gt;=360,"D",TRUE,"F")</f>
        <v>B</v>
      </c>
      <c r="BJ79" t="str" cm="1">
        <f t="array" ref="BJ79">_xlfn.IFS(AU79&lt;0,"Separated",AU79&lt;=90,"High Risk",AU79&lt;=180,"Medium Risk",TRUE,"Retained")</f>
        <v>Retained</v>
      </c>
      <c r="BK79" t="str" cm="1">
        <f t="array" ref="BK79">_xlfn.IFS(V79=0,"No Combat",V79=1,"1 Tour",V79=2,"2 Tours",TRUE,"3+ Tours")</f>
        <v>No Combat</v>
      </c>
      <c r="BL79" t="str">
        <f t="shared" si="5"/>
        <v>Standard</v>
      </c>
      <c r="BM79" t="str">
        <f t="shared" si="6"/>
        <v>Not Ready</v>
      </c>
      <c r="BN79" s="3">
        <f t="shared" si="7"/>
        <v>0.18388660947407684</v>
      </c>
      <c r="BO79">
        <f t="shared" si="8"/>
        <v>543.4</v>
      </c>
    </row>
    <row r="80" spans="1:67" x14ac:dyDescent="0.25">
      <c r="A80" t="s">
        <v>359</v>
      </c>
      <c r="B80" t="s">
        <v>100</v>
      </c>
      <c r="C80" t="s">
        <v>360</v>
      </c>
      <c r="D80" t="s">
        <v>51</v>
      </c>
      <c r="E80">
        <v>30</v>
      </c>
      <c r="F80" t="s">
        <v>192</v>
      </c>
      <c r="G80" t="s">
        <v>156</v>
      </c>
      <c r="H80" t="s">
        <v>157</v>
      </c>
      <c r="I80" t="s">
        <v>292</v>
      </c>
      <c r="J80" t="s">
        <v>293</v>
      </c>
      <c r="K80" t="s">
        <v>294</v>
      </c>
      <c r="L80" t="s">
        <v>86</v>
      </c>
      <c r="M80" t="s">
        <v>296</v>
      </c>
      <c r="N80" t="s">
        <v>265</v>
      </c>
      <c r="O80" t="s">
        <v>176</v>
      </c>
      <c r="P80" s="1">
        <v>44771</v>
      </c>
      <c r="Q80">
        <v>1.8</v>
      </c>
      <c r="R80" t="s">
        <v>129</v>
      </c>
      <c r="S80" t="s">
        <v>91</v>
      </c>
      <c r="T80" t="s">
        <v>92</v>
      </c>
      <c r="U80">
        <v>15</v>
      </c>
      <c r="V80">
        <v>2</v>
      </c>
      <c r="W80" s="2">
        <v>4836</v>
      </c>
      <c r="X80" s="2">
        <v>1267</v>
      </c>
      <c r="Y80" s="2">
        <v>266</v>
      </c>
      <c r="Z80" s="2">
        <v>6369</v>
      </c>
      <c r="AA80">
        <v>385</v>
      </c>
      <c r="AB80" t="s">
        <v>65</v>
      </c>
      <c r="AC80">
        <v>17.2</v>
      </c>
      <c r="AD80">
        <v>44</v>
      </c>
      <c r="AE80">
        <v>57</v>
      </c>
      <c r="AF80" t="s">
        <v>132</v>
      </c>
      <c r="AG80">
        <v>18</v>
      </c>
      <c r="AH80" t="s">
        <v>113</v>
      </c>
      <c r="AI80" t="s">
        <v>95</v>
      </c>
      <c r="AJ80" t="s">
        <v>72</v>
      </c>
      <c r="AK80" t="s">
        <v>71</v>
      </c>
      <c r="AL80" t="s">
        <v>70</v>
      </c>
      <c r="AM80" t="s">
        <v>70</v>
      </c>
      <c r="AN80" t="s">
        <v>72</v>
      </c>
      <c r="AO80" t="s">
        <v>72</v>
      </c>
      <c r="AP80" t="s">
        <v>72</v>
      </c>
      <c r="AQ80" t="s">
        <v>98</v>
      </c>
      <c r="AR80" s="1">
        <v>44749</v>
      </c>
      <c r="AS80" t="s">
        <v>75</v>
      </c>
      <c r="AT80" t="s">
        <v>70</v>
      </c>
      <c r="AU80">
        <v>-479</v>
      </c>
      <c r="AV80" t="s">
        <v>179</v>
      </c>
      <c r="AW80" s="3">
        <v>76428</v>
      </c>
      <c r="AX80" t="s">
        <v>803</v>
      </c>
      <c r="AY80" t="s">
        <v>809</v>
      </c>
      <c r="AZ80" t="s">
        <v>810</v>
      </c>
      <c r="BA80" t="s">
        <v>811</v>
      </c>
      <c r="BB80" t="s">
        <v>801</v>
      </c>
      <c r="BC80" t="s">
        <v>802</v>
      </c>
      <c r="BD80" s="3">
        <v>6.0449050086355788E-2</v>
      </c>
      <c r="BE80">
        <v>431.4</v>
      </c>
      <c r="BG80" s="2">
        <f t="shared" si="4"/>
        <v>76428</v>
      </c>
      <c r="BH80" t="str" cm="1">
        <f t="array" ref="BH80">_xlfn.IFS(Q80&lt;5,"0-5 Years",Q80&lt;10,"5-10 Years",Q80&lt;15,"10-15 Years",TRUE,"15+ Years")</f>
        <v>0-5 Years</v>
      </c>
      <c r="BI80" t="str" cm="1">
        <f t="array" ref="BI80">_xlfn.IFS(AA80&gt;=540,"A",AA80&gt;=480,"B",AA80&gt;=420,"C",AA80&gt;=360,"D",TRUE,"F")</f>
        <v>D</v>
      </c>
      <c r="BJ80" t="str" cm="1">
        <f t="array" ref="BJ80">_xlfn.IFS(AU80&lt;0,"Separated",AU80&lt;=90,"High Risk",AU80&lt;=180,"Medium Risk",TRUE,"Retained")</f>
        <v>Separated</v>
      </c>
      <c r="BK80" t="str" cm="1">
        <f t="array" ref="BK80">_xlfn.IFS(V80=0,"No Combat",V80=1,"1 Tour",V80=2,"2 Tours",TRUE,"3+ Tours")</f>
        <v>2 Tours</v>
      </c>
      <c r="BL80" t="str">
        <f t="shared" si="5"/>
        <v>Standard</v>
      </c>
      <c r="BM80" t="str">
        <f t="shared" si="6"/>
        <v>Not Ready</v>
      </c>
      <c r="BN80" s="3">
        <f t="shared" si="7"/>
        <v>6.0449050086355788E-2</v>
      </c>
      <c r="BO80">
        <f t="shared" si="8"/>
        <v>431.4</v>
      </c>
    </row>
    <row r="81" spans="1:67" x14ac:dyDescent="0.25">
      <c r="A81" t="s">
        <v>361</v>
      </c>
      <c r="B81" t="s">
        <v>282</v>
      </c>
      <c r="C81" t="s">
        <v>200</v>
      </c>
      <c r="D81" t="s">
        <v>51</v>
      </c>
      <c r="E81">
        <v>25</v>
      </c>
      <c r="F81" t="s">
        <v>241</v>
      </c>
      <c r="G81" t="s">
        <v>242</v>
      </c>
      <c r="H81" t="s">
        <v>54</v>
      </c>
      <c r="I81" t="s">
        <v>171</v>
      </c>
      <c r="J81" t="s">
        <v>172</v>
      </c>
      <c r="K81" t="s">
        <v>173</v>
      </c>
      <c r="L81" t="s">
        <v>58</v>
      </c>
      <c r="M81" t="s">
        <v>127</v>
      </c>
      <c r="N81" t="s">
        <v>108</v>
      </c>
      <c r="O81" t="s">
        <v>109</v>
      </c>
      <c r="P81" s="1">
        <v>42029</v>
      </c>
      <c r="Q81">
        <v>9.3000000000000007</v>
      </c>
      <c r="R81" t="s">
        <v>195</v>
      </c>
      <c r="S81" t="s">
        <v>63</v>
      </c>
      <c r="T81" t="s">
        <v>64</v>
      </c>
      <c r="U81">
        <v>0</v>
      </c>
      <c r="V81">
        <v>0</v>
      </c>
      <c r="W81" s="2">
        <v>4739</v>
      </c>
      <c r="X81" s="2">
        <v>1936</v>
      </c>
      <c r="Y81" s="2">
        <v>422</v>
      </c>
      <c r="Z81" s="2">
        <v>7097</v>
      </c>
      <c r="AA81">
        <v>573</v>
      </c>
      <c r="AB81" t="s">
        <v>65</v>
      </c>
      <c r="AC81">
        <v>13.4</v>
      </c>
      <c r="AD81">
        <v>25</v>
      </c>
      <c r="AE81">
        <v>52</v>
      </c>
      <c r="AF81" t="s">
        <v>66</v>
      </c>
      <c r="AG81">
        <v>35</v>
      </c>
      <c r="AH81" t="s">
        <v>67</v>
      </c>
      <c r="AI81" t="s">
        <v>152</v>
      </c>
      <c r="AJ81" t="s">
        <v>69</v>
      </c>
      <c r="AK81" t="s">
        <v>70</v>
      </c>
      <c r="AL81" t="s">
        <v>71</v>
      </c>
      <c r="AM81" t="s">
        <v>70</v>
      </c>
      <c r="AN81" t="s">
        <v>202</v>
      </c>
      <c r="AO81" t="s">
        <v>116</v>
      </c>
      <c r="AP81" t="s">
        <v>227</v>
      </c>
      <c r="AQ81" t="s">
        <v>136</v>
      </c>
      <c r="AR81" s="1">
        <v>42573</v>
      </c>
      <c r="AS81" t="s">
        <v>118</v>
      </c>
      <c r="AT81" t="s">
        <v>71</v>
      </c>
      <c r="AU81">
        <v>601</v>
      </c>
      <c r="AV81" t="s">
        <v>76</v>
      </c>
      <c r="AW81" s="3">
        <v>85164</v>
      </c>
      <c r="AX81" t="s">
        <v>808</v>
      </c>
      <c r="AY81" t="s">
        <v>799</v>
      </c>
      <c r="AZ81" t="s">
        <v>76</v>
      </c>
      <c r="BA81" t="s">
        <v>800</v>
      </c>
      <c r="BB81" t="s">
        <v>801</v>
      </c>
      <c r="BC81" t="s">
        <v>802</v>
      </c>
      <c r="BD81" s="3">
        <v>8.0738340143722706E-2</v>
      </c>
      <c r="BE81">
        <v>653.4</v>
      </c>
      <c r="BG81" s="2">
        <f t="shared" si="4"/>
        <v>85164</v>
      </c>
      <c r="BH81" t="str" cm="1">
        <f t="array" ref="BH81">_xlfn.IFS(Q81&lt;5,"0-5 Years",Q81&lt;10,"5-10 Years",Q81&lt;15,"10-15 Years",TRUE,"15+ Years")</f>
        <v>5-10 Years</v>
      </c>
      <c r="BI81" t="str" cm="1">
        <f t="array" ref="BI81">_xlfn.IFS(AA81&gt;=540,"A",AA81&gt;=480,"B",AA81&gt;=420,"C",AA81&gt;=360,"D",TRUE,"F")</f>
        <v>A</v>
      </c>
      <c r="BJ81" t="str" cm="1">
        <f t="array" ref="BJ81">_xlfn.IFS(AU81&lt;0,"Separated",AU81&lt;=90,"High Risk",AU81&lt;=180,"Medium Risk",TRUE,"Retained")</f>
        <v>Retained</v>
      </c>
      <c r="BK81" t="str" cm="1">
        <f t="array" ref="BK81">_xlfn.IFS(V81=0,"No Combat",V81=1,"1 Tour",V81=2,"2 Tours",TRUE,"3+ Tours")</f>
        <v>No Combat</v>
      </c>
      <c r="BL81" t="str">
        <f t="shared" si="5"/>
        <v>Standard</v>
      </c>
      <c r="BM81" t="str">
        <f t="shared" si="6"/>
        <v>Not Ready</v>
      </c>
      <c r="BN81" s="3">
        <f t="shared" si="7"/>
        <v>8.0738340143722706E-2</v>
      </c>
      <c r="BO81">
        <f t="shared" si="8"/>
        <v>653.4</v>
      </c>
    </row>
    <row r="82" spans="1:67" x14ac:dyDescent="0.25">
      <c r="A82" t="s">
        <v>362</v>
      </c>
      <c r="B82" t="s">
        <v>308</v>
      </c>
      <c r="C82" t="s">
        <v>272</v>
      </c>
      <c r="D82" t="s">
        <v>51</v>
      </c>
      <c r="E82">
        <v>28</v>
      </c>
      <c r="F82" t="s">
        <v>52</v>
      </c>
      <c r="G82" t="s">
        <v>124</v>
      </c>
      <c r="H82" t="s">
        <v>125</v>
      </c>
      <c r="I82" t="s">
        <v>171</v>
      </c>
      <c r="J82" t="s">
        <v>172</v>
      </c>
      <c r="K82" t="s">
        <v>173</v>
      </c>
      <c r="L82" t="s">
        <v>58</v>
      </c>
      <c r="M82" t="s">
        <v>212</v>
      </c>
      <c r="N82" t="s">
        <v>88</v>
      </c>
      <c r="O82" t="s">
        <v>109</v>
      </c>
      <c r="P82" s="1">
        <v>40808</v>
      </c>
      <c r="Q82">
        <v>12.7</v>
      </c>
      <c r="R82" t="s">
        <v>75</v>
      </c>
      <c r="S82" t="s">
        <v>91</v>
      </c>
      <c r="T82" t="s">
        <v>92</v>
      </c>
      <c r="U82">
        <v>2</v>
      </c>
      <c r="V82">
        <v>0</v>
      </c>
      <c r="W82" s="2">
        <v>2730</v>
      </c>
      <c r="X82" s="2">
        <v>1539</v>
      </c>
      <c r="Y82" s="2">
        <v>422</v>
      </c>
      <c r="Z82" s="2">
        <v>4691</v>
      </c>
      <c r="AA82">
        <v>543</v>
      </c>
      <c r="AB82" t="s">
        <v>65</v>
      </c>
      <c r="AC82">
        <v>20.5</v>
      </c>
      <c r="AD82">
        <v>66</v>
      </c>
      <c r="AE82">
        <v>70</v>
      </c>
      <c r="AF82" t="s">
        <v>93</v>
      </c>
      <c r="AG82">
        <v>30</v>
      </c>
      <c r="AH82" t="s">
        <v>67</v>
      </c>
      <c r="AI82" t="s">
        <v>152</v>
      </c>
      <c r="AJ82" t="s">
        <v>96</v>
      </c>
      <c r="AK82" t="s">
        <v>70</v>
      </c>
      <c r="AL82" t="s">
        <v>70</v>
      </c>
      <c r="AM82" t="s">
        <v>70</v>
      </c>
      <c r="AN82" t="s">
        <v>72</v>
      </c>
      <c r="AO82" t="s">
        <v>97</v>
      </c>
      <c r="AP82" t="s">
        <v>72</v>
      </c>
      <c r="AQ82" t="s">
        <v>136</v>
      </c>
      <c r="AR82" s="1">
        <v>45485</v>
      </c>
      <c r="AS82" t="s">
        <v>118</v>
      </c>
      <c r="AT82" t="s">
        <v>71</v>
      </c>
      <c r="AU82">
        <v>322</v>
      </c>
      <c r="AV82" t="s">
        <v>76</v>
      </c>
      <c r="AW82" s="3">
        <v>56292</v>
      </c>
      <c r="AX82" t="s">
        <v>805</v>
      </c>
      <c r="AY82" t="s">
        <v>799</v>
      </c>
      <c r="AZ82" t="s">
        <v>76</v>
      </c>
      <c r="BA82" t="s">
        <v>800</v>
      </c>
      <c r="BB82" t="s">
        <v>801</v>
      </c>
      <c r="BC82" t="s">
        <v>802</v>
      </c>
      <c r="BD82" s="3">
        <v>0.11575357066723513</v>
      </c>
      <c r="BE82">
        <v>603.4</v>
      </c>
      <c r="BG82" s="2">
        <f t="shared" si="4"/>
        <v>56292</v>
      </c>
      <c r="BH82" t="str" cm="1">
        <f t="array" ref="BH82">_xlfn.IFS(Q82&lt;5,"0-5 Years",Q82&lt;10,"5-10 Years",Q82&lt;15,"10-15 Years",TRUE,"15+ Years")</f>
        <v>10-15 Years</v>
      </c>
      <c r="BI82" t="str" cm="1">
        <f t="array" ref="BI82">_xlfn.IFS(AA82&gt;=540,"A",AA82&gt;=480,"B",AA82&gt;=420,"C",AA82&gt;=360,"D",TRUE,"F")</f>
        <v>A</v>
      </c>
      <c r="BJ82" t="str" cm="1">
        <f t="array" ref="BJ82">_xlfn.IFS(AU82&lt;0,"Separated",AU82&lt;=90,"High Risk",AU82&lt;=180,"Medium Risk",TRUE,"Retained")</f>
        <v>Retained</v>
      </c>
      <c r="BK82" t="str" cm="1">
        <f t="array" ref="BK82">_xlfn.IFS(V82=0,"No Combat",V82=1,"1 Tour",V82=2,"2 Tours",TRUE,"3+ Tours")</f>
        <v>No Combat</v>
      </c>
      <c r="BL82" t="str">
        <f t="shared" si="5"/>
        <v>Standard</v>
      </c>
      <c r="BM82" t="str">
        <f t="shared" si="6"/>
        <v>Not Ready</v>
      </c>
      <c r="BN82" s="3">
        <f t="shared" si="7"/>
        <v>0.11575357066723513</v>
      </c>
      <c r="BO82">
        <f t="shared" si="8"/>
        <v>603.4</v>
      </c>
    </row>
    <row r="83" spans="1:67" x14ac:dyDescent="0.25">
      <c r="A83" t="s">
        <v>363</v>
      </c>
      <c r="B83" t="s">
        <v>181</v>
      </c>
      <c r="C83" t="s">
        <v>121</v>
      </c>
      <c r="D83" t="s">
        <v>122</v>
      </c>
      <c r="E83">
        <v>32</v>
      </c>
      <c r="F83" t="s">
        <v>224</v>
      </c>
      <c r="G83" t="s">
        <v>156</v>
      </c>
      <c r="H83" t="s">
        <v>157</v>
      </c>
      <c r="I83" t="s">
        <v>83</v>
      </c>
      <c r="J83" t="s">
        <v>84</v>
      </c>
      <c r="K83" t="s">
        <v>85</v>
      </c>
      <c r="L83" t="s">
        <v>86</v>
      </c>
      <c r="M83" t="s">
        <v>59</v>
      </c>
      <c r="N83" t="s">
        <v>265</v>
      </c>
      <c r="O83" t="s">
        <v>109</v>
      </c>
      <c r="P83" s="1">
        <v>43070</v>
      </c>
      <c r="Q83">
        <v>6.5</v>
      </c>
      <c r="R83" t="s">
        <v>129</v>
      </c>
      <c r="S83" t="s">
        <v>196</v>
      </c>
      <c r="T83" t="s">
        <v>197</v>
      </c>
      <c r="U83">
        <v>0</v>
      </c>
      <c r="V83">
        <v>0</v>
      </c>
      <c r="W83" s="2">
        <v>4836</v>
      </c>
      <c r="X83" s="2">
        <v>1296</v>
      </c>
      <c r="Y83" s="2">
        <v>266</v>
      </c>
      <c r="Z83" s="2">
        <v>6398</v>
      </c>
      <c r="AA83">
        <v>491</v>
      </c>
      <c r="AB83" t="s">
        <v>65</v>
      </c>
      <c r="AC83">
        <v>15.7</v>
      </c>
      <c r="AD83">
        <v>72</v>
      </c>
      <c r="AE83">
        <v>80</v>
      </c>
      <c r="AF83" t="s">
        <v>112</v>
      </c>
      <c r="AG83">
        <v>19</v>
      </c>
      <c r="AH83" t="s">
        <v>113</v>
      </c>
      <c r="AI83" t="s">
        <v>177</v>
      </c>
      <c r="AJ83" t="s">
        <v>72</v>
      </c>
      <c r="AK83" t="s">
        <v>70</v>
      </c>
      <c r="AL83" t="s">
        <v>70</v>
      </c>
      <c r="AM83" t="s">
        <v>70</v>
      </c>
      <c r="AN83" t="s">
        <v>202</v>
      </c>
      <c r="AO83" t="s">
        <v>116</v>
      </c>
      <c r="AP83" t="s">
        <v>72</v>
      </c>
      <c r="AQ83" t="s">
        <v>98</v>
      </c>
      <c r="AR83" s="1">
        <v>45330</v>
      </c>
      <c r="AS83" t="s">
        <v>198</v>
      </c>
      <c r="AT83" t="s">
        <v>71</v>
      </c>
      <c r="AU83">
        <v>740</v>
      </c>
      <c r="AV83" t="s">
        <v>76</v>
      </c>
      <c r="AW83" s="3">
        <v>76776</v>
      </c>
      <c r="AX83" t="s">
        <v>808</v>
      </c>
      <c r="AY83" t="s">
        <v>806</v>
      </c>
      <c r="AZ83" t="s">
        <v>76</v>
      </c>
      <c r="BA83" t="s">
        <v>800</v>
      </c>
      <c r="BB83" t="s">
        <v>801</v>
      </c>
      <c r="BC83" t="s">
        <v>802</v>
      </c>
      <c r="BD83" s="3">
        <v>7.6742732103782435E-2</v>
      </c>
      <c r="BE83">
        <v>529.4</v>
      </c>
      <c r="BG83" s="2">
        <f t="shared" si="4"/>
        <v>76776</v>
      </c>
      <c r="BH83" t="str" cm="1">
        <f t="array" ref="BH83">_xlfn.IFS(Q83&lt;5,"0-5 Years",Q83&lt;10,"5-10 Years",Q83&lt;15,"10-15 Years",TRUE,"15+ Years")</f>
        <v>5-10 Years</v>
      </c>
      <c r="BI83" t="str" cm="1">
        <f t="array" ref="BI83">_xlfn.IFS(AA83&gt;=540,"A",AA83&gt;=480,"B",AA83&gt;=420,"C",AA83&gt;=360,"D",TRUE,"F")</f>
        <v>B</v>
      </c>
      <c r="BJ83" t="str" cm="1">
        <f t="array" ref="BJ83">_xlfn.IFS(AU83&lt;0,"Separated",AU83&lt;=90,"High Risk",AU83&lt;=180,"Medium Risk",TRUE,"Retained")</f>
        <v>Retained</v>
      </c>
      <c r="BK83" t="str" cm="1">
        <f t="array" ref="BK83">_xlfn.IFS(V83=0,"No Combat",V83=1,"1 Tour",V83=2,"2 Tours",TRUE,"3+ Tours")</f>
        <v>No Combat</v>
      </c>
      <c r="BL83" t="str">
        <f t="shared" si="5"/>
        <v>Standard</v>
      </c>
      <c r="BM83" t="str">
        <f t="shared" si="6"/>
        <v>Not Ready</v>
      </c>
      <c r="BN83" s="3">
        <f t="shared" si="7"/>
        <v>7.6742732103782435E-2</v>
      </c>
      <c r="BO83">
        <f t="shared" si="8"/>
        <v>529.4</v>
      </c>
    </row>
    <row r="84" spans="1:67" x14ac:dyDescent="0.25">
      <c r="A84" t="s">
        <v>364</v>
      </c>
      <c r="B84" t="s">
        <v>210</v>
      </c>
      <c r="C84" t="s">
        <v>272</v>
      </c>
      <c r="D84" t="s">
        <v>51</v>
      </c>
      <c r="E84">
        <v>21</v>
      </c>
      <c r="F84" t="s">
        <v>316</v>
      </c>
      <c r="G84" t="s">
        <v>124</v>
      </c>
      <c r="H84" t="s">
        <v>125</v>
      </c>
      <c r="I84" t="s">
        <v>260</v>
      </c>
      <c r="J84" t="s">
        <v>261</v>
      </c>
      <c r="K84" t="s">
        <v>173</v>
      </c>
      <c r="L84" t="s">
        <v>126</v>
      </c>
      <c r="M84" t="s">
        <v>212</v>
      </c>
      <c r="N84" t="s">
        <v>60</v>
      </c>
      <c r="O84" t="s">
        <v>109</v>
      </c>
      <c r="P84" s="1">
        <v>43251</v>
      </c>
      <c r="Q84">
        <v>6</v>
      </c>
      <c r="R84" t="s">
        <v>62</v>
      </c>
      <c r="S84" t="s">
        <v>91</v>
      </c>
      <c r="T84" t="s">
        <v>92</v>
      </c>
      <c r="U84">
        <v>12</v>
      </c>
      <c r="V84">
        <v>2</v>
      </c>
      <c r="W84" s="2">
        <v>2730</v>
      </c>
      <c r="X84" s="2">
        <v>1894</v>
      </c>
      <c r="Y84" s="2">
        <v>422</v>
      </c>
      <c r="Z84" s="2">
        <v>5046</v>
      </c>
      <c r="AA84">
        <v>564</v>
      </c>
      <c r="AB84" t="s">
        <v>65</v>
      </c>
      <c r="AC84">
        <v>17.100000000000001</v>
      </c>
      <c r="AD84">
        <v>70</v>
      </c>
      <c r="AE84">
        <v>53</v>
      </c>
      <c r="AF84" t="s">
        <v>66</v>
      </c>
      <c r="AG84">
        <v>19</v>
      </c>
      <c r="AH84" t="s">
        <v>113</v>
      </c>
      <c r="AI84" t="s">
        <v>177</v>
      </c>
      <c r="AJ84" t="s">
        <v>72</v>
      </c>
      <c r="AK84" t="s">
        <v>70</v>
      </c>
      <c r="AL84" t="s">
        <v>70</v>
      </c>
      <c r="AM84" t="s">
        <v>70</v>
      </c>
      <c r="AN84" t="s">
        <v>72</v>
      </c>
      <c r="AO84" t="s">
        <v>72</v>
      </c>
      <c r="AP84" t="s">
        <v>72</v>
      </c>
      <c r="AQ84" t="s">
        <v>117</v>
      </c>
      <c r="AR84" s="1">
        <v>45225</v>
      </c>
      <c r="AS84" t="s">
        <v>75</v>
      </c>
      <c r="AT84" t="s">
        <v>71</v>
      </c>
      <c r="AU84">
        <v>1785</v>
      </c>
      <c r="AV84" t="s">
        <v>76</v>
      </c>
      <c r="AW84" s="3">
        <v>60552</v>
      </c>
      <c r="AX84" t="s">
        <v>808</v>
      </c>
      <c r="AY84" t="s">
        <v>799</v>
      </c>
      <c r="AZ84" t="s">
        <v>76</v>
      </c>
      <c r="BA84" t="s">
        <v>811</v>
      </c>
      <c r="BB84" t="s">
        <v>801</v>
      </c>
      <c r="BC84" t="s">
        <v>802</v>
      </c>
      <c r="BD84" s="3">
        <v>0.1117717003567182</v>
      </c>
      <c r="BE84">
        <v>602.4</v>
      </c>
      <c r="BG84" s="2">
        <f t="shared" si="4"/>
        <v>60552</v>
      </c>
      <c r="BH84" t="str" cm="1">
        <f t="array" ref="BH84">_xlfn.IFS(Q84&lt;5,"0-5 Years",Q84&lt;10,"5-10 Years",Q84&lt;15,"10-15 Years",TRUE,"15+ Years")</f>
        <v>5-10 Years</v>
      </c>
      <c r="BI84" t="str" cm="1">
        <f t="array" ref="BI84">_xlfn.IFS(AA84&gt;=540,"A",AA84&gt;=480,"B",AA84&gt;=420,"C",AA84&gt;=360,"D",TRUE,"F")</f>
        <v>A</v>
      </c>
      <c r="BJ84" t="str" cm="1">
        <f t="array" ref="BJ84">_xlfn.IFS(AU84&lt;0,"Separated",AU84&lt;=90,"High Risk",AU84&lt;=180,"Medium Risk",TRUE,"Retained")</f>
        <v>Retained</v>
      </c>
      <c r="BK84" t="str" cm="1">
        <f t="array" ref="BK84">_xlfn.IFS(V84=0,"No Combat",V84=1,"1 Tour",V84=2,"2 Tours",TRUE,"3+ Tours")</f>
        <v>2 Tours</v>
      </c>
      <c r="BL84" t="str">
        <f t="shared" si="5"/>
        <v>Standard</v>
      </c>
      <c r="BM84" t="str">
        <f t="shared" si="6"/>
        <v>Not Ready</v>
      </c>
      <c r="BN84" s="3">
        <f t="shared" si="7"/>
        <v>0.1117717003567182</v>
      </c>
      <c r="BO84">
        <f t="shared" si="8"/>
        <v>602.4</v>
      </c>
    </row>
    <row r="85" spans="1:67" x14ac:dyDescent="0.25">
      <c r="A85" t="s">
        <v>365</v>
      </c>
      <c r="B85" t="s">
        <v>282</v>
      </c>
      <c r="C85" t="s">
        <v>200</v>
      </c>
      <c r="D85" t="s">
        <v>51</v>
      </c>
      <c r="E85">
        <v>32</v>
      </c>
      <c r="F85" t="s">
        <v>278</v>
      </c>
      <c r="G85" t="s">
        <v>156</v>
      </c>
      <c r="H85" t="s">
        <v>157</v>
      </c>
      <c r="I85" t="s">
        <v>185</v>
      </c>
      <c r="J85" t="s">
        <v>186</v>
      </c>
      <c r="K85" t="s">
        <v>187</v>
      </c>
      <c r="L85" t="s">
        <v>106</v>
      </c>
      <c r="M85" t="s">
        <v>87</v>
      </c>
      <c r="N85" t="s">
        <v>265</v>
      </c>
      <c r="O85" t="s">
        <v>61</v>
      </c>
      <c r="P85" s="1">
        <v>39587</v>
      </c>
      <c r="Q85">
        <v>16</v>
      </c>
      <c r="R85" t="s">
        <v>208</v>
      </c>
      <c r="S85" t="s">
        <v>110</v>
      </c>
      <c r="T85" t="s">
        <v>111</v>
      </c>
      <c r="U85">
        <v>0</v>
      </c>
      <c r="V85">
        <v>0</v>
      </c>
      <c r="W85" s="2">
        <v>4836</v>
      </c>
      <c r="X85" s="2">
        <v>0</v>
      </c>
      <c r="Y85" s="2">
        <v>266</v>
      </c>
      <c r="Z85" s="2">
        <v>5102</v>
      </c>
      <c r="AA85">
        <v>349</v>
      </c>
      <c r="AB85" t="s">
        <v>151</v>
      </c>
      <c r="AC85">
        <v>15</v>
      </c>
      <c r="AD85">
        <v>78</v>
      </c>
      <c r="AE85">
        <v>35</v>
      </c>
      <c r="AF85" t="s">
        <v>93</v>
      </c>
      <c r="AG85">
        <v>27</v>
      </c>
      <c r="AH85" t="s">
        <v>113</v>
      </c>
      <c r="AI85" t="s">
        <v>68</v>
      </c>
      <c r="AJ85" t="s">
        <v>69</v>
      </c>
      <c r="AK85" t="s">
        <v>70</v>
      </c>
      <c r="AL85" t="s">
        <v>70</v>
      </c>
      <c r="AM85" t="s">
        <v>71</v>
      </c>
      <c r="AN85" t="s">
        <v>72</v>
      </c>
      <c r="AO85" t="s">
        <v>134</v>
      </c>
      <c r="AP85" t="s">
        <v>72</v>
      </c>
      <c r="AQ85" t="s">
        <v>98</v>
      </c>
      <c r="AR85" s="1">
        <v>45270</v>
      </c>
      <c r="AS85" t="s">
        <v>137</v>
      </c>
      <c r="AT85" t="s">
        <v>71</v>
      </c>
      <c r="AU85">
        <v>-29</v>
      </c>
      <c r="AV85" t="s">
        <v>179</v>
      </c>
      <c r="AW85" s="3">
        <v>61224</v>
      </c>
      <c r="AX85" t="s">
        <v>798</v>
      </c>
      <c r="AY85" t="s">
        <v>122</v>
      </c>
      <c r="AZ85" t="s">
        <v>810</v>
      </c>
      <c r="BA85" t="s">
        <v>800</v>
      </c>
      <c r="BB85" t="s">
        <v>801</v>
      </c>
      <c r="BC85" t="s">
        <v>802</v>
      </c>
      <c r="BD85" s="3">
        <v>6.8404547236377886E-2</v>
      </c>
      <c r="BE85">
        <v>423.4</v>
      </c>
      <c r="BG85" s="2">
        <f t="shared" si="4"/>
        <v>61224</v>
      </c>
      <c r="BH85" t="str" cm="1">
        <f t="array" ref="BH85">_xlfn.IFS(Q85&lt;5,"0-5 Years",Q85&lt;10,"5-10 Years",Q85&lt;15,"10-15 Years",TRUE,"15+ Years")</f>
        <v>15+ Years</v>
      </c>
      <c r="BI85" t="str" cm="1">
        <f t="array" ref="BI85">_xlfn.IFS(AA85&gt;=540,"A",AA85&gt;=480,"B",AA85&gt;=420,"C",AA85&gt;=360,"D",TRUE,"F")</f>
        <v>F</v>
      </c>
      <c r="BJ85" t="str" cm="1">
        <f t="array" ref="BJ85">_xlfn.IFS(AU85&lt;0,"Separated",AU85&lt;=90,"High Risk",AU85&lt;=180,"Medium Risk",TRUE,"Retained")</f>
        <v>Separated</v>
      </c>
      <c r="BK85" t="str" cm="1">
        <f t="array" ref="BK85">_xlfn.IFS(V85=0,"No Combat",V85=1,"1 Tour",V85=2,"2 Tours",TRUE,"3+ Tours")</f>
        <v>No Combat</v>
      </c>
      <c r="BL85" t="str">
        <f t="shared" si="5"/>
        <v>Standard</v>
      </c>
      <c r="BM85" t="str">
        <f t="shared" si="6"/>
        <v>Not Ready</v>
      </c>
      <c r="BN85" s="3">
        <f t="shared" si="7"/>
        <v>6.8404547236377886E-2</v>
      </c>
      <c r="BO85">
        <f t="shared" si="8"/>
        <v>423.4</v>
      </c>
    </row>
    <row r="86" spans="1:67" x14ac:dyDescent="0.25">
      <c r="A86" t="s">
        <v>366</v>
      </c>
      <c r="B86" t="s">
        <v>139</v>
      </c>
      <c r="C86" t="s">
        <v>360</v>
      </c>
      <c r="D86" t="s">
        <v>51</v>
      </c>
      <c r="E86">
        <v>31</v>
      </c>
      <c r="F86" t="s">
        <v>291</v>
      </c>
      <c r="G86" t="s">
        <v>81</v>
      </c>
      <c r="H86" t="s">
        <v>82</v>
      </c>
      <c r="I86" t="s">
        <v>158</v>
      </c>
      <c r="J86" t="s">
        <v>159</v>
      </c>
      <c r="K86" t="s">
        <v>160</v>
      </c>
      <c r="L86" t="s">
        <v>58</v>
      </c>
      <c r="M86" t="s">
        <v>59</v>
      </c>
      <c r="N86" t="s">
        <v>108</v>
      </c>
      <c r="O86" t="s">
        <v>61</v>
      </c>
      <c r="P86" s="1">
        <v>39782</v>
      </c>
      <c r="Q86">
        <v>15.5</v>
      </c>
      <c r="R86" t="s">
        <v>75</v>
      </c>
      <c r="S86" t="s">
        <v>63</v>
      </c>
      <c r="T86" t="s">
        <v>64</v>
      </c>
      <c r="U86">
        <v>0</v>
      </c>
      <c r="V86">
        <v>0</v>
      </c>
      <c r="W86" s="2">
        <v>2504</v>
      </c>
      <c r="X86" s="2">
        <v>1127</v>
      </c>
      <c r="Y86" s="2">
        <v>422</v>
      </c>
      <c r="Z86" s="2">
        <v>4053</v>
      </c>
      <c r="AA86">
        <v>408</v>
      </c>
      <c r="AB86" t="s">
        <v>65</v>
      </c>
      <c r="AC86">
        <v>17.3</v>
      </c>
      <c r="AD86">
        <v>81</v>
      </c>
      <c r="AE86">
        <v>59</v>
      </c>
      <c r="AF86" t="s">
        <v>132</v>
      </c>
      <c r="AG86">
        <v>36</v>
      </c>
      <c r="AH86" t="s">
        <v>94</v>
      </c>
      <c r="AI86" t="s">
        <v>177</v>
      </c>
      <c r="AJ86" t="s">
        <v>72</v>
      </c>
      <c r="AK86" t="s">
        <v>70</v>
      </c>
      <c r="AL86" t="s">
        <v>70</v>
      </c>
      <c r="AM86" t="s">
        <v>70</v>
      </c>
      <c r="AN86" t="s">
        <v>72</v>
      </c>
      <c r="AO86" t="s">
        <v>178</v>
      </c>
      <c r="AP86" t="s">
        <v>72</v>
      </c>
      <c r="AQ86" t="s">
        <v>74</v>
      </c>
      <c r="AR86" s="1">
        <v>45611</v>
      </c>
      <c r="AS86" t="s">
        <v>118</v>
      </c>
      <c r="AT86" t="s">
        <v>71</v>
      </c>
      <c r="AU86">
        <v>-244</v>
      </c>
      <c r="AV86" t="s">
        <v>179</v>
      </c>
      <c r="AW86" s="3">
        <v>48636</v>
      </c>
      <c r="AX86" t="s">
        <v>798</v>
      </c>
      <c r="AY86" t="s">
        <v>809</v>
      </c>
      <c r="AZ86" t="s">
        <v>810</v>
      </c>
      <c r="BA86" t="s">
        <v>800</v>
      </c>
      <c r="BB86" t="s">
        <v>801</v>
      </c>
      <c r="BC86" t="s">
        <v>802</v>
      </c>
      <c r="BD86" s="3">
        <v>0.10066617320503331</v>
      </c>
      <c r="BE86">
        <v>480.4</v>
      </c>
      <c r="BG86" s="2">
        <f t="shared" si="4"/>
        <v>48636</v>
      </c>
      <c r="BH86" t="str" cm="1">
        <f t="array" ref="BH86">_xlfn.IFS(Q86&lt;5,"0-5 Years",Q86&lt;10,"5-10 Years",Q86&lt;15,"10-15 Years",TRUE,"15+ Years")</f>
        <v>15+ Years</v>
      </c>
      <c r="BI86" t="str" cm="1">
        <f t="array" ref="BI86">_xlfn.IFS(AA86&gt;=540,"A",AA86&gt;=480,"B",AA86&gt;=420,"C",AA86&gt;=360,"D",TRUE,"F")</f>
        <v>D</v>
      </c>
      <c r="BJ86" t="str" cm="1">
        <f t="array" ref="BJ86">_xlfn.IFS(AU86&lt;0,"Separated",AU86&lt;=90,"High Risk",AU86&lt;=180,"Medium Risk",TRUE,"Retained")</f>
        <v>Separated</v>
      </c>
      <c r="BK86" t="str" cm="1">
        <f t="array" ref="BK86">_xlfn.IFS(V86=0,"No Combat",V86=1,"1 Tour",V86=2,"2 Tours",TRUE,"3+ Tours")</f>
        <v>No Combat</v>
      </c>
      <c r="BL86" t="str">
        <f t="shared" si="5"/>
        <v>Standard</v>
      </c>
      <c r="BM86" t="str">
        <f t="shared" si="6"/>
        <v>Not Ready</v>
      </c>
      <c r="BN86" s="3">
        <f t="shared" si="7"/>
        <v>0.10066617320503331</v>
      </c>
      <c r="BO86">
        <f t="shared" si="8"/>
        <v>480.4</v>
      </c>
    </row>
    <row r="87" spans="1:67" x14ac:dyDescent="0.25">
      <c r="A87" t="s">
        <v>367</v>
      </c>
      <c r="B87" t="s">
        <v>282</v>
      </c>
      <c r="C87" t="s">
        <v>264</v>
      </c>
      <c r="D87" t="s">
        <v>51</v>
      </c>
      <c r="E87">
        <v>25</v>
      </c>
      <c r="F87" t="s">
        <v>224</v>
      </c>
      <c r="G87" t="s">
        <v>215</v>
      </c>
      <c r="H87" t="s">
        <v>216</v>
      </c>
      <c r="I87" t="s">
        <v>55</v>
      </c>
      <c r="J87" t="s">
        <v>56</v>
      </c>
      <c r="K87" t="s">
        <v>57</v>
      </c>
      <c r="L87" t="s">
        <v>126</v>
      </c>
      <c r="M87" t="s">
        <v>127</v>
      </c>
      <c r="N87" t="s">
        <v>88</v>
      </c>
      <c r="O87" t="s">
        <v>109</v>
      </c>
      <c r="P87" s="1">
        <v>42676</v>
      </c>
      <c r="Q87">
        <v>7.6</v>
      </c>
      <c r="R87" t="s">
        <v>208</v>
      </c>
      <c r="S87" t="s">
        <v>219</v>
      </c>
      <c r="T87" t="s">
        <v>220</v>
      </c>
      <c r="U87">
        <v>0</v>
      </c>
      <c r="V87">
        <v>0</v>
      </c>
      <c r="W87" s="2">
        <v>3637</v>
      </c>
      <c r="X87" s="2">
        <v>1441</v>
      </c>
      <c r="Y87" s="2">
        <v>266</v>
      </c>
      <c r="Z87" s="2">
        <v>5344</v>
      </c>
      <c r="AA87">
        <v>468</v>
      </c>
      <c r="AB87" t="s">
        <v>65</v>
      </c>
      <c r="AC87">
        <v>17.7</v>
      </c>
      <c r="AD87">
        <v>57</v>
      </c>
      <c r="AE87">
        <v>37</v>
      </c>
      <c r="AF87" t="s">
        <v>112</v>
      </c>
      <c r="AG87">
        <v>30</v>
      </c>
      <c r="AH87" t="s">
        <v>67</v>
      </c>
      <c r="AI87" t="s">
        <v>177</v>
      </c>
      <c r="AJ87" t="s">
        <v>72</v>
      </c>
      <c r="AK87" t="s">
        <v>70</v>
      </c>
      <c r="AL87" t="s">
        <v>70</v>
      </c>
      <c r="AM87" t="s">
        <v>71</v>
      </c>
      <c r="AN87" t="s">
        <v>72</v>
      </c>
      <c r="AO87" t="s">
        <v>116</v>
      </c>
      <c r="AP87" t="s">
        <v>72</v>
      </c>
      <c r="AQ87" t="s">
        <v>117</v>
      </c>
      <c r="AR87" s="1">
        <v>42949</v>
      </c>
      <c r="AS87" t="s">
        <v>118</v>
      </c>
      <c r="AT87" t="s">
        <v>71</v>
      </c>
      <c r="AU87">
        <v>1592</v>
      </c>
      <c r="AV87" t="s">
        <v>76</v>
      </c>
      <c r="AW87" s="3">
        <v>64128</v>
      </c>
      <c r="AX87" t="s">
        <v>808</v>
      </c>
      <c r="AY87" t="s">
        <v>804</v>
      </c>
      <c r="AZ87" t="s">
        <v>76</v>
      </c>
      <c r="BA87" t="s">
        <v>800</v>
      </c>
      <c r="BB87" t="s">
        <v>801</v>
      </c>
      <c r="BC87" t="s">
        <v>802</v>
      </c>
      <c r="BD87" s="3">
        <v>8.7574850299401194E-2</v>
      </c>
      <c r="BE87">
        <v>548.4</v>
      </c>
      <c r="BG87" s="2">
        <f t="shared" si="4"/>
        <v>64128</v>
      </c>
      <c r="BH87" t="str" cm="1">
        <f t="array" ref="BH87">_xlfn.IFS(Q87&lt;5,"0-5 Years",Q87&lt;10,"5-10 Years",Q87&lt;15,"10-15 Years",TRUE,"15+ Years")</f>
        <v>5-10 Years</v>
      </c>
      <c r="BI87" t="str" cm="1">
        <f t="array" ref="BI87">_xlfn.IFS(AA87&gt;=540,"A",AA87&gt;=480,"B",AA87&gt;=420,"C",AA87&gt;=360,"D",TRUE,"F")</f>
        <v>C</v>
      </c>
      <c r="BJ87" t="str" cm="1">
        <f t="array" ref="BJ87">_xlfn.IFS(AU87&lt;0,"Separated",AU87&lt;=90,"High Risk",AU87&lt;=180,"Medium Risk",TRUE,"Retained")</f>
        <v>Retained</v>
      </c>
      <c r="BK87" t="str" cm="1">
        <f t="array" ref="BK87">_xlfn.IFS(V87=0,"No Combat",V87=1,"1 Tour",V87=2,"2 Tours",TRUE,"3+ Tours")</f>
        <v>No Combat</v>
      </c>
      <c r="BL87" t="str">
        <f t="shared" si="5"/>
        <v>Standard</v>
      </c>
      <c r="BM87" t="str">
        <f t="shared" si="6"/>
        <v>Not Ready</v>
      </c>
      <c r="BN87" s="3">
        <f t="shared" si="7"/>
        <v>8.7574850299401194E-2</v>
      </c>
      <c r="BO87">
        <f t="shared" si="8"/>
        <v>548.4</v>
      </c>
    </row>
    <row r="88" spans="1:67" x14ac:dyDescent="0.25">
      <c r="A88" t="s">
        <v>368</v>
      </c>
      <c r="B88" t="s">
        <v>100</v>
      </c>
      <c r="C88" t="s">
        <v>369</v>
      </c>
      <c r="D88" t="s">
        <v>122</v>
      </c>
      <c r="E88">
        <v>34</v>
      </c>
      <c r="F88" t="s">
        <v>141</v>
      </c>
      <c r="G88" t="s">
        <v>124</v>
      </c>
      <c r="H88" t="s">
        <v>125</v>
      </c>
      <c r="I88" t="s">
        <v>225</v>
      </c>
      <c r="J88" t="s">
        <v>226</v>
      </c>
      <c r="K88" t="s">
        <v>105</v>
      </c>
      <c r="L88" t="s">
        <v>126</v>
      </c>
      <c r="M88" t="s">
        <v>212</v>
      </c>
      <c r="N88" t="s">
        <v>108</v>
      </c>
      <c r="O88" t="s">
        <v>109</v>
      </c>
      <c r="P88" s="1">
        <v>43559</v>
      </c>
      <c r="Q88">
        <v>5.2</v>
      </c>
      <c r="R88" t="s">
        <v>75</v>
      </c>
      <c r="S88" t="s">
        <v>63</v>
      </c>
      <c r="T88" t="s">
        <v>64</v>
      </c>
      <c r="U88">
        <v>0</v>
      </c>
      <c r="V88">
        <v>0</v>
      </c>
      <c r="W88" s="2">
        <v>2730</v>
      </c>
      <c r="X88" s="2">
        <v>0</v>
      </c>
      <c r="Y88" s="2">
        <v>422</v>
      </c>
      <c r="Z88" s="2">
        <v>3152</v>
      </c>
      <c r="AA88">
        <v>361</v>
      </c>
      <c r="AB88" t="s">
        <v>65</v>
      </c>
      <c r="AC88">
        <v>17.2</v>
      </c>
      <c r="AD88">
        <v>51</v>
      </c>
      <c r="AE88">
        <v>48</v>
      </c>
      <c r="AF88" t="s">
        <v>93</v>
      </c>
      <c r="AG88">
        <v>26</v>
      </c>
      <c r="AH88" t="s">
        <v>113</v>
      </c>
      <c r="AI88" t="s">
        <v>95</v>
      </c>
      <c r="AJ88" t="s">
        <v>188</v>
      </c>
      <c r="AK88" t="s">
        <v>70</v>
      </c>
      <c r="AL88" t="s">
        <v>70</v>
      </c>
      <c r="AM88" t="s">
        <v>70</v>
      </c>
      <c r="AN88" t="s">
        <v>231</v>
      </c>
      <c r="AO88" t="s">
        <v>287</v>
      </c>
      <c r="AP88" t="s">
        <v>221</v>
      </c>
      <c r="AQ88" t="s">
        <v>136</v>
      </c>
      <c r="AR88" s="1">
        <v>45467</v>
      </c>
      <c r="AS88" t="s">
        <v>198</v>
      </c>
      <c r="AT88" t="s">
        <v>71</v>
      </c>
      <c r="AU88">
        <v>185</v>
      </c>
      <c r="AV88" t="s">
        <v>76</v>
      </c>
      <c r="AW88" s="3">
        <v>37824</v>
      </c>
      <c r="AX88" t="s">
        <v>808</v>
      </c>
      <c r="AY88" t="s">
        <v>809</v>
      </c>
      <c r="AZ88" t="s">
        <v>76</v>
      </c>
      <c r="BA88" t="s">
        <v>800</v>
      </c>
      <c r="BB88" t="s">
        <v>801</v>
      </c>
      <c r="BC88" t="s">
        <v>802</v>
      </c>
      <c r="BD88" s="3">
        <v>0.11453045685279188</v>
      </c>
      <c r="BE88">
        <v>413.4</v>
      </c>
      <c r="BG88" s="2">
        <f t="shared" si="4"/>
        <v>37824</v>
      </c>
      <c r="BH88" t="str" cm="1">
        <f t="array" ref="BH88">_xlfn.IFS(Q88&lt;5,"0-5 Years",Q88&lt;10,"5-10 Years",Q88&lt;15,"10-15 Years",TRUE,"15+ Years")</f>
        <v>5-10 Years</v>
      </c>
      <c r="BI88" t="str" cm="1">
        <f t="array" ref="BI88">_xlfn.IFS(AA88&gt;=540,"A",AA88&gt;=480,"B",AA88&gt;=420,"C",AA88&gt;=360,"D",TRUE,"F")</f>
        <v>D</v>
      </c>
      <c r="BJ88" t="str" cm="1">
        <f t="array" ref="BJ88">_xlfn.IFS(AU88&lt;0,"Separated",AU88&lt;=90,"High Risk",AU88&lt;=180,"Medium Risk",TRUE,"Retained")</f>
        <v>Retained</v>
      </c>
      <c r="BK88" t="str" cm="1">
        <f t="array" ref="BK88">_xlfn.IFS(V88=0,"No Combat",V88=1,"1 Tour",V88=2,"2 Tours",TRUE,"3+ Tours")</f>
        <v>No Combat</v>
      </c>
      <c r="BL88" t="str">
        <f t="shared" si="5"/>
        <v>Standard</v>
      </c>
      <c r="BM88" t="str">
        <f t="shared" si="6"/>
        <v>Not Ready</v>
      </c>
      <c r="BN88" s="3">
        <f t="shared" si="7"/>
        <v>0.11453045685279188</v>
      </c>
      <c r="BO88">
        <f t="shared" si="8"/>
        <v>413.4</v>
      </c>
    </row>
    <row r="89" spans="1:67" x14ac:dyDescent="0.25">
      <c r="A89" t="s">
        <v>370</v>
      </c>
      <c r="B89" t="s">
        <v>120</v>
      </c>
      <c r="C89" t="s">
        <v>50</v>
      </c>
      <c r="D89" t="s">
        <v>51</v>
      </c>
      <c r="E89">
        <v>41</v>
      </c>
      <c r="F89" t="s">
        <v>322</v>
      </c>
      <c r="G89" t="s">
        <v>142</v>
      </c>
      <c r="H89" t="s">
        <v>143</v>
      </c>
      <c r="I89" t="s">
        <v>268</v>
      </c>
      <c r="J89" t="s">
        <v>269</v>
      </c>
      <c r="K89" t="s">
        <v>173</v>
      </c>
      <c r="L89" t="s">
        <v>86</v>
      </c>
      <c r="M89" t="s">
        <v>107</v>
      </c>
      <c r="N89" t="s">
        <v>148</v>
      </c>
      <c r="O89" t="s">
        <v>176</v>
      </c>
      <c r="P89" s="1">
        <v>39730</v>
      </c>
      <c r="Q89">
        <v>15.6</v>
      </c>
      <c r="R89" t="s">
        <v>90</v>
      </c>
      <c r="S89" t="s">
        <v>196</v>
      </c>
      <c r="T89" t="s">
        <v>197</v>
      </c>
      <c r="U89">
        <v>0</v>
      </c>
      <c r="V89">
        <v>0</v>
      </c>
      <c r="W89" s="2">
        <v>5473</v>
      </c>
      <c r="X89" s="2">
        <v>1736</v>
      </c>
      <c r="Y89" s="2">
        <v>422</v>
      </c>
      <c r="Z89" s="2">
        <v>7631</v>
      </c>
      <c r="AA89">
        <v>348</v>
      </c>
      <c r="AB89" t="s">
        <v>151</v>
      </c>
      <c r="AC89">
        <v>17.2</v>
      </c>
      <c r="AD89">
        <v>27</v>
      </c>
      <c r="AE89">
        <v>66</v>
      </c>
      <c r="AF89" t="s">
        <v>112</v>
      </c>
      <c r="AG89">
        <v>40</v>
      </c>
      <c r="AH89" t="s">
        <v>94</v>
      </c>
      <c r="AI89" t="s">
        <v>68</v>
      </c>
      <c r="AJ89" t="s">
        <v>69</v>
      </c>
      <c r="AK89" t="s">
        <v>70</v>
      </c>
      <c r="AL89" t="s">
        <v>70</v>
      </c>
      <c r="AM89" t="s">
        <v>71</v>
      </c>
      <c r="AN89" t="s">
        <v>243</v>
      </c>
      <c r="AO89" t="s">
        <v>203</v>
      </c>
      <c r="AP89" t="s">
        <v>221</v>
      </c>
      <c r="AQ89" t="s">
        <v>136</v>
      </c>
      <c r="AR89" s="1">
        <v>40160</v>
      </c>
      <c r="AS89" t="s">
        <v>137</v>
      </c>
      <c r="AT89" t="s">
        <v>71</v>
      </c>
      <c r="AU89">
        <v>1298</v>
      </c>
      <c r="AV89" t="s">
        <v>76</v>
      </c>
      <c r="AW89" s="3">
        <v>91572</v>
      </c>
      <c r="AX89" t="s">
        <v>798</v>
      </c>
      <c r="AY89" t="s">
        <v>122</v>
      </c>
      <c r="AZ89" t="s">
        <v>76</v>
      </c>
      <c r="BA89" t="s">
        <v>800</v>
      </c>
      <c r="BB89" t="s">
        <v>801</v>
      </c>
      <c r="BC89" t="s">
        <v>802</v>
      </c>
      <c r="BD89" s="3">
        <v>4.5603459572795178E-2</v>
      </c>
      <c r="BE89">
        <v>448.4</v>
      </c>
      <c r="BG89" s="2">
        <f t="shared" si="4"/>
        <v>91572</v>
      </c>
      <c r="BH89" t="str" cm="1">
        <f t="array" ref="BH89">_xlfn.IFS(Q89&lt;5,"0-5 Years",Q89&lt;10,"5-10 Years",Q89&lt;15,"10-15 Years",TRUE,"15+ Years")</f>
        <v>15+ Years</v>
      </c>
      <c r="BI89" t="str" cm="1">
        <f t="array" ref="BI89">_xlfn.IFS(AA89&gt;=540,"A",AA89&gt;=480,"B",AA89&gt;=420,"C",AA89&gt;=360,"D",TRUE,"F")</f>
        <v>F</v>
      </c>
      <c r="BJ89" t="str" cm="1">
        <f t="array" ref="BJ89">_xlfn.IFS(AU89&lt;0,"Separated",AU89&lt;=90,"High Risk",AU89&lt;=180,"Medium Risk",TRUE,"Retained")</f>
        <v>Retained</v>
      </c>
      <c r="BK89" t="str" cm="1">
        <f t="array" ref="BK89">_xlfn.IFS(V89=0,"No Combat",V89=1,"1 Tour",V89=2,"2 Tours",TRUE,"3+ Tours")</f>
        <v>No Combat</v>
      </c>
      <c r="BL89" t="str">
        <f t="shared" si="5"/>
        <v>Standard</v>
      </c>
      <c r="BM89" t="str">
        <f t="shared" si="6"/>
        <v>Not Ready</v>
      </c>
      <c r="BN89" s="3">
        <f t="shared" si="7"/>
        <v>4.5603459572795178E-2</v>
      </c>
      <c r="BO89">
        <f t="shared" si="8"/>
        <v>448.4</v>
      </c>
    </row>
    <row r="90" spans="1:67" x14ac:dyDescent="0.25">
      <c r="A90" t="s">
        <v>371</v>
      </c>
      <c r="B90" t="s">
        <v>263</v>
      </c>
      <c r="C90" t="s">
        <v>182</v>
      </c>
      <c r="D90" t="s">
        <v>51</v>
      </c>
      <c r="E90">
        <v>45</v>
      </c>
      <c r="F90" t="s">
        <v>283</v>
      </c>
      <c r="G90" t="s">
        <v>301</v>
      </c>
      <c r="H90" t="s">
        <v>302</v>
      </c>
      <c r="I90" t="s">
        <v>144</v>
      </c>
      <c r="J90" t="s">
        <v>145</v>
      </c>
      <c r="K90" t="s">
        <v>146</v>
      </c>
      <c r="L90" t="s">
        <v>106</v>
      </c>
      <c r="M90" t="s">
        <v>87</v>
      </c>
      <c r="N90" t="s">
        <v>265</v>
      </c>
      <c r="O90" t="s">
        <v>109</v>
      </c>
      <c r="P90" s="1">
        <v>39712</v>
      </c>
      <c r="Q90">
        <v>15.7</v>
      </c>
      <c r="R90" t="s">
        <v>129</v>
      </c>
      <c r="S90" t="s">
        <v>63</v>
      </c>
      <c r="T90" t="s">
        <v>64</v>
      </c>
      <c r="U90">
        <v>0</v>
      </c>
      <c r="V90">
        <v>0</v>
      </c>
      <c r="W90" s="2">
        <v>4188</v>
      </c>
      <c r="X90" s="2">
        <v>0</v>
      </c>
      <c r="Y90" s="2">
        <v>266</v>
      </c>
      <c r="Z90" s="2">
        <v>4454</v>
      </c>
      <c r="AA90">
        <v>581</v>
      </c>
      <c r="AB90" t="s">
        <v>65</v>
      </c>
      <c r="AC90">
        <v>19.399999999999999</v>
      </c>
      <c r="AD90">
        <v>71</v>
      </c>
      <c r="AE90">
        <v>33</v>
      </c>
      <c r="AF90" t="s">
        <v>112</v>
      </c>
      <c r="AG90">
        <v>33</v>
      </c>
      <c r="AH90" t="s">
        <v>67</v>
      </c>
      <c r="AI90" t="s">
        <v>177</v>
      </c>
      <c r="AJ90" t="s">
        <v>96</v>
      </c>
      <c r="AK90" t="s">
        <v>70</v>
      </c>
      <c r="AL90" t="s">
        <v>70</v>
      </c>
      <c r="AM90" t="s">
        <v>70</v>
      </c>
      <c r="AN90" t="s">
        <v>231</v>
      </c>
      <c r="AO90" t="s">
        <v>134</v>
      </c>
      <c r="AP90" t="s">
        <v>178</v>
      </c>
      <c r="AQ90" t="s">
        <v>117</v>
      </c>
      <c r="AR90" s="1">
        <v>39933</v>
      </c>
      <c r="AS90" t="s">
        <v>118</v>
      </c>
      <c r="AT90" t="s">
        <v>71</v>
      </c>
      <c r="AU90">
        <v>635</v>
      </c>
      <c r="AV90" t="s">
        <v>76</v>
      </c>
      <c r="AW90" s="3">
        <v>53448</v>
      </c>
      <c r="AX90" t="s">
        <v>798</v>
      </c>
      <c r="AY90" t="s">
        <v>799</v>
      </c>
      <c r="AZ90" t="s">
        <v>76</v>
      </c>
      <c r="BA90" t="s">
        <v>800</v>
      </c>
      <c r="BB90" t="s">
        <v>801</v>
      </c>
      <c r="BC90" t="s">
        <v>802</v>
      </c>
      <c r="BD90" s="3">
        <v>0.1304445442299057</v>
      </c>
      <c r="BE90">
        <v>647.4</v>
      </c>
      <c r="BG90" s="2">
        <f t="shared" si="4"/>
        <v>53448</v>
      </c>
      <c r="BH90" t="str" cm="1">
        <f t="array" ref="BH90">_xlfn.IFS(Q90&lt;5,"0-5 Years",Q90&lt;10,"5-10 Years",Q90&lt;15,"10-15 Years",TRUE,"15+ Years")</f>
        <v>15+ Years</v>
      </c>
      <c r="BI90" t="str" cm="1">
        <f t="array" ref="BI90">_xlfn.IFS(AA90&gt;=540,"A",AA90&gt;=480,"B",AA90&gt;=420,"C",AA90&gt;=360,"D",TRUE,"F")</f>
        <v>A</v>
      </c>
      <c r="BJ90" t="str" cm="1">
        <f t="array" ref="BJ90">_xlfn.IFS(AU90&lt;0,"Separated",AU90&lt;=90,"High Risk",AU90&lt;=180,"Medium Risk",TRUE,"Retained")</f>
        <v>Retained</v>
      </c>
      <c r="BK90" t="str" cm="1">
        <f t="array" ref="BK90">_xlfn.IFS(V90=0,"No Combat",V90=1,"1 Tour",V90=2,"2 Tours",TRUE,"3+ Tours")</f>
        <v>No Combat</v>
      </c>
      <c r="BL90" t="str">
        <f t="shared" si="5"/>
        <v>Standard</v>
      </c>
      <c r="BM90" t="str">
        <f t="shared" si="6"/>
        <v>Not Ready</v>
      </c>
      <c r="BN90" s="3">
        <f t="shared" si="7"/>
        <v>0.1304445442299057</v>
      </c>
      <c r="BO90">
        <f t="shared" si="8"/>
        <v>647.4</v>
      </c>
    </row>
    <row r="91" spans="1:67" x14ac:dyDescent="0.25">
      <c r="A91" t="s">
        <v>372</v>
      </c>
      <c r="B91" t="s">
        <v>120</v>
      </c>
      <c r="C91" t="s">
        <v>233</v>
      </c>
      <c r="D91" t="s">
        <v>51</v>
      </c>
      <c r="E91">
        <v>45</v>
      </c>
      <c r="F91" t="s">
        <v>325</v>
      </c>
      <c r="G91" t="s">
        <v>124</v>
      </c>
      <c r="H91" t="s">
        <v>125</v>
      </c>
      <c r="I91" t="s">
        <v>260</v>
      </c>
      <c r="J91" t="s">
        <v>261</v>
      </c>
      <c r="K91" t="s">
        <v>173</v>
      </c>
      <c r="L91" t="s">
        <v>86</v>
      </c>
      <c r="M91" t="s">
        <v>107</v>
      </c>
      <c r="N91" t="s">
        <v>128</v>
      </c>
      <c r="O91" t="s">
        <v>109</v>
      </c>
      <c r="P91" s="1">
        <v>42362</v>
      </c>
      <c r="Q91">
        <v>8.4</v>
      </c>
      <c r="R91" t="s">
        <v>75</v>
      </c>
      <c r="S91" t="s">
        <v>130</v>
      </c>
      <c r="T91" t="s">
        <v>131</v>
      </c>
      <c r="U91">
        <v>8</v>
      </c>
      <c r="V91">
        <v>1</v>
      </c>
      <c r="W91" s="2">
        <v>2730</v>
      </c>
      <c r="X91" s="2">
        <v>2085</v>
      </c>
      <c r="Y91" s="2">
        <v>422</v>
      </c>
      <c r="Z91" s="2">
        <v>5237</v>
      </c>
      <c r="AA91">
        <v>337</v>
      </c>
      <c r="AB91" t="s">
        <v>151</v>
      </c>
      <c r="AC91">
        <v>15.7</v>
      </c>
      <c r="AD91">
        <v>24</v>
      </c>
      <c r="AE91">
        <v>70</v>
      </c>
      <c r="AF91" t="s">
        <v>132</v>
      </c>
      <c r="AG91">
        <v>32</v>
      </c>
      <c r="AH91" t="s">
        <v>67</v>
      </c>
      <c r="AI91" t="s">
        <v>95</v>
      </c>
      <c r="AJ91" t="s">
        <v>69</v>
      </c>
      <c r="AK91" t="s">
        <v>70</v>
      </c>
      <c r="AL91" t="s">
        <v>70</v>
      </c>
      <c r="AM91" t="s">
        <v>71</v>
      </c>
      <c r="AN91" t="s">
        <v>115</v>
      </c>
      <c r="AO91" t="s">
        <v>72</v>
      </c>
      <c r="AP91" t="s">
        <v>72</v>
      </c>
      <c r="AQ91" t="s">
        <v>117</v>
      </c>
      <c r="AR91" s="1">
        <v>43634</v>
      </c>
      <c r="AS91" t="s">
        <v>75</v>
      </c>
      <c r="AT91" t="s">
        <v>71</v>
      </c>
      <c r="AU91">
        <v>392</v>
      </c>
      <c r="AV91" t="s">
        <v>76</v>
      </c>
      <c r="AW91" s="3">
        <v>62844</v>
      </c>
      <c r="AX91" t="s">
        <v>808</v>
      </c>
      <c r="AY91" t="s">
        <v>122</v>
      </c>
      <c r="AZ91" t="s">
        <v>76</v>
      </c>
      <c r="BA91" t="s">
        <v>807</v>
      </c>
      <c r="BB91" t="s">
        <v>801</v>
      </c>
      <c r="BC91" t="s">
        <v>802</v>
      </c>
      <c r="BD91" s="3">
        <v>6.4349818598434222E-2</v>
      </c>
      <c r="BE91">
        <v>421.4</v>
      </c>
      <c r="BG91" s="2">
        <f t="shared" si="4"/>
        <v>62844</v>
      </c>
      <c r="BH91" t="str" cm="1">
        <f t="array" ref="BH91">_xlfn.IFS(Q91&lt;5,"0-5 Years",Q91&lt;10,"5-10 Years",Q91&lt;15,"10-15 Years",TRUE,"15+ Years")</f>
        <v>5-10 Years</v>
      </c>
      <c r="BI91" t="str" cm="1">
        <f t="array" ref="BI91">_xlfn.IFS(AA91&gt;=540,"A",AA91&gt;=480,"B",AA91&gt;=420,"C",AA91&gt;=360,"D",TRUE,"F")</f>
        <v>F</v>
      </c>
      <c r="BJ91" t="str" cm="1">
        <f t="array" ref="BJ91">_xlfn.IFS(AU91&lt;0,"Separated",AU91&lt;=90,"High Risk",AU91&lt;=180,"Medium Risk",TRUE,"Retained")</f>
        <v>Retained</v>
      </c>
      <c r="BK91" t="str" cm="1">
        <f t="array" ref="BK91">_xlfn.IFS(V91=0,"No Combat",V91=1,"1 Tour",V91=2,"2 Tours",TRUE,"3+ Tours")</f>
        <v>1 Tour</v>
      </c>
      <c r="BL91" t="str">
        <f t="shared" si="5"/>
        <v>Standard</v>
      </c>
      <c r="BM91" t="str">
        <f t="shared" si="6"/>
        <v>Not Ready</v>
      </c>
      <c r="BN91" s="3">
        <f t="shared" si="7"/>
        <v>6.4349818598434222E-2</v>
      </c>
      <c r="BO91">
        <f t="shared" si="8"/>
        <v>421.4</v>
      </c>
    </row>
    <row r="92" spans="1:67" x14ac:dyDescent="0.25">
      <c r="A92" t="s">
        <v>373</v>
      </c>
      <c r="B92" t="s">
        <v>263</v>
      </c>
      <c r="C92" t="s">
        <v>313</v>
      </c>
      <c r="D92" t="s">
        <v>122</v>
      </c>
      <c r="E92">
        <v>23</v>
      </c>
      <c r="F92" t="s">
        <v>80</v>
      </c>
      <c r="G92" t="s">
        <v>285</v>
      </c>
      <c r="H92" t="s">
        <v>286</v>
      </c>
      <c r="I92" t="s">
        <v>217</v>
      </c>
      <c r="J92" t="s">
        <v>218</v>
      </c>
      <c r="K92" t="s">
        <v>146</v>
      </c>
      <c r="L92" t="s">
        <v>86</v>
      </c>
      <c r="M92" t="s">
        <v>207</v>
      </c>
      <c r="N92" t="s">
        <v>88</v>
      </c>
      <c r="O92" t="s">
        <v>61</v>
      </c>
      <c r="P92" s="1">
        <v>43087</v>
      </c>
      <c r="Q92">
        <v>6.5</v>
      </c>
      <c r="R92" t="s">
        <v>75</v>
      </c>
      <c r="S92" t="s">
        <v>130</v>
      </c>
      <c r="T92" t="s">
        <v>131</v>
      </c>
      <c r="U92">
        <v>15</v>
      </c>
      <c r="V92">
        <v>2</v>
      </c>
      <c r="W92" s="2">
        <v>7668</v>
      </c>
      <c r="X92" s="2">
        <v>0</v>
      </c>
      <c r="Y92" s="2">
        <v>266</v>
      </c>
      <c r="Z92" s="2">
        <v>7934</v>
      </c>
      <c r="AA92">
        <v>525</v>
      </c>
      <c r="AB92" t="s">
        <v>65</v>
      </c>
      <c r="AC92">
        <v>12.9</v>
      </c>
      <c r="AD92">
        <v>60</v>
      </c>
      <c r="AE92">
        <v>80</v>
      </c>
      <c r="AF92" t="s">
        <v>66</v>
      </c>
      <c r="AG92">
        <v>19</v>
      </c>
      <c r="AH92" t="s">
        <v>113</v>
      </c>
      <c r="AI92" t="s">
        <v>177</v>
      </c>
      <c r="AJ92" t="s">
        <v>188</v>
      </c>
      <c r="AK92" t="s">
        <v>70</v>
      </c>
      <c r="AL92" t="s">
        <v>70</v>
      </c>
      <c r="AM92" t="s">
        <v>70</v>
      </c>
      <c r="AN92" t="s">
        <v>72</v>
      </c>
      <c r="AO92" t="s">
        <v>178</v>
      </c>
      <c r="AP92" t="s">
        <v>72</v>
      </c>
      <c r="AQ92" t="s">
        <v>136</v>
      </c>
      <c r="AR92" s="1">
        <v>44259</v>
      </c>
      <c r="AS92" t="s">
        <v>75</v>
      </c>
      <c r="AT92" t="s">
        <v>71</v>
      </c>
      <c r="AU92">
        <v>177</v>
      </c>
      <c r="AV92" t="s">
        <v>179</v>
      </c>
      <c r="AW92" s="3">
        <v>95208</v>
      </c>
      <c r="AX92" t="s">
        <v>808</v>
      </c>
      <c r="AY92" t="s">
        <v>806</v>
      </c>
      <c r="AZ92" t="s">
        <v>815</v>
      </c>
      <c r="BA92" t="s">
        <v>811</v>
      </c>
      <c r="BB92" t="s">
        <v>801</v>
      </c>
      <c r="BC92" t="s">
        <v>802</v>
      </c>
      <c r="BD92" s="3">
        <v>6.6170910007562395E-2</v>
      </c>
      <c r="BE92">
        <v>563.4</v>
      </c>
      <c r="BG92" s="2">
        <f t="shared" si="4"/>
        <v>95208</v>
      </c>
      <c r="BH92" t="str" cm="1">
        <f t="array" ref="BH92">_xlfn.IFS(Q92&lt;5,"0-5 Years",Q92&lt;10,"5-10 Years",Q92&lt;15,"10-15 Years",TRUE,"15+ Years")</f>
        <v>5-10 Years</v>
      </c>
      <c r="BI92" t="str" cm="1">
        <f t="array" ref="BI92">_xlfn.IFS(AA92&gt;=540,"A",AA92&gt;=480,"B",AA92&gt;=420,"C",AA92&gt;=360,"D",TRUE,"F")</f>
        <v>B</v>
      </c>
      <c r="BJ92" t="str" cm="1">
        <f t="array" ref="BJ92">_xlfn.IFS(AU92&lt;0,"Separated",AU92&lt;=90,"High Risk",AU92&lt;=180,"Medium Risk",TRUE,"Retained")</f>
        <v>Medium Risk</v>
      </c>
      <c r="BK92" t="str" cm="1">
        <f t="array" ref="BK92">_xlfn.IFS(V92=0,"No Combat",V92=1,"1 Tour",V92=2,"2 Tours",TRUE,"3+ Tours")</f>
        <v>2 Tours</v>
      </c>
      <c r="BL92" t="str">
        <f t="shared" si="5"/>
        <v>Standard</v>
      </c>
      <c r="BM92" t="str">
        <f t="shared" si="6"/>
        <v>Not Ready</v>
      </c>
      <c r="BN92" s="3">
        <f t="shared" si="7"/>
        <v>6.6170910007562395E-2</v>
      </c>
      <c r="BO92">
        <f t="shared" si="8"/>
        <v>563.4</v>
      </c>
    </row>
    <row r="93" spans="1:67" x14ac:dyDescent="0.25">
      <c r="A93" t="s">
        <v>374</v>
      </c>
      <c r="B93" t="s">
        <v>139</v>
      </c>
      <c r="C93" t="s">
        <v>375</v>
      </c>
      <c r="D93" t="s">
        <v>51</v>
      </c>
      <c r="E93">
        <v>30</v>
      </c>
      <c r="F93" t="s">
        <v>325</v>
      </c>
      <c r="G93" t="s">
        <v>142</v>
      </c>
      <c r="H93" t="s">
        <v>143</v>
      </c>
      <c r="I93" t="s">
        <v>260</v>
      </c>
      <c r="J93" t="s">
        <v>261</v>
      </c>
      <c r="K93" t="s">
        <v>173</v>
      </c>
      <c r="L93" t="s">
        <v>106</v>
      </c>
      <c r="M93" t="s">
        <v>107</v>
      </c>
      <c r="N93" t="s">
        <v>162</v>
      </c>
      <c r="O93" t="s">
        <v>89</v>
      </c>
      <c r="P93" s="1">
        <v>44117</v>
      </c>
      <c r="Q93">
        <v>3.6</v>
      </c>
      <c r="R93" t="s">
        <v>129</v>
      </c>
      <c r="S93" t="s">
        <v>163</v>
      </c>
      <c r="T93" t="s">
        <v>164</v>
      </c>
      <c r="U93">
        <v>0</v>
      </c>
      <c r="V93">
        <v>0</v>
      </c>
      <c r="W93" s="2">
        <v>5473</v>
      </c>
      <c r="X93" s="2">
        <v>1237</v>
      </c>
      <c r="Y93" s="2">
        <v>422</v>
      </c>
      <c r="Z93" s="2">
        <v>7132</v>
      </c>
      <c r="AA93">
        <v>555</v>
      </c>
      <c r="AB93" t="s">
        <v>65</v>
      </c>
      <c r="AC93">
        <v>13.2</v>
      </c>
      <c r="AD93">
        <v>57</v>
      </c>
      <c r="AE93">
        <v>44</v>
      </c>
      <c r="AF93" t="s">
        <v>132</v>
      </c>
      <c r="AG93">
        <v>16</v>
      </c>
      <c r="AH93" t="s">
        <v>113</v>
      </c>
      <c r="AI93" t="s">
        <v>177</v>
      </c>
      <c r="AJ93" t="s">
        <v>188</v>
      </c>
      <c r="AK93" t="s">
        <v>70</v>
      </c>
      <c r="AL93" t="s">
        <v>71</v>
      </c>
      <c r="AM93" t="s">
        <v>70</v>
      </c>
      <c r="AN93" t="s">
        <v>72</v>
      </c>
      <c r="AO93" t="s">
        <v>135</v>
      </c>
      <c r="AP93" t="s">
        <v>97</v>
      </c>
      <c r="AQ93" t="s">
        <v>74</v>
      </c>
      <c r="AR93" s="1">
        <v>45635</v>
      </c>
      <c r="AS93" t="s">
        <v>137</v>
      </c>
      <c r="AT93" t="s">
        <v>71</v>
      </c>
      <c r="AU93">
        <v>725</v>
      </c>
      <c r="AV93" t="s">
        <v>76</v>
      </c>
      <c r="AW93" s="3">
        <v>85584</v>
      </c>
      <c r="AX93" t="s">
        <v>803</v>
      </c>
      <c r="AY93" t="s">
        <v>799</v>
      </c>
      <c r="AZ93" t="s">
        <v>76</v>
      </c>
      <c r="BA93" t="s">
        <v>800</v>
      </c>
      <c r="BB93" t="s">
        <v>801</v>
      </c>
      <c r="BC93" t="s">
        <v>802</v>
      </c>
      <c r="BD93" s="3">
        <v>7.7818283791362866E-2</v>
      </c>
      <c r="BE93">
        <v>597.4</v>
      </c>
      <c r="BG93" s="2">
        <f t="shared" si="4"/>
        <v>85584</v>
      </c>
      <c r="BH93" t="str" cm="1">
        <f t="array" ref="BH93">_xlfn.IFS(Q93&lt;5,"0-5 Years",Q93&lt;10,"5-10 Years",Q93&lt;15,"10-15 Years",TRUE,"15+ Years")</f>
        <v>0-5 Years</v>
      </c>
      <c r="BI93" t="str" cm="1">
        <f t="array" ref="BI93">_xlfn.IFS(AA93&gt;=540,"A",AA93&gt;=480,"B",AA93&gt;=420,"C",AA93&gt;=360,"D",TRUE,"F")</f>
        <v>A</v>
      </c>
      <c r="BJ93" t="str" cm="1">
        <f t="array" ref="BJ93">_xlfn.IFS(AU93&lt;0,"Separated",AU93&lt;=90,"High Risk",AU93&lt;=180,"Medium Risk",TRUE,"Retained")</f>
        <v>Retained</v>
      </c>
      <c r="BK93" t="str" cm="1">
        <f t="array" ref="BK93">_xlfn.IFS(V93=0,"No Combat",V93=1,"1 Tour",V93=2,"2 Tours",TRUE,"3+ Tours")</f>
        <v>No Combat</v>
      </c>
      <c r="BL93" t="str">
        <f t="shared" si="5"/>
        <v>Standard</v>
      </c>
      <c r="BM93" t="str">
        <f t="shared" si="6"/>
        <v>Not Ready</v>
      </c>
      <c r="BN93" s="3">
        <f t="shared" si="7"/>
        <v>7.7818283791362866E-2</v>
      </c>
      <c r="BO93">
        <f t="shared" si="8"/>
        <v>597.4</v>
      </c>
    </row>
    <row r="94" spans="1:67" x14ac:dyDescent="0.25">
      <c r="A94" t="s">
        <v>376</v>
      </c>
      <c r="B94" t="s">
        <v>377</v>
      </c>
      <c r="C94" t="s">
        <v>375</v>
      </c>
      <c r="D94" t="s">
        <v>51</v>
      </c>
      <c r="E94">
        <v>43</v>
      </c>
      <c r="F94" t="s">
        <v>192</v>
      </c>
      <c r="G94" t="s">
        <v>124</v>
      </c>
      <c r="H94" t="s">
        <v>125</v>
      </c>
      <c r="I94" t="s">
        <v>171</v>
      </c>
      <c r="J94" t="s">
        <v>172</v>
      </c>
      <c r="K94" t="s">
        <v>173</v>
      </c>
      <c r="L94" t="s">
        <v>201</v>
      </c>
      <c r="M94" t="s">
        <v>87</v>
      </c>
      <c r="N94" t="s">
        <v>60</v>
      </c>
      <c r="O94" t="s">
        <v>61</v>
      </c>
      <c r="P94" s="1">
        <v>43677</v>
      </c>
      <c r="Q94">
        <v>4.8</v>
      </c>
      <c r="R94" t="s">
        <v>208</v>
      </c>
      <c r="S94" t="s">
        <v>130</v>
      </c>
      <c r="T94" t="s">
        <v>131</v>
      </c>
      <c r="U94">
        <v>14</v>
      </c>
      <c r="V94">
        <v>2</v>
      </c>
      <c r="W94" s="2">
        <v>2730</v>
      </c>
      <c r="X94" s="2">
        <v>0</v>
      </c>
      <c r="Y94" s="2">
        <v>422</v>
      </c>
      <c r="Z94" s="2">
        <v>3152</v>
      </c>
      <c r="AA94">
        <v>516</v>
      </c>
      <c r="AB94" t="s">
        <v>65</v>
      </c>
      <c r="AC94">
        <v>17.8</v>
      </c>
      <c r="AD94">
        <v>29</v>
      </c>
      <c r="AE94">
        <v>56</v>
      </c>
      <c r="AF94" t="s">
        <v>93</v>
      </c>
      <c r="AG94">
        <v>18</v>
      </c>
      <c r="AH94" t="s">
        <v>113</v>
      </c>
      <c r="AI94" t="s">
        <v>114</v>
      </c>
      <c r="AJ94" t="s">
        <v>69</v>
      </c>
      <c r="AK94" t="s">
        <v>70</v>
      </c>
      <c r="AL94" t="s">
        <v>70</v>
      </c>
      <c r="AM94" t="s">
        <v>70</v>
      </c>
      <c r="AN94" t="s">
        <v>202</v>
      </c>
      <c r="AO94" t="s">
        <v>97</v>
      </c>
      <c r="AP94" t="s">
        <v>72</v>
      </c>
      <c r="AQ94" t="s">
        <v>136</v>
      </c>
      <c r="AR94" s="1">
        <v>44633</v>
      </c>
      <c r="AS94" t="s">
        <v>75</v>
      </c>
      <c r="AT94" t="s">
        <v>71</v>
      </c>
      <c r="AU94">
        <v>-391</v>
      </c>
      <c r="AV94" t="s">
        <v>179</v>
      </c>
      <c r="AW94" s="3">
        <v>37824</v>
      </c>
      <c r="AX94" t="s">
        <v>803</v>
      </c>
      <c r="AY94" t="s">
        <v>806</v>
      </c>
      <c r="AZ94" t="s">
        <v>810</v>
      </c>
      <c r="BA94" t="s">
        <v>811</v>
      </c>
      <c r="BB94" t="s">
        <v>801</v>
      </c>
      <c r="BC94" t="s">
        <v>802</v>
      </c>
      <c r="BD94" s="3">
        <v>0.16370558375634517</v>
      </c>
      <c r="BE94">
        <v>552.4</v>
      </c>
      <c r="BG94" s="2">
        <f t="shared" si="4"/>
        <v>37824</v>
      </c>
      <c r="BH94" t="str" cm="1">
        <f t="array" ref="BH94">_xlfn.IFS(Q94&lt;5,"0-5 Years",Q94&lt;10,"5-10 Years",Q94&lt;15,"10-15 Years",TRUE,"15+ Years")</f>
        <v>0-5 Years</v>
      </c>
      <c r="BI94" t="str" cm="1">
        <f t="array" ref="BI94">_xlfn.IFS(AA94&gt;=540,"A",AA94&gt;=480,"B",AA94&gt;=420,"C",AA94&gt;=360,"D",TRUE,"F")</f>
        <v>B</v>
      </c>
      <c r="BJ94" t="str" cm="1">
        <f t="array" ref="BJ94">_xlfn.IFS(AU94&lt;0,"Separated",AU94&lt;=90,"High Risk",AU94&lt;=180,"Medium Risk",TRUE,"Retained")</f>
        <v>Separated</v>
      </c>
      <c r="BK94" t="str" cm="1">
        <f t="array" ref="BK94">_xlfn.IFS(V94=0,"No Combat",V94=1,"1 Tour",V94=2,"2 Tours",TRUE,"3+ Tours")</f>
        <v>2 Tours</v>
      </c>
      <c r="BL94" t="str">
        <f t="shared" si="5"/>
        <v>Standard</v>
      </c>
      <c r="BM94" t="str">
        <f t="shared" si="6"/>
        <v>Not Ready</v>
      </c>
      <c r="BN94" s="3">
        <f t="shared" si="7"/>
        <v>0.16370558375634517</v>
      </c>
      <c r="BO94">
        <f t="shared" si="8"/>
        <v>552.4</v>
      </c>
    </row>
    <row r="95" spans="1:67" x14ac:dyDescent="0.25">
      <c r="A95" t="s">
        <v>378</v>
      </c>
      <c r="B95" t="s">
        <v>190</v>
      </c>
      <c r="C95" t="s">
        <v>155</v>
      </c>
      <c r="D95" t="s">
        <v>51</v>
      </c>
      <c r="E95">
        <v>42</v>
      </c>
      <c r="F95" t="s">
        <v>141</v>
      </c>
      <c r="G95" t="s">
        <v>169</v>
      </c>
      <c r="H95" t="s">
        <v>170</v>
      </c>
      <c r="I95" t="s">
        <v>260</v>
      </c>
      <c r="J95" t="s">
        <v>261</v>
      </c>
      <c r="K95" t="s">
        <v>173</v>
      </c>
      <c r="L95" t="s">
        <v>126</v>
      </c>
      <c r="M95" t="s">
        <v>207</v>
      </c>
      <c r="N95" t="s">
        <v>265</v>
      </c>
      <c r="O95" t="s">
        <v>89</v>
      </c>
      <c r="P95" s="1">
        <v>44773</v>
      </c>
      <c r="Q95">
        <v>1.8</v>
      </c>
      <c r="R95" t="s">
        <v>75</v>
      </c>
      <c r="S95" t="s">
        <v>196</v>
      </c>
      <c r="T95" t="s">
        <v>197</v>
      </c>
      <c r="U95">
        <v>0</v>
      </c>
      <c r="V95">
        <v>0</v>
      </c>
      <c r="W95" s="2">
        <v>3294</v>
      </c>
      <c r="X95" s="2">
        <v>1290</v>
      </c>
      <c r="Y95" s="2">
        <v>422</v>
      </c>
      <c r="Z95" s="2">
        <v>5006</v>
      </c>
      <c r="AA95">
        <v>594</v>
      </c>
      <c r="AB95" t="s">
        <v>65</v>
      </c>
      <c r="AC95">
        <v>15.8</v>
      </c>
      <c r="AD95">
        <v>35</v>
      </c>
      <c r="AE95">
        <v>61</v>
      </c>
      <c r="AF95" t="s">
        <v>66</v>
      </c>
      <c r="AG95">
        <v>32</v>
      </c>
      <c r="AH95" t="s">
        <v>67</v>
      </c>
      <c r="AI95" t="s">
        <v>177</v>
      </c>
      <c r="AJ95" t="s">
        <v>69</v>
      </c>
      <c r="AK95" t="s">
        <v>70</v>
      </c>
      <c r="AL95" t="s">
        <v>70</v>
      </c>
      <c r="AM95" t="s">
        <v>70</v>
      </c>
      <c r="AN95" t="s">
        <v>270</v>
      </c>
      <c r="AO95" t="s">
        <v>135</v>
      </c>
      <c r="AP95" t="s">
        <v>221</v>
      </c>
      <c r="AQ95" t="s">
        <v>98</v>
      </c>
      <c r="AR95" s="1">
        <v>45098</v>
      </c>
      <c r="AS95" t="s">
        <v>137</v>
      </c>
      <c r="AT95" t="s">
        <v>70</v>
      </c>
      <c r="AU95">
        <v>383</v>
      </c>
      <c r="AV95" t="s">
        <v>76</v>
      </c>
      <c r="AW95" s="3">
        <v>60072</v>
      </c>
      <c r="AX95" t="s">
        <v>803</v>
      </c>
      <c r="AY95" t="s">
        <v>799</v>
      </c>
      <c r="AZ95" t="s">
        <v>76</v>
      </c>
      <c r="BA95" t="s">
        <v>800</v>
      </c>
      <c r="BB95" t="s">
        <v>801</v>
      </c>
      <c r="BC95" t="s">
        <v>802</v>
      </c>
      <c r="BD95" s="3">
        <v>0.11865761086695965</v>
      </c>
      <c r="BE95">
        <v>658.4</v>
      </c>
      <c r="BG95" s="2">
        <f t="shared" si="4"/>
        <v>60072</v>
      </c>
      <c r="BH95" t="str" cm="1">
        <f t="array" ref="BH95">_xlfn.IFS(Q95&lt;5,"0-5 Years",Q95&lt;10,"5-10 Years",Q95&lt;15,"10-15 Years",TRUE,"15+ Years")</f>
        <v>0-5 Years</v>
      </c>
      <c r="BI95" t="str" cm="1">
        <f t="array" ref="BI95">_xlfn.IFS(AA95&gt;=540,"A",AA95&gt;=480,"B",AA95&gt;=420,"C",AA95&gt;=360,"D",TRUE,"F")</f>
        <v>A</v>
      </c>
      <c r="BJ95" t="str" cm="1">
        <f t="array" ref="BJ95">_xlfn.IFS(AU95&lt;0,"Separated",AU95&lt;=90,"High Risk",AU95&lt;=180,"Medium Risk",TRUE,"Retained")</f>
        <v>Retained</v>
      </c>
      <c r="BK95" t="str" cm="1">
        <f t="array" ref="BK95">_xlfn.IFS(V95=0,"No Combat",V95=1,"1 Tour",V95=2,"2 Tours",TRUE,"3+ Tours")</f>
        <v>No Combat</v>
      </c>
      <c r="BL95" t="str">
        <f t="shared" si="5"/>
        <v>Standard</v>
      </c>
      <c r="BM95" t="str">
        <f t="shared" si="6"/>
        <v>Not Ready</v>
      </c>
      <c r="BN95" s="3">
        <f t="shared" si="7"/>
        <v>0.11865761086695965</v>
      </c>
      <c r="BO95">
        <f t="shared" si="8"/>
        <v>658.4</v>
      </c>
    </row>
    <row r="96" spans="1:67" x14ac:dyDescent="0.25">
      <c r="A96" t="s">
        <v>379</v>
      </c>
      <c r="B96" t="s">
        <v>78</v>
      </c>
      <c r="C96" t="s">
        <v>191</v>
      </c>
      <c r="D96" t="s">
        <v>51</v>
      </c>
      <c r="E96">
        <v>38</v>
      </c>
      <c r="F96" t="s">
        <v>325</v>
      </c>
      <c r="G96" t="s">
        <v>142</v>
      </c>
      <c r="H96" t="s">
        <v>143</v>
      </c>
      <c r="I96" t="s">
        <v>158</v>
      </c>
      <c r="J96" t="s">
        <v>159</v>
      </c>
      <c r="K96" t="s">
        <v>160</v>
      </c>
      <c r="L96" t="s">
        <v>106</v>
      </c>
      <c r="M96" t="s">
        <v>147</v>
      </c>
      <c r="N96" t="s">
        <v>128</v>
      </c>
      <c r="O96" t="s">
        <v>109</v>
      </c>
      <c r="P96" s="1">
        <v>41822</v>
      </c>
      <c r="Q96">
        <v>9.9</v>
      </c>
      <c r="R96" t="s">
        <v>90</v>
      </c>
      <c r="S96" t="s">
        <v>219</v>
      </c>
      <c r="T96" t="s">
        <v>220</v>
      </c>
      <c r="U96">
        <v>0</v>
      </c>
      <c r="V96">
        <v>0</v>
      </c>
      <c r="W96" s="2">
        <v>5473</v>
      </c>
      <c r="X96" s="2">
        <v>0</v>
      </c>
      <c r="Y96" s="2">
        <v>422</v>
      </c>
      <c r="Z96" s="2">
        <v>5895</v>
      </c>
      <c r="AA96">
        <v>368</v>
      </c>
      <c r="AB96" t="s">
        <v>65</v>
      </c>
      <c r="AC96">
        <v>17.899999999999999</v>
      </c>
      <c r="AD96">
        <v>54</v>
      </c>
      <c r="AE96">
        <v>69</v>
      </c>
      <c r="AF96" t="s">
        <v>112</v>
      </c>
      <c r="AG96">
        <v>18</v>
      </c>
      <c r="AH96" t="s">
        <v>113</v>
      </c>
      <c r="AI96" t="s">
        <v>68</v>
      </c>
      <c r="AJ96" t="s">
        <v>188</v>
      </c>
      <c r="AK96" t="s">
        <v>70</v>
      </c>
      <c r="AL96" t="s">
        <v>70</v>
      </c>
      <c r="AM96" t="s">
        <v>70</v>
      </c>
      <c r="AN96" t="s">
        <v>202</v>
      </c>
      <c r="AO96" t="s">
        <v>134</v>
      </c>
      <c r="AP96" t="s">
        <v>72</v>
      </c>
      <c r="AQ96" t="s">
        <v>98</v>
      </c>
      <c r="AR96" s="1">
        <v>41877</v>
      </c>
      <c r="AS96" t="s">
        <v>198</v>
      </c>
      <c r="AT96" t="s">
        <v>71</v>
      </c>
      <c r="AU96">
        <v>501</v>
      </c>
      <c r="AV96" t="s">
        <v>76</v>
      </c>
      <c r="AW96" s="3">
        <v>70740</v>
      </c>
      <c r="AX96" t="s">
        <v>808</v>
      </c>
      <c r="AY96" t="s">
        <v>809</v>
      </c>
      <c r="AZ96" t="s">
        <v>76</v>
      </c>
      <c r="BA96" t="s">
        <v>800</v>
      </c>
      <c r="BB96" t="s">
        <v>801</v>
      </c>
      <c r="BC96" t="s">
        <v>802</v>
      </c>
      <c r="BD96" s="3">
        <v>6.2425784563189146E-2</v>
      </c>
      <c r="BE96">
        <v>404.4</v>
      </c>
      <c r="BG96" s="2">
        <f t="shared" si="4"/>
        <v>70740</v>
      </c>
      <c r="BH96" t="str" cm="1">
        <f t="array" ref="BH96">_xlfn.IFS(Q96&lt;5,"0-5 Years",Q96&lt;10,"5-10 Years",Q96&lt;15,"10-15 Years",TRUE,"15+ Years")</f>
        <v>5-10 Years</v>
      </c>
      <c r="BI96" t="str" cm="1">
        <f t="array" ref="BI96">_xlfn.IFS(AA96&gt;=540,"A",AA96&gt;=480,"B",AA96&gt;=420,"C",AA96&gt;=360,"D",TRUE,"F")</f>
        <v>D</v>
      </c>
      <c r="BJ96" t="str" cm="1">
        <f t="array" ref="BJ96">_xlfn.IFS(AU96&lt;0,"Separated",AU96&lt;=90,"High Risk",AU96&lt;=180,"Medium Risk",TRUE,"Retained")</f>
        <v>Retained</v>
      </c>
      <c r="BK96" t="str" cm="1">
        <f t="array" ref="BK96">_xlfn.IFS(V96=0,"No Combat",V96=1,"1 Tour",V96=2,"2 Tours",TRUE,"3+ Tours")</f>
        <v>No Combat</v>
      </c>
      <c r="BL96" t="str">
        <f t="shared" si="5"/>
        <v>Standard</v>
      </c>
      <c r="BM96" t="str">
        <f t="shared" si="6"/>
        <v>Not Ready</v>
      </c>
      <c r="BN96" s="3">
        <f t="shared" si="7"/>
        <v>6.2425784563189146E-2</v>
      </c>
      <c r="BO96">
        <f t="shared" si="8"/>
        <v>404.4</v>
      </c>
    </row>
    <row r="97" spans="1:67" x14ac:dyDescent="0.25">
      <c r="A97" t="s">
        <v>380</v>
      </c>
      <c r="B97" t="s">
        <v>277</v>
      </c>
      <c r="C97" t="s">
        <v>257</v>
      </c>
      <c r="D97" t="s">
        <v>51</v>
      </c>
      <c r="E97">
        <v>26</v>
      </c>
      <c r="F97" t="s">
        <v>283</v>
      </c>
      <c r="G97" t="s">
        <v>279</v>
      </c>
      <c r="H97" t="s">
        <v>280</v>
      </c>
      <c r="I97" t="s">
        <v>225</v>
      </c>
      <c r="J97" t="s">
        <v>226</v>
      </c>
      <c r="K97" t="s">
        <v>105</v>
      </c>
      <c r="L97" t="s">
        <v>201</v>
      </c>
      <c r="M97" t="s">
        <v>296</v>
      </c>
      <c r="N97" t="s">
        <v>88</v>
      </c>
      <c r="O97" t="s">
        <v>149</v>
      </c>
      <c r="P97" s="1">
        <v>39331</v>
      </c>
      <c r="Q97">
        <v>16.7</v>
      </c>
      <c r="R97" t="s">
        <v>129</v>
      </c>
      <c r="S97" t="s">
        <v>163</v>
      </c>
      <c r="T97" t="s">
        <v>164</v>
      </c>
      <c r="U97">
        <v>4</v>
      </c>
      <c r="V97">
        <v>0</v>
      </c>
      <c r="W97" s="2">
        <v>6618</v>
      </c>
      <c r="X97" s="2">
        <v>0</v>
      </c>
      <c r="Y97" s="2">
        <v>266</v>
      </c>
      <c r="Z97" s="2">
        <v>6884</v>
      </c>
      <c r="AA97">
        <v>554</v>
      </c>
      <c r="AB97" t="s">
        <v>65</v>
      </c>
      <c r="AC97">
        <v>16.7</v>
      </c>
      <c r="AD97">
        <v>42</v>
      </c>
      <c r="AE97">
        <v>63</v>
      </c>
      <c r="AF97" t="s">
        <v>112</v>
      </c>
      <c r="AG97">
        <v>21</v>
      </c>
      <c r="AH97" t="s">
        <v>113</v>
      </c>
      <c r="AI97" t="s">
        <v>177</v>
      </c>
      <c r="AJ97" t="s">
        <v>72</v>
      </c>
      <c r="AK97" t="s">
        <v>71</v>
      </c>
      <c r="AL97" t="s">
        <v>70</v>
      </c>
      <c r="AM97" t="s">
        <v>70</v>
      </c>
      <c r="AN97" t="s">
        <v>115</v>
      </c>
      <c r="AO97" t="s">
        <v>221</v>
      </c>
      <c r="AP97" t="s">
        <v>72</v>
      </c>
      <c r="AQ97" t="s">
        <v>117</v>
      </c>
      <c r="AR97" s="1">
        <v>44223</v>
      </c>
      <c r="AS97" t="s">
        <v>75</v>
      </c>
      <c r="AT97" t="s">
        <v>71</v>
      </c>
      <c r="AU97">
        <v>-185</v>
      </c>
      <c r="AV97" t="s">
        <v>179</v>
      </c>
      <c r="AW97" s="3">
        <v>82608</v>
      </c>
      <c r="AX97" t="s">
        <v>798</v>
      </c>
      <c r="AY97" t="s">
        <v>799</v>
      </c>
      <c r="AZ97" t="s">
        <v>810</v>
      </c>
      <c r="BA97" t="s">
        <v>800</v>
      </c>
      <c r="BB97" t="s">
        <v>801</v>
      </c>
      <c r="BC97" t="s">
        <v>802</v>
      </c>
      <c r="BD97" s="3">
        <v>8.0476467170249852E-2</v>
      </c>
      <c r="BE97">
        <v>606.4</v>
      </c>
      <c r="BG97" s="2">
        <f t="shared" si="4"/>
        <v>82608</v>
      </c>
      <c r="BH97" t="str" cm="1">
        <f t="array" ref="BH97">_xlfn.IFS(Q97&lt;5,"0-5 Years",Q97&lt;10,"5-10 Years",Q97&lt;15,"10-15 Years",TRUE,"15+ Years")</f>
        <v>15+ Years</v>
      </c>
      <c r="BI97" t="str" cm="1">
        <f t="array" ref="BI97">_xlfn.IFS(AA97&gt;=540,"A",AA97&gt;=480,"B",AA97&gt;=420,"C",AA97&gt;=360,"D",TRUE,"F")</f>
        <v>A</v>
      </c>
      <c r="BJ97" t="str" cm="1">
        <f t="array" ref="BJ97">_xlfn.IFS(AU97&lt;0,"Separated",AU97&lt;=90,"High Risk",AU97&lt;=180,"Medium Risk",TRUE,"Retained")</f>
        <v>Separated</v>
      </c>
      <c r="BK97" t="str" cm="1">
        <f t="array" ref="BK97">_xlfn.IFS(V97=0,"No Combat",V97=1,"1 Tour",V97=2,"2 Tours",TRUE,"3+ Tours")</f>
        <v>No Combat</v>
      </c>
      <c r="BL97" t="str">
        <f t="shared" si="5"/>
        <v>Standard</v>
      </c>
      <c r="BM97" t="str">
        <f t="shared" si="6"/>
        <v>Not Ready</v>
      </c>
      <c r="BN97" s="3">
        <f t="shared" si="7"/>
        <v>8.0476467170249852E-2</v>
      </c>
      <c r="BO97">
        <f t="shared" si="8"/>
        <v>606.4</v>
      </c>
    </row>
    <row r="98" spans="1:67" x14ac:dyDescent="0.25">
      <c r="A98" t="s">
        <v>381</v>
      </c>
      <c r="B98" t="s">
        <v>190</v>
      </c>
      <c r="C98" t="s">
        <v>230</v>
      </c>
      <c r="D98" t="s">
        <v>122</v>
      </c>
      <c r="E98">
        <v>25</v>
      </c>
      <c r="F98" t="s">
        <v>382</v>
      </c>
      <c r="G98" t="s">
        <v>301</v>
      </c>
      <c r="H98" t="s">
        <v>302</v>
      </c>
      <c r="I98" t="s">
        <v>268</v>
      </c>
      <c r="J98" t="s">
        <v>269</v>
      </c>
      <c r="K98" t="s">
        <v>173</v>
      </c>
      <c r="L98" t="s">
        <v>126</v>
      </c>
      <c r="M98" t="s">
        <v>87</v>
      </c>
      <c r="N98" t="s">
        <v>108</v>
      </c>
      <c r="O98" t="s">
        <v>176</v>
      </c>
      <c r="P98" s="1">
        <v>39641</v>
      </c>
      <c r="Q98">
        <v>15.9</v>
      </c>
      <c r="R98" t="s">
        <v>62</v>
      </c>
      <c r="S98" t="s">
        <v>110</v>
      </c>
      <c r="T98" t="s">
        <v>111</v>
      </c>
      <c r="U98">
        <v>3</v>
      </c>
      <c r="V98">
        <v>0</v>
      </c>
      <c r="W98" s="2">
        <v>4188</v>
      </c>
      <c r="X98" s="2">
        <v>0</v>
      </c>
      <c r="Y98" s="2">
        <v>266</v>
      </c>
      <c r="Z98" s="2">
        <v>4454</v>
      </c>
      <c r="AA98">
        <v>312</v>
      </c>
      <c r="AB98" t="s">
        <v>151</v>
      </c>
      <c r="AC98">
        <v>14.4</v>
      </c>
      <c r="AD98">
        <v>52</v>
      </c>
      <c r="AE98">
        <v>30</v>
      </c>
      <c r="AF98" t="s">
        <v>66</v>
      </c>
      <c r="AG98">
        <v>23</v>
      </c>
      <c r="AH98" t="s">
        <v>113</v>
      </c>
      <c r="AI98" t="s">
        <v>114</v>
      </c>
      <c r="AJ98" t="s">
        <v>188</v>
      </c>
      <c r="AK98" t="s">
        <v>71</v>
      </c>
      <c r="AL98" t="s">
        <v>70</v>
      </c>
      <c r="AM98" t="s">
        <v>70</v>
      </c>
      <c r="AN98" t="s">
        <v>243</v>
      </c>
      <c r="AO98" t="s">
        <v>135</v>
      </c>
      <c r="AP98" t="s">
        <v>72</v>
      </c>
      <c r="AQ98" t="s">
        <v>74</v>
      </c>
      <c r="AR98" s="1">
        <v>41670</v>
      </c>
      <c r="AS98" t="s">
        <v>198</v>
      </c>
      <c r="AT98" t="s">
        <v>71</v>
      </c>
      <c r="AU98">
        <v>-181</v>
      </c>
      <c r="AV98" t="s">
        <v>179</v>
      </c>
      <c r="AW98" s="3">
        <v>53448</v>
      </c>
      <c r="AX98" t="s">
        <v>798</v>
      </c>
      <c r="AY98" t="s">
        <v>122</v>
      </c>
      <c r="AZ98" t="s">
        <v>810</v>
      </c>
      <c r="BA98" t="s">
        <v>800</v>
      </c>
      <c r="BB98" t="s">
        <v>801</v>
      </c>
      <c r="BC98" t="s">
        <v>802</v>
      </c>
      <c r="BD98" s="3">
        <v>7.0049393803322854E-2</v>
      </c>
      <c r="BE98">
        <v>368.4</v>
      </c>
      <c r="BG98" s="2">
        <f t="shared" si="4"/>
        <v>53448</v>
      </c>
      <c r="BH98" t="str" cm="1">
        <f t="array" ref="BH98">_xlfn.IFS(Q98&lt;5,"0-5 Years",Q98&lt;10,"5-10 Years",Q98&lt;15,"10-15 Years",TRUE,"15+ Years")</f>
        <v>15+ Years</v>
      </c>
      <c r="BI98" t="str" cm="1">
        <f t="array" ref="BI98">_xlfn.IFS(AA98&gt;=540,"A",AA98&gt;=480,"B",AA98&gt;=420,"C",AA98&gt;=360,"D",TRUE,"F")</f>
        <v>F</v>
      </c>
      <c r="BJ98" t="str" cm="1">
        <f t="array" ref="BJ98">_xlfn.IFS(AU98&lt;0,"Separated",AU98&lt;=90,"High Risk",AU98&lt;=180,"Medium Risk",TRUE,"Retained")</f>
        <v>Separated</v>
      </c>
      <c r="BK98" t="str" cm="1">
        <f t="array" ref="BK98">_xlfn.IFS(V98=0,"No Combat",V98=1,"1 Tour",V98=2,"2 Tours",TRUE,"3+ Tours")</f>
        <v>No Combat</v>
      </c>
      <c r="BL98" t="str">
        <f t="shared" si="5"/>
        <v>Standard</v>
      </c>
      <c r="BM98" t="str">
        <f t="shared" si="6"/>
        <v>Not Ready</v>
      </c>
      <c r="BN98" s="3">
        <f t="shared" si="7"/>
        <v>7.0049393803322854E-2</v>
      </c>
      <c r="BO98">
        <f t="shared" si="8"/>
        <v>368.4</v>
      </c>
    </row>
    <row r="99" spans="1:67" x14ac:dyDescent="0.25">
      <c r="A99" t="s">
        <v>383</v>
      </c>
      <c r="B99" t="s">
        <v>190</v>
      </c>
      <c r="C99" t="s">
        <v>140</v>
      </c>
      <c r="D99" t="s">
        <v>51</v>
      </c>
      <c r="E99">
        <v>42</v>
      </c>
      <c r="F99" t="s">
        <v>322</v>
      </c>
      <c r="G99" t="s">
        <v>298</v>
      </c>
      <c r="H99" t="s">
        <v>299</v>
      </c>
      <c r="I99" t="s">
        <v>273</v>
      </c>
      <c r="J99" t="s">
        <v>274</v>
      </c>
      <c r="K99" t="s">
        <v>57</v>
      </c>
      <c r="L99" t="s">
        <v>58</v>
      </c>
      <c r="M99" t="s">
        <v>147</v>
      </c>
      <c r="N99" t="s">
        <v>60</v>
      </c>
      <c r="O99" t="s">
        <v>109</v>
      </c>
      <c r="P99" s="1">
        <v>38917</v>
      </c>
      <c r="Q99">
        <v>17.899999999999999</v>
      </c>
      <c r="R99" t="s">
        <v>75</v>
      </c>
      <c r="S99" t="s">
        <v>91</v>
      </c>
      <c r="T99" t="s">
        <v>92</v>
      </c>
      <c r="U99">
        <v>9</v>
      </c>
      <c r="V99">
        <v>1</v>
      </c>
      <c r="W99" s="2">
        <v>2149</v>
      </c>
      <c r="X99" s="2">
        <v>1436</v>
      </c>
      <c r="Y99" s="2">
        <v>422</v>
      </c>
      <c r="Z99" s="2">
        <v>4007</v>
      </c>
      <c r="AA99">
        <v>478</v>
      </c>
      <c r="AB99" t="s">
        <v>65</v>
      </c>
      <c r="AC99">
        <v>13.2</v>
      </c>
      <c r="AD99">
        <v>49</v>
      </c>
      <c r="AE99">
        <v>30</v>
      </c>
      <c r="AF99" t="s">
        <v>93</v>
      </c>
      <c r="AG99">
        <v>25</v>
      </c>
      <c r="AH99" t="s">
        <v>113</v>
      </c>
      <c r="AI99" t="s">
        <v>114</v>
      </c>
      <c r="AJ99" t="s">
        <v>96</v>
      </c>
      <c r="AK99" t="s">
        <v>70</v>
      </c>
      <c r="AL99" t="s">
        <v>71</v>
      </c>
      <c r="AM99" t="s">
        <v>70</v>
      </c>
      <c r="AN99" t="s">
        <v>270</v>
      </c>
      <c r="AO99" t="s">
        <v>116</v>
      </c>
      <c r="AP99" t="s">
        <v>72</v>
      </c>
      <c r="AQ99" t="s">
        <v>98</v>
      </c>
      <c r="AR99" s="1">
        <v>40626</v>
      </c>
      <c r="AS99" t="s">
        <v>137</v>
      </c>
      <c r="AT99" t="s">
        <v>71</v>
      </c>
      <c r="AU99">
        <v>1718</v>
      </c>
      <c r="AV99" t="s">
        <v>76</v>
      </c>
      <c r="AW99" s="3">
        <v>48084</v>
      </c>
      <c r="AX99" t="s">
        <v>798</v>
      </c>
      <c r="AY99" t="s">
        <v>804</v>
      </c>
      <c r="AZ99" t="s">
        <v>76</v>
      </c>
      <c r="BA99" t="s">
        <v>807</v>
      </c>
      <c r="BB99" t="s">
        <v>801</v>
      </c>
      <c r="BC99" t="s">
        <v>802</v>
      </c>
      <c r="BD99" s="3">
        <v>0.11929124032942351</v>
      </c>
      <c r="BE99">
        <v>538.4</v>
      </c>
      <c r="BG99" s="2">
        <f t="shared" si="4"/>
        <v>48084</v>
      </c>
      <c r="BH99" t="str" cm="1">
        <f t="array" ref="BH99">_xlfn.IFS(Q99&lt;5,"0-5 Years",Q99&lt;10,"5-10 Years",Q99&lt;15,"10-15 Years",TRUE,"15+ Years")</f>
        <v>15+ Years</v>
      </c>
      <c r="BI99" t="str" cm="1">
        <f t="array" ref="BI99">_xlfn.IFS(AA99&gt;=540,"A",AA99&gt;=480,"B",AA99&gt;=420,"C",AA99&gt;=360,"D",TRUE,"F")</f>
        <v>C</v>
      </c>
      <c r="BJ99" t="str" cm="1">
        <f t="array" ref="BJ99">_xlfn.IFS(AU99&lt;0,"Separated",AU99&lt;=90,"High Risk",AU99&lt;=180,"Medium Risk",TRUE,"Retained")</f>
        <v>Retained</v>
      </c>
      <c r="BK99" t="str" cm="1">
        <f t="array" ref="BK99">_xlfn.IFS(V99=0,"No Combat",V99=1,"1 Tour",V99=2,"2 Tours",TRUE,"3+ Tours")</f>
        <v>1 Tour</v>
      </c>
      <c r="BL99" t="str">
        <f t="shared" si="5"/>
        <v>Standard</v>
      </c>
      <c r="BM99" t="str">
        <f t="shared" si="6"/>
        <v>Not Ready</v>
      </c>
      <c r="BN99" s="3">
        <f t="shared" si="7"/>
        <v>0.11929124032942351</v>
      </c>
      <c r="BO99">
        <f t="shared" si="8"/>
        <v>538.4</v>
      </c>
    </row>
    <row r="100" spans="1:67" x14ac:dyDescent="0.25">
      <c r="A100" t="s">
        <v>384</v>
      </c>
      <c r="B100" t="s">
        <v>267</v>
      </c>
      <c r="C100" t="s">
        <v>50</v>
      </c>
      <c r="D100" t="s">
        <v>51</v>
      </c>
      <c r="E100">
        <v>36</v>
      </c>
      <c r="F100" t="s">
        <v>311</v>
      </c>
      <c r="G100" t="s">
        <v>234</v>
      </c>
      <c r="H100" t="s">
        <v>235</v>
      </c>
      <c r="I100" t="s">
        <v>292</v>
      </c>
      <c r="J100" t="s">
        <v>293</v>
      </c>
      <c r="K100" t="s">
        <v>294</v>
      </c>
      <c r="L100" t="s">
        <v>106</v>
      </c>
      <c r="M100" t="s">
        <v>212</v>
      </c>
      <c r="N100" t="s">
        <v>128</v>
      </c>
      <c r="O100" t="s">
        <v>176</v>
      </c>
      <c r="P100" s="1">
        <v>39204</v>
      </c>
      <c r="Q100">
        <v>17.100000000000001</v>
      </c>
      <c r="R100" t="s">
        <v>129</v>
      </c>
      <c r="S100" t="s">
        <v>130</v>
      </c>
      <c r="T100" t="s">
        <v>131</v>
      </c>
      <c r="U100">
        <v>7</v>
      </c>
      <c r="V100">
        <v>1</v>
      </c>
      <c r="W100" s="2">
        <v>1917</v>
      </c>
      <c r="X100" s="2">
        <v>1659</v>
      </c>
      <c r="Y100" s="2">
        <v>422</v>
      </c>
      <c r="Z100" s="2">
        <v>3998</v>
      </c>
      <c r="AA100">
        <v>433</v>
      </c>
      <c r="AB100" t="s">
        <v>65</v>
      </c>
      <c r="AC100">
        <v>20.7</v>
      </c>
      <c r="AD100">
        <v>82</v>
      </c>
      <c r="AE100">
        <v>39</v>
      </c>
      <c r="AF100" t="s">
        <v>66</v>
      </c>
      <c r="AG100">
        <v>17</v>
      </c>
      <c r="AH100" t="s">
        <v>113</v>
      </c>
      <c r="AI100" t="s">
        <v>152</v>
      </c>
      <c r="AJ100" t="s">
        <v>96</v>
      </c>
      <c r="AK100" t="s">
        <v>70</v>
      </c>
      <c r="AL100" t="s">
        <v>70</v>
      </c>
      <c r="AM100" t="s">
        <v>71</v>
      </c>
      <c r="AN100" t="s">
        <v>231</v>
      </c>
      <c r="AO100" t="s">
        <v>73</v>
      </c>
      <c r="AP100" t="s">
        <v>203</v>
      </c>
      <c r="AQ100" t="s">
        <v>74</v>
      </c>
      <c r="AR100" s="1">
        <v>39696</v>
      </c>
      <c r="AS100" t="s">
        <v>118</v>
      </c>
      <c r="AT100" t="s">
        <v>71</v>
      </c>
      <c r="AU100">
        <v>-245</v>
      </c>
      <c r="AV100" t="s">
        <v>179</v>
      </c>
      <c r="AW100" s="3">
        <v>47976</v>
      </c>
      <c r="AX100" t="s">
        <v>798</v>
      </c>
      <c r="AY100" t="s">
        <v>804</v>
      </c>
      <c r="AZ100" t="s">
        <v>810</v>
      </c>
      <c r="BA100" t="s">
        <v>807</v>
      </c>
      <c r="BB100" t="s">
        <v>801</v>
      </c>
      <c r="BC100" t="s">
        <v>802</v>
      </c>
      <c r="BD100" s="3">
        <v>0.10830415207603802</v>
      </c>
      <c r="BE100">
        <v>487.4</v>
      </c>
      <c r="BG100" s="2">
        <f t="shared" si="4"/>
        <v>47976</v>
      </c>
      <c r="BH100" t="str" cm="1">
        <f t="array" ref="BH100">_xlfn.IFS(Q100&lt;5,"0-5 Years",Q100&lt;10,"5-10 Years",Q100&lt;15,"10-15 Years",TRUE,"15+ Years")</f>
        <v>15+ Years</v>
      </c>
      <c r="BI100" t="str" cm="1">
        <f t="array" ref="BI100">_xlfn.IFS(AA100&gt;=540,"A",AA100&gt;=480,"B",AA100&gt;=420,"C",AA100&gt;=360,"D",TRUE,"F")</f>
        <v>C</v>
      </c>
      <c r="BJ100" t="str" cm="1">
        <f t="array" ref="BJ100">_xlfn.IFS(AU100&lt;0,"Separated",AU100&lt;=90,"High Risk",AU100&lt;=180,"Medium Risk",TRUE,"Retained")</f>
        <v>Separated</v>
      </c>
      <c r="BK100" t="str" cm="1">
        <f t="array" ref="BK100">_xlfn.IFS(V100=0,"No Combat",V100=1,"1 Tour",V100=2,"2 Tours",TRUE,"3+ Tours")</f>
        <v>1 Tour</v>
      </c>
      <c r="BL100" t="str">
        <f t="shared" si="5"/>
        <v>Standard</v>
      </c>
      <c r="BM100" t="str">
        <f t="shared" si="6"/>
        <v>Not Ready</v>
      </c>
      <c r="BN100" s="3">
        <f t="shared" si="7"/>
        <v>0.10830415207603802</v>
      </c>
      <c r="BO100">
        <f t="shared" si="8"/>
        <v>487.4</v>
      </c>
    </row>
    <row r="101" spans="1:67" x14ac:dyDescent="0.25">
      <c r="A101" t="s">
        <v>385</v>
      </c>
      <c r="B101" t="s">
        <v>377</v>
      </c>
      <c r="C101" t="s">
        <v>240</v>
      </c>
      <c r="D101" t="s">
        <v>122</v>
      </c>
      <c r="E101">
        <v>21</v>
      </c>
      <c r="F101" t="s">
        <v>168</v>
      </c>
      <c r="G101" t="s">
        <v>53</v>
      </c>
      <c r="H101" t="s">
        <v>54</v>
      </c>
      <c r="I101" t="s">
        <v>217</v>
      </c>
      <c r="J101" t="s">
        <v>218</v>
      </c>
      <c r="K101" t="s">
        <v>146</v>
      </c>
      <c r="L101" t="s">
        <v>86</v>
      </c>
      <c r="M101" t="s">
        <v>161</v>
      </c>
      <c r="N101" t="s">
        <v>128</v>
      </c>
      <c r="O101" t="s">
        <v>109</v>
      </c>
      <c r="P101" s="1">
        <v>44093</v>
      </c>
      <c r="Q101">
        <v>3.7</v>
      </c>
      <c r="R101" t="s">
        <v>62</v>
      </c>
      <c r="S101" t="s">
        <v>196</v>
      </c>
      <c r="T101" t="s">
        <v>197</v>
      </c>
      <c r="U101">
        <v>0</v>
      </c>
      <c r="V101">
        <v>0</v>
      </c>
      <c r="W101" s="2">
        <v>4739</v>
      </c>
      <c r="X101" s="2">
        <v>1468</v>
      </c>
      <c r="Y101" s="2">
        <v>422</v>
      </c>
      <c r="Z101" s="2">
        <v>6629</v>
      </c>
      <c r="AA101">
        <v>393</v>
      </c>
      <c r="AB101" t="s">
        <v>65</v>
      </c>
      <c r="AC101">
        <v>16.3</v>
      </c>
      <c r="AD101">
        <v>34</v>
      </c>
      <c r="AE101">
        <v>34</v>
      </c>
      <c r="AF101" t="s">
        <v>93</v>
      </c>
      <c r="AG101">
        <v>40</v>
      </c>
      <c r="AH101" t="s">
        <v>94</v>
      </c>
      <c r="AI101" t="s">
        <v>68</v>
      </c>
      <c r="AJ101" t="s">
        <v>69</v>
      </c>
      <c r="AK101" t="s">
        <v>70</v>
      </c>
      <c r="AL101" t="s">
        <v>70</v>
      </c>
      <c r="AM101" t="s">
        <v>70</v>
      </c>
      <c r="AN101" t="s">
        <v>231</v>
      </c>
      <c r="AO101" t="s">
        <v>72</v>
      </c>
      <c r="AP101" t="s">
        <v>178</v>
      </c>
      <c r="AQ101" t="s">
        <v>136</v>
      </c>
      <c r="AR101" s="1">
        <v>44373</v>
      </c>
      <c r="AS101" t="s">
        <v>118</v>
      </c>
      <c r="AT101" t="s">
        <v>71</v>
      </c>
      <c r="AU101">
        <v>-9</v>
      </c>
      <c r="AV101" t="s">
        <v>179</v>
      </c>
      <c r="AW101" s="3">
        <v>79548</v>
      </c>
      <c r="AX101" t="s">
        <v>803</v>
      </c>
      <c r="AY101" t="s">
        <v>809</v>
      </c>
      <c r="AZ101" t="s">
        <v>810</v>
      </c>
      <c r="BA101" t="s">
        <v>800</v>
      </c>
      <c r="BB101" t="s">
        <v>801</v>
      </c>
      <c r="BC101" t="s">
        <v>802</v>
      </c>
      <c r="BD101" s="3">
        <v>5.9284960024136371E-2</v>
      </c>
      <c r="BE101">
        <v>473.4</v>
      </c>
      <c r="BG101" s="2">
        <f t="shared" si="4"/>
        <v>79548</v>
      </c>
      <c r="BH101" t="str" cm="1">
        <f t="array" ref="BH101">_xlfn.IFS(Q101&lt;5,"0-5 Years",Q101&lt;10,"5-10 Years",Q101&lt;15,"10-15 Years",TRUE,"15+ Years")</f>
        <v>0-5 Years</v>
      </c>
      <c r="BI101" t="str" cm="1">
        <f t="array" ref="BI101">_xlfn.IFS(AA101&gt;=540,"A",AA101&gt;=480,"B",AA101&gt;=420,"C",AA101&gt;=360,"D",TRUE,"F")</f>
        <v>D</v>
      </c>
      <c r="BJ101" t="str" cm="1">
        <f t="array" ref="BJ101">_xlfn.IFS(AU101&lt;0,"Separated",AU101&lt;=90,"High Risk",AU101&lt;=180,"Medium Risk",TRUE,"Retained")</f>
        <v>Separated</v>
      </c>
      <c r="BK101" t="str" cm="1">
        <f t="array" ref="BK101">_xlfn.IFS(V101=0,"No Combat",V101=1,"1 Tour",V101=2,"2 Tours",TRUE,"3+ Tours")</f>
        <v>No Combat</v>
      </c>
      <c r="BL101" t="str">
        <f t="shared" si="5"/>
        <v>Standard</v>
      </c>
      <c r="BM101" t="str">
        <f t="shared" si="6"/>
        <v>Not Ready</v>
      </c>
      <c r="BN101" s="3">
        <f t="shared" si="7"/>
        <v>5.9284960024136371E-2</v>
      </c>
      <c r="BO101">
        <f t="shared" si="8"/>
        <v>473.4</v>
      </c>
    </row>
    <row r="102" spans="1:67" x14ac:dyDescent="0.25">
      <c r="A102" t="s">
        <v>386</v>
      </c>
      <c r="B102" t="s">
        <v>210</v>
      </c>
      <c r="C102" t="s">
        <v>264</v>
      </c>
      <c r="D102" t="s">
        <v>51</v>
      </c>
      <c r="E102">
        <v>25</v>
      </c>
      <c r="F102" t="s">
        <v>311</v>
      </c>
      <c r="G102" t="s">
        <v>142</v>
      </c>
      <c r="H102" t="s">
        <v>143</v>
      </c>
      <c r="I102" t="s">
        <v>144</v>
      </c>
      <c r="J102" t="s">
        <v>145</v>
      </c>
      <c r="K102" t="s">
        <v>146</v>
      </c>
      <c r="L102" t="s">
        <v>106</v>
      </c>
      <c r="M102" t="s">
        <v>59</v>
      </c>
      <c r="N102" t="s">
        <v>148</v>
      </c>
      <c r="O102" t="s">
        <v>89</v>
      </c>
      <c r="P102" s="1">
        <v>40114</v>
      </c>
      <c r="Q102">
        <v>14.6</v>
      </c>
      <c r="R102" t="s">
        <v>150</v>
      </c>
      <c r="S102" t="s">
        <v>196</v>
      </c>
      <c r="T102" t="s">
        <v>197</v>
      </c>
      <c r="U102">
        <v>0</v>
      </c>
      <c r="V102">
        <v>0</v>
      </c>
      <c r="W102" s="2">
        <v>5473</v>
      </c>
      <c r="X102" s="2">
        <v>0</v>
      </c>
      <c r="Y102" s="2">
        <v>422</v>
      </c>
      <c r="Z102" s="2">
        <v>5895</v>
      </c>
      <c r="AA102">
        <v>492</v>
      </c>
      <c r="AB102" t="s">
        <v>65</v>
      </c>
      <c r="AC102">
        <v>13.3</v>
      </c>
      <c r="AD102">
        <v>35</v>
      </c>
      <c r="AE102">
        <v>52</v>
      </c>
      <c r="AF102" t="s">
        <v>66</v>
      </c>
      <c r="AG102">
        <v>37</v>
      </c>
      <c r="AH102" t="s">
        <v>94</v>
      </c>
      <c r="AI102" t="s">
        <v>95</v>
      </c>
      <c r="AJ102" t="s">
        <v>69</v>
      </c>
      <c r="AK102" t="s">
        <v>70</v>
      </c>
      <c r="AL102" t="s">
        <v>70</v>
      </c>
      <c r="AM102" t="s">
        <v>70</v>
      </c>
      <c r="AN102" t="s">
        <v>202</v>
      </c>
      <c r="AO102" t="s">
        <v>134</v>
      </c>
      <c r="AP102" t="s">
        <v>72</v>
      </c>
      <c r="AQ102" t="s">
        <v>98</v>
      </c>
      <c r="AR102" s="1">
        <v>40808</v>
      </c>
      <c r="AS102" t="s">
        <v>137</v>
      </c>
      <c r="AT102" t="s">
        <v>71</v>
      </c>
      <c r="AU102">
        <v>-452</v>
      </c>
      <c r="AV102" t="s">
        <v>179</v>
      </c>
      <c r="AW102" s="3">
        <v>70740</v>
      </c>
      <c r="AX102" t="s">
        <v>805</v>
      </c>
      <c r="AY102" t="s">
        <v>806</v>
      </c>
      <c r="AZ102" t="s">
        <v>810</v>
      </c>
      <c r="BA102" t="s">
        <v>800</v>
      </c>
      <c r="BB102" t="s">
        <v>801</v>
      </c>
      <c r="BC102" t="s">
        <v>802</v>
      </c>
      <c r="BD102" s="3">
        <v>8.3460559796437656E-2</v>
      </c>
      <c r="BE102">
        <v>566.4</v>
      </c>
      <c r="BG102" s="2">
        <f t="shared" si="4"/>
        <v>70740</v>
      </c>
      <c r="BH102" t="str" cm="1">
        <f t="array" ref="BH102">_xlfn.IFS(Q102&lt;5,"0-5 Years",Q102&lt;10,"5-10 Years",Q102&lt;15,"10-15 Years",TRUE,"15+ Years")</f>
        <v>10-15 Years</v>
      </c>
      <c r="BI102" t="str" cm="1">
        <f t="array" ref="BI102">_xlfn.IFS(AA102&gt;=540,"A",AA102&gt;=480,"B",AA102&gt;=420,"C",AA102&gt;=360,"D",TRUE,"F")</f>
        <v>B</v>
      </c>
      <c r="BJ102" t="str" cm="1">
        <f t="array" ref="BJ102">_xlfn.IFS(AU102&lt;0,"Separated",AU102&lt;=90,"High Risk",AU102&lt;=180,"Medium Risk",TRUE,"Retained")</f>
        <v>Separated</v>
      </c>
      <c r="BK102" t="str" cm="1">
        <f t="array" ref="BK102">_xlfn.IFS(V102=0,"No Combat",V102=1,"1 Tour",V102=2,"2 Tours",TRUE,"3+ Tours")</f>
        <v>No Combat</v>
      </c>
      <c r="BL102" t="str">
        <f t="shared" si="5"/>
        <v>Standard</v>
      </c>
      <c r="BM102" t="str">
        <f t="shared" si="6"/>
        <v>Not Ready</v>
      </c>
      <c r="BN102" s="3">
        <f t="shared" si="7"/>
        <v>8.3460559796437656E-2</v>
      </c>
      <c r="BO102">
        <f t="shared" si="8"/>
        <v>566.4</v>
      </c>
    </row>
    <row r="103" spans="1:67" x14ac:dyDescent="0.25">
      <c r="A103" t="s">
        <v>387</v>
      </c>
      <c r="B103" t="s">
        <v>377</v>
      </c>
      <c r="C103" t="s">
        <v>182</v>
      </c>
      <c r="D103" t="s">
        <v>51</v>
      </c>
      <c r="E103">
        <v>44</v>
      </c>
      <c r="F103" t="s">
        <v>291</v>
      </c>
      <c r="G103" t="s">
        <v>169</v>
      </c>
      <c r="H103" t="s">
        <v>170</v>
      </c>
      <c r="I103" t="s">
        <v>144</v>
      </c>
      <c r="J103" t="s">
        <v>145</v>
      </c>
      <c r="K103" t="s">
        <v>146</v>
      </c>
      <c r="L103" t="s">
        <v>126</v>
      </c>
      <c r="M103" t="s">
        <v>161</v>
      </c>
      <c r="N103" t="s">
        <v>265</v>
      </c>
      <c r="O103" t="s">
        <v>89</v>
      </c>
      <c r="P103" s="1">
        <v>43123</v>
      </c>
      <c r="Q103">
        <v>6.4</v>
      </c>
      <c r="R103" t="s">
        <v>75</v>
      </c>
      <c r="S103" t="s">
        <v>63</v>
      </c>
      <c r="T103" t="s">
        <v>64</v>
      </c>
      <c r="U103">
        <v>0</v>
      </c>
      <c r="V103">
        <v>0</v>
      </c>
      <c r="W103" s="2">
        <v>3294</v>
      </c>
      <c r="X103" s="2">
        <v>0</v>
      </c>
      <c r="Y103" s="2">
        <v>422</v>
      </c>
      <c r="Z103" s="2">
        <v>3716</v>
      </c>
      <c r="AA103">
        <v>517</v>
      </c>
      <c r="AB103" t="s">
        <v>65</v>
      </c>
      <c r="AC103">
        <v>12.7</v>
      </c>
      <c r="AD103">
        <v>24</v>
      </c>
      <c r="AE103">
        <v>42</v>
      </c>
      <c r="AF103" t="s">
        <v>93</v>
      </c>
      <c r="AG103">
        <v>18</v>
      </c>
      <c r="AH103" t="s">
        <v>113</v>
      </c>
      <c r="AI103" t="s">
        <v>95</v>
      </c>
      <c r="AJ103" t="s">
        <v>72</v>
      </c>
      <c r="AK103" t="s">
        <v>70</v>
      </c>
      <c r="AL103" t="s">
        <v>70</v>
      </c>
      <c r="AM103" t="s">
        <v>70</v>
      </c>
      <c r="AN103" t="s">
        <v>72</v>
      </c>
      <c r="AO103" t="s">
        <v>72</v>
      </c>
      <c r="AP103" t="s">
        <v>72</v>
      </c>
      <c r="AQ103" t="s">
        <v>136</v>
      </c>
      <c r="AR103" s="1">
        <v>44848</v>
      </c>
      <c r="AS103" t="s">
        <v>137</v>
      </c>
      <c r="AT103" t="s">
        <v>71</v>
      </c>
      <c r="AU103">
        <v>207</v>
      </c>
      <c r="AV103" t="s">
        <v>76</v>
      </c>
      <c r="AW103" s="3">
        <v>44592</v>
      </c>
      <c r="AX103" t="s">
        <v>808</v>
      </c>
      <c r="AY103" t="s">
        <v>806</v>
      </c>
      <c r="AZ103" t="s">
        <v>76</v>
      </c>
      <c r="BA103" t="s">
        <v>800</v>
      </c>
      <c r="BB103" t="s">
        <v>801</v>
      </c>
      <c r="BC103" t="s">
        <v>802</v>
      </c>
      <c r="BD103" s="3">
        <v>0.1391280947255113</v>
      </c>
      <c r="BE103">
        <v>553.4</v>
      </c>
      <c r="BG103" s="2">
        <f t="shared" si="4"/>
        <v>44592</v>
      </c>
      <c r="BH103" t="str" cm="1">
        <f t="array" ref="BH103">_xlfn.IFS(Q103&lt;5,"0-5 Years",Q103&lt;10,"5-10 Years",Q103&lt;15,"10-15 Years",TRUE,"15+ Years")</f>
        <v>5-10 Years</v>
      </c>
      <c r="BI103" t="str" cm="1">
        <f t="array" ref="BI103">_xlfn.IFS(AA103&gt;=540,"A",AA103&gt;=480,"B",AA103&gt;=420,"C",AA103&gt;=360,"D",TRUE,"F")</f>
        <v>B</v>
      </c>
      <c r="BJ103" t="str" cm="1">
        <f t="array" ref="BJ103">_xlfn.IFS(AU103&lt;0,"Separated",AU103&lt;=90,"High Risk",AU103&lt;=180,"Medium Risk",TRUE,"Retained")</f>
        <v>Retained</v>
      </c>
      <c r="BK103" t="str" cm="1">
        <f t="array" ref="BK103">_xlfn.IFS(V103=0,"No Combat",V103=1,"1 Tour",V103=2,"2 Tours",TRUE,"3+ Tours")</f>
        <v>No Combat</v>
      </c>
      <c r="BL103" t="str">
        <f t="shared" si="5"/>
        <v>Standard</v>
      </c>
      <c r="BM103" t="str">
        <f t="shared" si="6"/>
        <v>Not Ready</v>
      </c>
      <c r="BN103" s="3">
        <f t="shared" si="7"/>
        <v>0.1391280947255113</v>
      </c>
      <c r="BO103">
        <f t="shared" si="8"/>
        <v>553.4</v>
      </c>
    </row>
    <row r="104" spans="1:67" x14ac:dyDescent="0.25">
      <c r="A104" t="s">
        <v>388</v>
      </c>
      <c r="B104" t="s">
        <v>181</v>
      </c>
      <c r="C104" t="s">
        <v>155</v>
      </c>
      <c r="D104" t="s">
        <v>51</v>
      </c>
      <c r="E104">
        <v>33</v>
      </c>
      <c r="F104" t="s">
        <v>168</v>
      </c>
      <c r="G104" t="s">
        <v>242</v>
      </c>
      <c r="H104" t="s">
        <v>54</v>
      </c>
      <c r="I104" t="s">
        <v>217</v>
      </c>
      <c r="J104" t="s">
        <v>218</v>
      </c>
      <c r="K104" t="s">
        <v>146</v>
      </c>
      <c r="L104" t="s">
        <v>126</v>
      </c>
      <c r="M104" t="s">
        <v>275</v>
      </c>
      <c r="N104" t="s">
        <v>60</v>
      </c>
      <c r="O104" t="s">
        <v>61</v>
      </c>
      <c r="P104" s="1">
        <v>43425</v>
      </c>
      <c r="Q104">
        <v>5.5</v>
      </c>
      <c r="R104" t="s">
        <v>62</v>
      </c>
      <c r="S104" t="s">
        <v>63</v>
      </c>
      <c r="T104" t="s">
        <v>64</v>
      </c>
      <c r="U104">
        <v>0</v>
      </c>
      <c r="V104">
        <v>0</v>
      </c>
      <c r="W104" s="2">
        <v>4739</v>
      </c>
      <c r="X104" s="2">
        <v>1303</v>
      </c>
      <c r="Y104" s="2">
        <v>422</v>
      </c>
      <c r="Z104" s="2">
        <v>6464</v>
      </c>
      <c r="AA104">
        <v>535</v>
      </c>
      <c r="AB104" t="s">
        <v>65</v>
      </c>
      <c r="AC104">
        <v>16.7</v>
      </c>
      <c r="AD104">
        <v>76</v>
      </c>
      <c r="AE104">
        <v>65</v>
      </c>
      <c r="AF104" t="s">
        <v>66</v>
      </c>
      <c r="AG104">
        <v>18</v>
      </c>
      <c r="AH104" t="s">
        <v>113</v>
      </c>
      <c r="AI104" t="s">
        <v>95</v>
      </c>
      <c r="AJ104" t="s">
        <v>188</v>
      </c>
      <c r="AK104" t="s">
        <v>71</v>
      </c>
      <c r="AL104" t="s">
        <v>70</v>
      </c>
      <c r="AM104" t="s">
        <v>70</v>
      </c>
      <c r="AN104" t="s">
        <v>115</v>
      </c>
      <c r="AO104" t="s">
        <v>134</v>
      </c>
      <c r="AP104" t="s">
        <v>72</v>
      </c>
      <c r="AQ104" t="s">
        <v>74</v>
      </c>
      <c r="AR104" s="1">
        <v>44418</v>
      </c>
      <c r="AS104" t="s">
        <v>75</v>
      </c>
      <c r="AT104" t="s">
        <v>71</v>
      </c>
      <c r="AU104">
        <v>1090</v>
      </c>
      <c r="AV104" t="s">
        <v>76</v>
      </c>
      <c r="AW104" s="3">
        <v>77568</v>
      </c>
      <c r="AX104" t="s">
        <v>808</v>
      </c>
      <c r="AY104" t="s">
        <v>806</v>
      </c>
      <c r="AZ104" t="s">
        <v>76</v>
      </c>
      <c r="BA104" t="s">
        <v>800</v>
      </c>
      <c r="BB104" t="s">
        <v>801</v>
      </c>
      <c r="BC104" t="s">
        <v>802</v>
      </c>
      <c r="BD104" s="3">
        <v>8.2766089108910895E-2</v>
      </c>
      <c r="BE104">
        <v>581.4</v>
      </c>
      <c r="BG104" s="2">
        <f t="shared" si="4"/>
        <v>77568</v>
      </c>
      <c r="BH104" t="str" cm="1">
        <f t="array" ref="BH104">_xlfn.IFS(Q104&lt;5,"0-5 Years",Q104&lt;10,"5-10 Years",Q104&lt;15,"10-15 Years",TRUE,"15+ Years")</f>
        <v>5-10 Years</v>
      </c>
      <c r="BI104" t="str" cm="1">
        <f t="array" ref="BI104">_xlfn.IFS(AA104&gt;=540,"A",AA104&gt;=480,"B",AA104&gt;=420,"C",AA104&gt;=360,"D",TRUE,"F")</f>
        <v>B</v>
      </c>
      <c r="BJ104" t="str" cm="1">
        <f t="array" ref="BJ104">_xlfn.IFS(AU104&lt;0,"Separated",AU104&lt;=90,"High Risk",AU104&lt;=180,"Medium Risk",TRUE,"Retained")</f>
        <v>Retained</v>
      </c>
      <c r="BK104" t="str" cm="1">
        <f t="array" ref="BK104">_xlfn.IFS(V104=0,"No Combat",V104=1,"1 Tour",V104=2,"2 Tours",TRUE,"3+ Tours")</f>
        <v>No Combat</v>
      </c>
      <c r="BL104" t="str">
        <f t="shared" si="5"/>
        <v>Standard</v>
      </c>
      <c r="BM104" t="str">
        <f t="shared" si="6"/>
        <v>Not Ready</v>
      </c>
      <c r="BN104" s="3">
        <f t="shared" si="7"/>
        <v>8.2766089108910895E-2</v>
      </c>
      <c r="BO104">
        <f t="shared" si="8"/>
        <v>581.4</v>
      </c>
    </row>
    <row r="105" spans="1:67" x14ac:dyDescent="0.25">
      <c r="A105" t="s">
        <v>389</v>
      </c>
      <c r="B105" t="s">
        <v>346</v>
      </c>
      <c r="C105" t="s">
        <v>264</v>
      </c>
      <c r="D105" t="s">
        <v>51</v>
      </c>
      <c r="E105">
        <v>23</v>
      </c>
      <c r="F105" t="s">
        <v>322</v>
      </c>
      <c r="G105" t="s">
        <v>215</v>
      </c>
      <c r="H105" t="s">
        <v>216</v>
      </c>
      <c r="I105" t="s">
        <v>225</v>
      </c>
      <c r="J105" t="s">
        <v>226</v>
      </c>
      <c r="K105" t="s">
        <v>105</v>
      </c>
      <c r="L105" t="s">
        <v>58</v>
      </c>
      <c r="M105" t="s">
        <v>296</v>
      </c>
      <c r="N105" t="s">
        <v>128</v>
      </c>
      <c r="O105" t="s">
        <v>176</v>
      </c>
      <c r="P105" s="1">
        <v>38832</v>
      </c>
      <c r="Q105">
        <v>18.100000000000001</v>
      </c>
      <c r="R105" t="s">
        <v>90</v>
      </c>
      <c r="S105" t="s">
        <v>196</v>
      </c>
      <c r="T105" t="s">
        <v>197</v>
      </c>
      <c r="U105">
        <v>0</v>
      </c>
      <c r="V105">
        <v>0</v>
      </c>
      <c r="W105" s="2">
        <v>3637</v>
      </c>
      <c r="X105" s="2">
        <v>1766</v>
      </c>
      <c r="Y105" s="2">
        <v>266</v>
      </c>
      <c r="Z105" s="2">
        <v>5669</v>
      </c>
      <c r="AA105">
        <v>341</v>
      </c>
      <c r="AB105" t="s">
        <v>151</v>
      </c>
      <c r="AC105">
        <v>19</v>
      </c>
      <c r="AD105">
        <v>34</v>
      </c>
      <c r="AE105">
        <v>40</v>
      </c>
      <c r="AF105" t="s">
        <v>93</v>
      </c>
      <c r="AG105">
        <v>37</v>
      </c>
      <c r="AH105" t="s">
        <v>94</v>
      </c>
      <c r="AI105" t="s">
        <v>152</v>
      </c>
      <c r="AJ105" t="s">
        <v>188</v>
      </c>
      <c r="AK105" t="s">
        <v>70</v>
      </c>
      <c r="AL105" t="s">
        <v>70</v>
      </c>
      <c r="AM105" t="s">
        <v>70</v>
      </c>
      <c r="AN105" t="s">
        <v>133</v>
      </c>
      <c r="AO105" t="s">
        <v>73</v>
      </c>
      <c r="AP105" t="s">
        <v>72</v>
      </c>
      <c r="AQ105" t="s">
        <v>136</v>
      </c>
      <c r="AR105" s="1">
        <v>41657</v>
      </c>
      <c r="AS105" t="s">
        <v>75</v>
      </c>
      <c r="AT105" t="s">
        <v>71</v>
      </c>
      <c r="AU105">
        <v>-385</v>
      </c>
      <c r="AV105" t="s">
        <v>179</v>
      </c>
      <c r="AW105" s="3">
        <v>68028</v>
      </c>
      <c r="AX105" t="s">
        <v>798</v>
      </c>
      <c r="AY105" t="s">
        <v>122</v>
      </c>
      <c r="AZ105" t="s">
        <v>810</v>
      </c>
      <c r="BA105" t="s">
        <v>800</v>
      </c>
      <c r="BB105" t="s">
        <v>801</v>
      </c>
      <c r="BC105" t="s">
        <v>802</v>
      </c>
      <c r="BD105" s="3">
        <v>6.0151702240254012E-2</v>
      </c>
      <c r="BE105">
        <v>415.4</v>
      </c>
      <c r="BG105" s="2">
        <f t="shared" si="4"/>
        <v>68028</v>
      </c>
      <c r="BH105" t="str" cm="1">
        <f t="array" ref="BH105">_xlfn.IFS(Q105&lt;5,"0-5 Years",Q105&lt;10,"5-10 Years",Q105&lt;15,"10-15 Years",TRUE,"15+ Years")</f>
        <v>15+ Years</v>
      </c>
      <c r="BI105" t="str" cm="1">
        <f t="array" ref="BI105">_xlfn.IFS(AA105&gt;=540,"A",AA105&gt;=480,"B",AA105&gt;=420,"C",AA105&gt;=360,"D",TRUE,"F")</f>
        <v>F</v>
      </c>
      <c r="BJ105" t="str" cm="1">
        <f t="array" ref="BJ105">_xlfn.IFS(AU105&lt;0,"Separated",AU105&lt;=90,"High Risk",AU105&lt;=180,"Medium Risk",TRUE,"Retained")</f>
        <v>Separated</v>
      </c>
      <c r="BK105" t="str" cm="1">
        <f t="array" ref="BK105">_xlfn.IFS(V105=0,"No Combat",V105=1,"1 Tour",V105=2,"2 Tours",TRUE,"3+ Tours")</f>
        <v>No Combat</v>
      </c>
      <c r="BL105" t="str">
        <f t="shared" si="5"/>
        <v>Standard</v>
      </c>
      <c r="BM105" t="str">
        <f t="shared" si="6"/>
        <v>Not Ready</v>
      </c>
      <c r="BN105" s="3">
        <f t="shared" si="7"/>
        <v>6.0151702240254012E-2</v>
      </c>
      <c r="BO105">
        <f t="shared" si="8"/>
        <v>415.4</v>
      </c>
    </row>
    <row r="106" spans="1:67" x14ac:dyDescent="0.25">
      <c r="A106" t="s">
        <v>390</v>
      </c>
      <c r="B106" t="s">
        <v>251</v>
      </c>
      <c r="C106" t="s">
        <v>233</v>
      </c>
      <c r="D106" t="s">
        <v>51</v>
      </c>
      <c r="E106">
        <v>22</v>
      </c>
      <c r="F106" t="s">
        <v>241</v>
      </c>
      <c r="G106" t="s">
        <v>169</v>
      </c>
      <c r="H106" t="s">
        <v>170</v>
      </c>
      <c r="I106" t="s">
        <v>144</v>
      </c>
      <c r="J106" t="s">
        <v>145</v>
      </c>
      <c r="K106" t="s">
        <v>146</v>
      </c>
      <c r="L106" t="s">
        <v>126</v>
      </c>
      <c r="M106" t="s">
        <v>147</v>
      </c>
      <c r="N106" t="s">
        <v>88</v>
      </c>
      <c r="O106" t="s">
        <v>149</v>
      </c>
      <c r="P106" s="1">
        <v>42370</v>
      </c>
      <c r="Q106">
        <v>8.4</v>
      </c>
      <c r="R106" t="s">
        <v>195</v>
      </c>
      <c r="S106" t="s">
        <v>163</v>
      </c>
      <c r="T106" t="s">
        <v>164</v>
      </c>
      <c r="U106">
        <v>2</v>
      </c>
      <c r="V106">
        <v>0</v>
      </c>
      <c r="W106" s="2">
        <v>3294</v>
      </c>
      <c r="X106" s="2">
        <v>0</v>
      </c>
      <c r="Y106" s="2">
        <v>422</v>
      </c>
      <c r="Z106" s="2">
        <v>3716</v>
      </c>
      <c r="AA106">
        <v>534</v>
      </c>
      <c r="AB106" t="s">
        <v>65</v>
      </c>
      <c r="AC106">
        <v>17.600000000000001</v>
      </c>
      <c r="AD106">
        <v>21</v>
      </c>
      <c r="AE106">
        <v>63</v>
      </c>
      <c r="AF106" t="s">
        <v>66</v>
      </c>
      <c r="AG106">
        <v>26</v>
      </c>
      <c r="AH106" t="s">
        <v>113</v>
      </c>
      <c r="AI106" t="s">
        <v>114</v>
      </c>
      <c r="AJ106" t="s">
        <v>188</v>
      </c>
      <c r="AK106" t="s">
        <v>70</v>
      </c>
      <c r="AL106" t="s">
        <v>71</v>
      </c>
      <c r="AM106" t="s">
        <v>71</v>
      </c>
      <c r="AN106" t="s">
        <v>243</v>
      </c>
      <c r="AO106" t="s">
        <v>116</v>
      </c>
      <c r="AP106" t="s">
        <v>72</v>
      </c>
      <c r="AQ106" t="s">
        <v>98</v>
      </c>
      <c r="AR106" s="1">
        <v>42667</v>
      </c>
      <c r="AS106" t="s">
        <v>137</v>
      </c>
      <c r="AT106" t="s">
        <v>71</v>
      </c>
      <c r="AU106">
        <v>1030</v>
      </c>
      <c r="AV106" t="s">
        <v>76</v>
      </c>
      <c r="AW106" s="3">
        <v>44592</v>
      </c>
      <c r="AX106" t="s">
        <v>808</v>
      </c>
      <c r="AY106" t="s">
        <v>806</v>
      </c>
      <c r="AZ106" t="s">
        <v>76</v>
      </c>
      <c r="BA106" t="s">
        <v>800</v>
      </c>
      <c r="BB106" t="s">
        <v>801</v>
      </c>
      <c r="BC106" t="s">
        <v>802</v>
      </c>
      <c r="BD106" s="3">
        <v>0.14370290635091496</v>
      </c>
      <c r="BE106">
        <v>616.4</v>
      </c>
      <c r="BG106" s="2">
        <f t="shared" si="4"/>
        <v>44592</v>
      </c>
      <c r="BH106" t="str" cm="1">
        <f t="array" ref="BH106">_xlfn.IFS(Q106&lt;5,"0-5 Years",Q106&lt;10,"5-10 Years",Q106&lt;15,"10-15 Years",TRUE,"15+ Years")</f>
        <v>5-10 Years</v>
      </c>
      <c r="BI106" t="str" cm="1">
        <f t="array" ref="BI106">_xlfn.IFS(AA106&gt;=540,"A",AA106&gt;=480,"B",AA106&gt;=420,"C",AA106&gt;=360,"D",TRUE,"F")</f>
        <v>B</v>
      </c>
      <c r="BJ106" t="str" cm="1">
        <f t="array" ref="BJ106">_xlfn.IFS(AU106&lt;0,"Separated",AU106&lt;=90,"High Risk",AU106&lt;=180,"Medium Risk",TRUE,"Retained")</f>
        <v>Retained</v>
      </c>
      <c r="BK106" t="str" cm="1">
        <f t="array" ref="BK106">_xlfn.IFS(V106=0,"No Combat",V106=1,"1 Tour",V106=2,"2 Tours",TRUE,"3+ Tours")</f>
        <v>No Combat</v>
      </c>
      <c r="BL106" t="str">
        <f t="shared" si="5"/>
        <v>Standard</v>
      </c>
      <c r="BM106" t="str">
        <f t="shared" si="6"/>
        <v>Not Ready</v>
      </c>
      <c r="BN106" s="3">
        <f t="shared" si="7"/>
        <v>0.14370290635091496</v>
      </c>
      <c r="BO106">
        <f t="shared" si="8"/>
        <v>616.4</v>
      </c>
    </row>
    <row r="107" spans="1:67" x14ac:dyDescent="0.25">
      <c r="A107" t="s">
        <v>391</v>
      </c>
      <c r="B107" t="s">
        <v>277</v>
      </c>
      <c r="C107" t="s">
        <v>330</v>
      </c>
      <c r="D107" t="s">
        <v>122</v>
      </c>
      <c r="E107">
        <v>40</v>
      </c>
      <c r="F107" t="s">
        <v>241</v>
      </c>
      <c r="G107" t="s">
        <v>215</v>
      </c>
      <c r="H107" t="s">
        <v>216</v>
      </c>
      <c r="I107" t="s">
        <v>217</v>
      </c>
      <c r="J107" t="s">
        <v>218</v>
      </c>
      <c r="K107" t="s">
        <v>146</v>
      </c>
      <c r="L107" t="s">
        <v>86</v>
      </c>
      <c r="M107" t="s">
        <v>275</v>
      </c>
      <c r="N107" t="s">
        <v>108</v>
      </c>
      <c r="O107" t="s">
        <v>109</v>
      </c>
      <c r="P107" s="1">
        <v>44839</v>
      </c>
      <c r="Q107">
        <v>1.7</v>
      </c>
      <c r="R107" t="s">
        <v>129</v>
      </c>
      <c r="S107" t="s">
        <v>219</v>
      </c>
      <c r="T107" t="s">
        <v>220</v>
      </c>
      <c r="U107">
        <v>0</v>
      </c>
      <c r="V107">
        <v>0</v>
      </c>
      <c r="W107" s="2">
        <v>3637</v>
      </c>
      <c r="X107" s="2">
        <v>1797</v>
      </c>
      <c r="Y107" s="2">
        <v>266</v>
      </c>
      <c r="Z107" s="2">
        <v>5700</v>
      </c>
      <c r="AA107">
        <v>472</v>
      </c>
      <c r="AB107" t="s">
        <v>65</v>
      </c>
      <c r="AC107">
        <v>14</v>
      </c>
      <c r="AD107">
        <v>81</v>
      </c>
      <c r="AE107">
        <v>65</v>
      </c>
      <c r="AF107" t="s">
        <v>93</v>
      </c>
      <c r="AG107">
        <v>37</v>
      </c>
      <c r="AH107" t="s">
        <v>94</v>
      </c>
      <c r="AI107" t="s">
        <v>95</v>
      </c>
      <c r="AJ107" t="s">
        <v>96</v>
      </c>
      <c r="AK107" t="s">
        <v>70</v>
      </c>
      <c r="AL107" t="s">
        <v>71</v>
      </c>
      <c r="AM107" t="s">
        <v>71</v>
      </c>
      <c r="AN107" t="s">
        <v>72</v>
      </c>
      <c r="AO107" t="s">
        <v>116</v>
      </c>
      <c r="AP107" t="s">
        <v>227</v>
      </c>
      <c r="AQ107" t="s">
        <v>117</v>
      </c>
      <c r="AR107" s="1">
        <v>45213</v>
      </c>
      <c r="AS107" t="s">
        <v>137</v>
      </c>
      <c r="AT107" t="s">
        <v>70</v>
      </c>
      <c r="AU107">
        <v>404</v>
      </c>
      <c r="AV107" t="s">
        <v>76</v>
      </c>
      <c r="AW107" s="3">
        <v>68400</v>
      </c>
      <c r="AX107" t="s">
        <v>803</v>
      </c>
      <c r="AY107" t="s">
        <v>804</v>
      </c>
      <c r="AZ107" t="s">
        <v>76</v>
      </c>
      <c r="BA107" t="s">
        <v>800</v>
      </c>
      <c r="BB107" t="s">
        <v>801</v>
      </c>
      <c r="BC107" t="s">
        <v>802</v>
      </c>
      <c r="BD107" s="3">
        <v>8.2807017543859648E-2</v>
      </c>
      <c r="BE107">
        <v>576.4</v>
      </c>
      <c r="BG107" s="2">
        <f t="shared" si="4"/>
        <v>68400</v>
      </c>
      <c r="BH107" t="str" cm="1">
        <f t="array" ref="BH107">_xlfn.IFS(Q107&lt;5,"0-5 Years",Q107&lt;10,"5-10 Years",Q107&lt;15,"10-15 Years",TRUE,"15+ Years")</f>
        <v>0-5 Years</v>
      </c>
      <c r="BI107" t="str" cm="1">
        <f t="array" ref="BI107">_xlfn.IFS(AA107&gt;=540,"A",AA107&gt;=480,"B",AA107&gt;=420,"C",AA107&gt;=360,"D",TRUE,"F")</f>
        <v>C</v>
      </c>
      <c r="BJ107" t="str" cm="1">
        <f t="array" ref="BJ107">_xlfn.IFS(AU107&lt;0,"Separated",AU107&lt;=90,"High Risk",AU107&lt;=180,"Medium Risk",TRUE,"Retained")</f>
        <v>Retained</v>
      </c>
      <c r="BK107" t="str" cm="1">
        <f t="array" ref="BK107">_xlfn.IFS(V107=0,"No Combat",V107=1,"1 Tour",V107=2,"2 Tours",TRUE,"3+ Tours")</f>
        <v>No Combat</v>
      </c>
      <c r="BL107" t="str">
        <f t="shared" si="5"/>
        <v>Standard</v>
      </c>
      <c r="BM107" t="str">
        <f t="shared" si="6"/>
        <v>Not Ready</v>
      </c>
      <c r="BN107" s="3">
        <f t="shared" si="7"/>
        <v>8.2807017543859648E-2</v>
      </c>
      <c r="BO107">
        <f t="shared" si="8"/>
        <v>576.4</v>
      </c>
    </row>
    <row r="108" spans="1:67" x14ac:dyDescent="0.25">
      <c r="A108" t="s">
        <v>392</v>
      </c>
      <c r="B108" t="s">
        <v>377</v>
      </c>
      <c r="C108" t="s">
        <v>167</v>
      </c>
      <c r="D108" t="s">
        <v>51</v>
      </c>
      <c r="E108">
        <v>23</v>
      </c>
      <c r="F108" t="s">
        <v>52</v>
      </c>
      <c r="G108" t="s">
        <v>215</v>
      </c>
      <c r="H108" t="s">
        <v>216</v>
      </c>
      <c r="I108" t="s">
        <v>260</v>
      </c>
      <c r="J108" t="s">
        <v>261</v>
      </c>
      <c r="K108" t="s">
        <v>173</v>
      </c>
      <c r="L108" t="s">
        <v>174</v>
      </c>
      <c r="M108" t="s">
        <v>107</v>
      </c>
      <c r="N108" t="s">
        <v>88</v>
      </c>
      <c r="O108" t="s">
        <v>176</v>
      </c>
      <c r="P108" s="1">
        <v>39728</v>
      </c>
      <c r="Q108">
        <v>15.6</v>
      </c>
      <c r="R108" t="s">
        <v>150</v>
      </c>
      <c r="S108" t="s">
        <v>219</v>
      </c>
      <c r="T108" t="s">
        <v>220</v>
      </c>
      <c r="U108">
        <v>0</v>
      </c>
      <c r="V108">
        <v>0</v>
      </c>
      <c r="W108" s="2">
        <v>3637</v>
      </c>
      <c r="X108" s="2">
        <v>981</v>
      </c>
      <c r="Y108" s="2">
        <v>266</v>
      </c>
      <c r="Z108" s="2">
        <v>4884</v>
      </c>
      <c r="AA108">
        <v>417</v>
      </c>
      <c r="AB108" t="s">
        <v>65</v>
      </c>
      <c r="AC108">
        <v>16.3</v>
      </c>
      <c r="AD108">
        <v>36</v>
      </c>
      <c r="AE108">
        <v>43</v>
      </c>
      <c r="AF108" t="s">
        <v>66</v>
      </c>
      <c r="AG108">
        <v>27</v>
      </c>
      <c r="AH108" t="s">
        <v>113</v>
      </c>
      <c r="AI108" t="s">
        <v>95</v>
      </c>
      <c r="AJ108" t="s">
        <v>69</v>
      </c>
      <c r="AK108" t="s">
        <v>70</v>
      </c>
      <c r="AL108" t="s">
        <v>70</v>
      </c>
      <c r="AM108" t="s">
        <v>70</v>
      </c>
      <c r="AN108" t="s">
        <v>72</v>
      </c>
      <c r="AO108" t="s">
        <v>134</v>
      </c>
      <c r="AP108" t="s">
        <v>72</v>
      </c>
      <c r="AQ108" t="s">
        <v>136</v>
      </c>
      <c r="AR108" s="1">
        <v>42522</v>
      </c>
      <c r="AS108" t="s">
        <v>198</v>
      </c>
      <c r="AT108" t="s">
        <v>71</v>
      </c>
      <c r="AU108">
        <v>-85</v>
      </c>
      <c r="AV108" t="s">
        <v>179</v>
      </c>
      <c r="AW108" s="3">
        <v>58608</v>
      </c>
      <c r="AX108" t="s">
        <v>798</v>
      </c>
      <c r="AY108" t="s">
        <v>809</v>
      </c>
      <c r="AZ108" t="s">
        <v>810</v>
      </c>
      <c r="BA108" t="s">
        <v>800</v>
      </c>
      <c r="BB108" t="s">
        <v>801</v>
      </c>
      <c r="BC108" t="s">
        <v>802</v>
      </c>
      <c r="BD108" s="3">
        <v>8.5380835380835379E-2</v>
      </c>
      <c r="BE108">
        <v>471.4</v>
      </c>
      <c r="BG108" s="2">
        <f t="shared" si="4"/>
        <v>58608</v>
      </c>
      <c r="BH108" t="str" cm="1">
        <f t="array" ref="BH108">_xlfn.IFS(Q108&lt;5,"0-5 Years",Q108&lt;10,"5-10 Years",Q108&lt;15,"10-15 Years",TRUE,"15+ Years")</f>
        <v>15+ Years</v>
      </c>
      <c r="BI108" t="str" cm="1">
        <f t="array" ref="BI108">_xlfn.IFS(AA108&gt;=540,"A",AA108&gt;=480,"B",AA108&gt;=420,"C",AA108&gt;=360,"D",TRUE,"F")</f>
        <v>D</v>
      </c>
      <c r="BJ108" t="str" cm="1">
        <f t="array" ref="BJ108">_xlfn.IFS(AU108&lt;0,"Separated",AU108&lt;=90,"High Risk",AU108&lt;=180,"Medium Risk",TRUE,"Retained")</f>
        <v>Separated</v>
      </c>
      <c r="BK108" t="str" cm="1">
        <f t="array" ref="BK108">_xlfn.IFS(V108=0,"No Combat",V108=1,"1 Tour",V108=2,"2 Tours",TRUE,"3+ Tours")</f>
        <v>No Combat</v>
      </c>
      <c r="BL108" t="str">
        <f t="shared" si="5"/>
        <v>Standard</v>
      </c>
      <c r="BM108" t="str">
        <f t="shared" si="6"/>
        <v>Not Ready</v>
      </c>
      <c r="BN108" s="3">
        <f t="shared" si="7"/>
        <v>8.5380835380835379E-2</v>
      </c>
      <c r="BO108">
        <f t="shared" si="8"/>
        <v>471.4</v>
      </c>
    </row>
    <row r="109" spans="1:67" x14ac:dyDescent="0.25">
      <c r="A109" t="s">
        <v>393</v>
      </c>
      <c r="B109" t="s">
        <v>251</v>
      </c>
      <c r="C109" t="s">
        <v>394</v>
      </c>
      <c r="D109" t="s">
        <v>122</v>
      </c>
      <c r="E109">
        <v>37</v>
      </c>
      <c r="F109" t="s">
        <v>52</v>
      </c>
      <c r="G109" t="s">
        <v>53</v>
      </c>
      <c r="H109" t="s">
        <v>54</v>
      </c>
      <c r="I109" t="s">
        <v>273</v>
      </c>
      <c r="J109" t="s">
        <v>274</v>
      </c>
      <c r="K109" t="s">
        <v>57</v>
      </c>
      <c r="L109" t="s">
        <v>126</v>
      </c>
      <c r="M109" t="s">
        <v>127</v>
      </c>
      <c r="N109" t="s">
        <v>128</v>
      </c>
      <c r="O109" t="s">
        <v>89</v>
      </c>
      <c r="P109" s="1">
        <v>40768</v>
      </c>
      <c r="Q109">
        <v>12.8</v>
      </c>
      <c r="R109" t="s">
        <v>129</v>
      </c>
      <c r="S109" t="s">
        <v>163</v>
      </c>
      <c r="T109" t="s">
        <v>164</v>
      </c>
      <c r="U109">
        <v>10</v>
      </c>
      <c r="V109">
        <v>1</v>
      </c>
      <c r="W109" s="2">
        <v>4739</v>
      </c>
      <c r="X109" s="2">
        <v>0</v>
      </c>
      <c r="Y109" s="2">
        <v>422</v>
      </c>
      <c r="Z109" s="2">
        <v>5161</v>
      </c>
      <c r="AA109">
        <v>372</v>
      </c>
      <c r="AB109" t="s">
        <v>65</v>
      </c>
      <c r="AC109">
        <v>13.1</v>
      </c>
      <c r="AD109">
        <v>30</v>
      </c>
      <c r="AE109">
        <v>54</v>
      </c>
      <c r="AF109" t="s">
        <v>66</v>
      </c>
      <c r="AG109">
        <v>33</v>
      </c>
      <c r="AH109" t="s">
        <v>67</v>
      </c>
      <c r="AI109" t="s">
        <v>114</v>
      </c>
      <c r="AJ109" t="s">
        <v>72</v>
      </c>
      <c r="AK109" t="s">
        <v>70</v>
      </c>
      <c r="AL109" t="s">
        <v>70</v>
      </c>
      <c r="AM109" t="s">
        <v>70</v>
      </c>
      <c r="AN109" t="s">
        <v>72</v>
      </c>
      <c r="AO109" t="s">
        <v>97</v>
      </c>
      <c r="AP109" t="s">
        <v>72</v>
      </c>
      <c r="AQ109" t="s">
        <v>74</v>
      </c>
      <c r="AR109" s="1">
        <v>42227</v>
      </c>
      <c r="AS109" t="s">
        <v>137</v>
      </c>
      <c r="AT109" t="s">
        <v>71</v>
      </c>
      <c r="AU109">
        <v>278</v>
      </c>
      <c r="AV109" t="s">
        <v>76</v>
      </c>
      <c r="AW109" s="3">
        <v>61932</v>
      </c>
      <c r="AX109" t="s">
        <v>805</v>
      </c>
      <c r="AY109" t="s">
        <v>809</v>
      </c>
      <c r="AZ109" t="s">
        <v>76</v>
      </c>
      <c r="BA109" t="s">
        <v>807</v>
      </c>
      <c r="BB109" t="s">
        <v>801</v>
      </c>
      <c r="BC109" t="s">
        <v>802</v>
      </c>
      <c r="BD109" s="3">
        <v>7.2079054446812632E-2</v>
      </c>
      <c r="BE109">
        <v>438.4</v>
      </c>
      <c r="BG109" s="2">
        <f t="shared" si="4"/>
        <v>61932</v>
      </c>
      <c r="BH109" t="str" cm="1">
        <f t="array" ref="BH109">_xlfn.IFS(Q109&lt;5,"0-5 Years",Q109&lt;10,"5-10 Years",Q109&lt;15,"10-15 Years",TRUE,"15+ Years")</f>
        <v>10-15 Years</v>
      </c>
      <c r="BI109" t="str" cm="1">
        <f t="array" ref="BI109">_xlfn.IFS(AA109&gt;=540,"A",AA109&gt;=480,"B",AA109&gt;=420,"C",AA109&gt;=360,"D",TRUE,"F")</f>
        <v>D</v>
      </c>
      <c r="BJ109" t="str" cm="1">
        <f t="array" ref="BJ109">_xlfn.IFS(AU109&lt;0,"Separated",AU109&lt;=90,"High Risk",AU109&lt;=180,"Medium Risk",TRUE,"Retained")</f>
        <v>Retained</v>
      </c>
      <c r="BK109" t="str" cm="1">
        <f t="array" ref="BK109">_xlfn.IFS(V109=0,"No Combat",V109=1,"1 Tour",V109=2,"2 Tours",TRUE,"3+ Tours")</f>
        <v>1 Tour</v>
      </c>
      <c r="BL109" t="str">
        <f t="shared" si="5"/>
        <v>Standard</v>
      </c>
      <c r="BM109" t="str">
        <f t="shared" si="6"/>
        <v>Not Ready</v>
      </c>
      <c r="BN109" s="3">
        <f t="shared" si="7"/>
        <v>7.2079054446812632E-2</v>
      </c>
      <c r="BO109">
        <f t="shared" si="8"/>
        <v>438.4</v>
      </c>
    </row>
    <row r="110" spans="1:67" x14ac:dyDescent="0.25">
      <c r="A110" t="s">
        <v>395</v>
      </c>
      <c r="B110" t="s">
        <v>245</v>
      </c>
      <c r="C110" t="s">
        <v>396</v>
      </c>
      <c r="D110" t="s">
        <v>122</v>
      </c>
      <c r="E110">
        <v>27</v>
      </c>
      <c r="F110" t="s">
        <v>291</v>
      </c>
      <c r="G110" t="s">
        <v>242</v>
      </c>
      <c r="H110" t="s">
        <v>54</v>
      </c>
      <c r="I110" t="s">
        <v>158</v>
      </c>
      <c r="J110" t="s">
        <v>159</v>
      </c>
      <c r="K110" t="s">
        <v>160</v>
      </c>
      <c r="L110" t="s">
        <v>86</v>
      </c>
      <c r="M110" t="s">
        <v>207</v>
      </c>
      <c r="N110" t="s">
        <v>108</v>
      </c>
      <c r="O110" t="s">
        <v>89</v>
      </c>
      <c r="P110" s="1">
        <v>38759</v>
      </c>
      <c r="Q110">
        <v>18.3</v>
      </c>
      <c r="R110" t="s">
        <v>129</v>
      </c>
      <c r="S110" t="s">
        <v>91</v>
      </c>
      <c r="T110" t="s">
        <v>92</v>
      </c>
      <c r="U110">
        <v>15</v>
      </c>
      <c r="V110">
        <v>2</v>
      </c>
      <c r="W110" s="2">
        <v>4739</v>
      </c>
      <c r="X110" s="2">
        <v>0</v>
      </c>
      <c r="Y110" s="2">
        <v>422</v>
      </c>
      <c r="Z110" s="2">
        <v>5161</v>
      </c>
      <c r="AA110">
        <v>440</v>
      </c>
      <c r="AB110" t="s">
        <v>65</v>
      </c>
      <c r="AC110">
        <v>15.6</v>
      </c>
      <c r="AD110">
        <v>47</v>
      </c>
      <c r="AE110">
        <v>35</v>
      </c>
      <c r="AF110" t="s">
        <v>132</v>
      </c>
      <c r="AG110">
        <v>22</v>
      </c>
      <c r="AH110" t="s">
        <v>113</v>
      </c>
      <c r="AI110" t="s">
        <v>95</v>
      </c>
      <c r="AJ110" t="s">
        <v>96</v>
      </c>
      <c r="AK110" t="s">
        <v>71</v>
      </c>
      <c r="AL110" t="s">
        <v>70</v>
      </c>
      <c r="AM110" t="s">
        <v>71</v>
      </c>
      <c r="AN110" t="s">
        <v>243</v>
      </c>
      <c r="AO110" t="s">
        <v>97</v>
      </c>
      <c r="AP110" t="s">
        <v>72</v>
      </c>
      <c r="AQ110" t="s">
        <v>98</v>
      </c>
      <c r="AR110" s="1">
        <v>39464</v>
      </c>
      <c r="AS110" t="s">
        <v>198</v>
      </c>
      <c r="AT110" t="s">
        <v>71</v>
      </c>
      <c r="AU110">
        <v>1728</v>
      </c>
      <c r="AV110" t="s">
        <v>76</v>
      </c>
      <c r="AW110" s="3">
        <v>61932</v>
      </c>
      <c r="AX110" t="s">
        <v>798</v>
      </c>
      <c r="AY110" t="s">
        <v>804</v>
      </c>
      <c r="AZ110" t="s">
        <v>76</v>
      </c>
      <c r="BA110" t="s">
        <v>811</v>
      </c>
      <c r="BB110" t="s">
        <v>801</v>
      </c>
      <c r="BC110" t="s">
        <v>802</v>
      </c>
      <c r="BD110" s="3">
        <v>8.5254795582251505E-2</v>
      </c>
      <c r="BE110">
        <v>514.4</v>
      </c>
      <c r="BG110" s="2">
        <f t="shared" si="4"/>
        <v>61932</v>
      </c>
      <c r="BH110" t="str" cm="1">
        <f t="array" ref="BH110">_xlfn.IFS(Q110&lt;5,"0-5 Years",Q110&lt;10,"5-10 Years",Q110&lt;15,"10-15 Years",TRUE,"15+ Years")</f>
        <v>15+ Years</v>
      </c>
      <c r="BI110" t="str" cm="1">
        <f t="array" ref="BI110">_xlfn.IFS(AA110&gt;=540,"A",AA110&gt;=480,"B",AA110&gt;=420,"C",AA110&gt;=360,"D",TRUE,"F")</f>
        <v>C</v>
      </c>
      <c r="BJ110" t="str" cm="1">
        <f t="array" ref="BJ110">_xlfn.IFS(AU110&lt;0,"Separated",AU110&lt;=90,"High Risk",AU110&lt;=180,"Medium Risk",TRUE,"Retained")</f>
        <v>Retained</v>
      </c>
      <c r="BK110" t="str" cm="1">
        <f t="array" ref="BK110">_xlfn.IFS(V110=0,"No Combat",V110=1,"1 Tour",V110=2,"2 Tours",TRUE,"3+ Tours")</f>
        <v>2 Tours</v>
      </c>
      <c r="BL110" t="str">
        <f t="shared" si="5"/>
        <v>Standard</v>
      </c>
      <c r="BM110" t="str">
        <f t="shared" si="6"/>
        <v>Not Ready</v>
      </c>
      <c r="BN110" s="3">
        <f t="shared" si="7"/>
        <v>8.5254795582251505E-2</v>
      </c>
      <c r="BO110">
        <f t="shared" si="8"/>
        <v>514.4</v>
      </c>
    </row>
    <row r="111" spans="1:67" x14ac:dyDescent="0.25">
      <c r="A111" t="s">
        <v>397</v>
      </c>
      <c r="B111" t="s">
        <v>282</v>
      </c>
      <c r="C111" t="s">
        <v>334</v>
      </c>
      <c r="D111" t="s">
        <v>122</v>
      </c>
      <c r="E111">
        <v>35</v>
      </c>
      <c r="F111" t="s">
        <v>141</v>
      </c>
      <c r="G111" t="s">
        <v>156</v>
      </c>
      <c r="H111" t="s">
        <v>157</v>
      </c>
      <c r="I111" t="s">
        <v>83</v>
      </c>
      <c r="J111" t="s">
        <v>84</v>
      </c>
      <c r="K111" t="s">
        <v>85</v>
      </c>
      <c r="L111" t="s">
        <v>58</v>
      </c>
      <c r="M111" t="s">
        <v>249</v>
      </c>
      <c r="N111" t="s">
        <v>60</v>
      </c>
      <c r="O111" t="s">
        <v>176</v>
      </c>
      <c r="P111" s="1">
        <v>41955</v>
      </c>
      <c r="Q111">
        <v>9.6</v>
      </c>
      <c r="R111" t="s">
        <v>208</v>
      </c>
      <c r="S111" t="s">
        <v>91</v>
      </c>
      <c r="T111" t="s">
        <v>92</v>
      </c>
      <c r="U111">
        <v>8</v>
      </c>
      <c r="V111">
        <v>1</v>
      </c>
      <c r="W111" s="2">
        <v>4836</v>
      </c>
      <c r="X111" s="2">
        <v>1263</v>
      </c>
      <c r="Y111" s="2">
        <v>266</v>
      </c>
      <c r="Z111" s="2">
        <v>6365</v>
      </c>
      <c r="AA111">
        <v>339</v>
      </c>
      <c r="AB111" t="s">
        <v>151</v>
      </c>
      <c r="AC111">
        <v>17.3</v>
      </c>
      <c r="AD111">
        <v>29</v>
      </c>
      <c r="AE111">
        <v>78</v>
      </c>
      <c r="AF111" t="s">
        <v>66</v>
      </c>
      <c r="AG111">
        <v>37</v>
      </c>
      <c r="AH111" t="s">
        <v>94</v>
      </c>
      <c r="AI111" t="s">
        <v>152</v>
      </c>
      <c r="AJ111" t="s">
        <v>72</v>
      </c>
      <c r="AK111" t="s">
        <v>70</v>
      </c>
      <c r="AL111" t="s">
        <v>70</v>
      </c>
      <c r="AM111" t="s">
        <v>70</v>
      </c>
      <c r="AN111" t="s">
        <v>270</v>
      </c>
      <c r="AO111" t="s">
        <v>221</v>
      </c>
      <c r="AP111" t="s">
        <v>227</v>
      </c>
      <c r="AQ111" t="s">
        <v>98</v>
      </c>
      <c r="AR111" s="1">
        <v>43257</v>
      </c>
      <c r="AS111" t="s">
        <v>118</v>
      </c>
      <c r="AT111" t="s">
        <v>71</v>
      </c>
      <c r="AU111">
        <v>-358</v>
      </c>
      <c r="AV111" t="s">
        <v>179</v>
      </c>
      <c r="AW111" s="3">
        <v>76380</v>
      </c>
      <c r="AX111" t="s">
        <v>808</v>
      </c>
      <c r="AY111" t="s">
        <v>122</v>
      </c>
      <c r="AZ111" t="s">
        <v>810</v>
      </c>
      <c r="BA111" t="s">
        <v>807</v>
      </c>
      <c r="BB111" t="s">
        <v>801</v>
      </c>
      <c r="BC111" t="s">
        <v>802</v>
      </c>
      <c r="BD111" s="3">
        <v>5.3260015710919088E-2</v>
      </c>
      <c r="BE111">
        <v>413.4</v>
      </c>
      <c r="BG111" s="2">
        <f t="shared" si="4"/>
        <v>76380</v>
      </c>
      <c r="BH111" t="str" cm="1">
        <f t="array" ref="BH111">_xlfn.IFS(Q111&lt;5,"0-5 Years",Q111&lt;10,"5-10 Years",Q111&lt;15,"10-15 Years",TRUE,"15+ Years")</f>
        <v>5-10 Years</v>
      </c>
      <c r="BI111" t="str" cm="1">
        <f t="array" ref="BI111">_xlfn.IFS(AA111&gt;=540,"A",AA111&gt;=480,"B",AA111&gt;=420,"C",AA111&gt;=360,"D",TRUE,"F")</f>
        <v>F</v>
      </c>
      <c r="BJ111" t="str" cm="1">
        <f t="array" ref="BJ111">_xlfn.IFS(AU111&lt;0,"Separated",AU111&lt;=90,"High Risk",AU111&lt;=180,"Medium Risk",TRUE,"Retained")</f>
        <v>Separated</v>
      </c>
      <c r="BK111" t="str" cm="1">
        <f t="array" ref="BK111">_xlfn.IFS(V111=0,"No Combat",V111=1,"1 Tour",V111=2,"2 Tours",TRUE,"3+ Tours")</f>
        <v>1 Tour</v>
      </c>
      <c r="BL111" t="str">
        <f t="shared" si="5"/>
        <v>Standard</v>
      </c>
      <c r="BM111" t="str">
        <f t="shared" si="6"/>
        <v>Not Ready</v>
      </c>
      <c r="BN111" s="3">
        <f t="shared" si="7"/>
        <v>5.3260015710919088E-2</v>
      </c>
      <c r="BO111">
        <f t="shared" si="8"/>
        <v>413.4</v>
      </c>
    </row>
    <row r="112" spans="1:67" x14ac:dyDescent="0.25">
      <c r="A112" t="s">
        <v>398</v>
      </c>
      <c r="B112" t="s">
        <v>229</v>
      </c>
      <c r="C112" t="s">
        <v>140</v>
      </c>
      <c r="D112" t="s">
        <v>51</v>
      </c>
      <c r="E112">
        <v>36</v>
      </c>
      <c r="F112" t="s">
        <v>283</v>
      </c>
      <c r="G112" t="s">
        <v>101</v>
      </c>
      <c r="H112" t="s">
        <v>102</v>
      </c>
      <c r="I112" t="s">
        <v>273</v>
      </c>
      <c r="J112" t="s">
        <v>274</v>
      </c>
      <c r="K112" t="s">
        <v>57</v>
      </c>
      <c r="L112" t="s">
        <v>58</v>
      </c>
      <c r="M112" t="s">
        <v>107</v>
      </c>
      <c r="N112" t="s">
        <v>108</v>
      </c>
      <c r="O112" t="s">
        <v>89</v>
      </c>
      <c r="P112" s="1">
        <v>41821</v>
      </c>
      <c r="Q112">
        <v>9.9</v>
      </c>
      <c r="R112" t="s">
        <v>90</v>
      </c>
      <c r="S112" t="s">
        <v>163</v>
      </c>
      <c r="T112" t="s">
        <v>164</v>
      </c>
      <c r="U112">
        <v>13</v>
      </c>
      <c r="V112">
        <v>2</v>
      </c>
      <c r="W112" s="2">
        <v>2980</v>
      </c>
      <c r="X112" s="2">
        <v>0</v>
      </c>
      <c r="Y112" s="2">
        <v>422</v>
      </c>
      <c r="Z112" s="2">
        <v>3402</v>
      </c>
      <c r="AA112">
        <v>324</v>
      </c>
      <c r="AB112" t="s">
        <v>151</v>
      </c>
      <c r="AC112">
        <v>19.600000000000001</v>
      </c>
      <c r="AD112">
        <v>36</v>
      </c>
      <c r="AE112">
        <v>50</v>
      </c>
      <c r="AF112" t="s">
        <v>66</v>
      </c>
      <c r="AG112">
        <v>28</v>
      </c>
      <c r="AH112" t="s">
        <v>113</v>
      </c>
      <c r="AI112" t="s">
        <v>95</v>
      </c>
      <c r="AJ112" t="s">
        <v>96</v>
      </c>
      <c r="AK112" t="s">
        <v>70</v>
      </c>
      <c r="AL112" t="s">
        <v>71</v>
      </c>
      <c r="AM112" t="s">
        <v>70</v>
      </c>
      <c r="AN112" t="s">
        <v>202</v>
      </c>
      <c r="AO112" t="s">
        <v>203</v>
      </c>
      <c r="AP112" t="s">
        <v>72</v>
      </c>
      <c r="AQ112" t="s">
        <v>117</v>
      </c>
      <c r="AR112" s="1">
        <v>43960</v>
      </c>
      <c r="AS112" t="s">
        <v>137</v>
      </c>
      <c r="AT112" t="s">
        <v>71</v>
      </c>
      <c r="AU112">
        <v>-90</v>
      </c>
      <c r="AV112" t="s">
        <v>179</v>
      </c>
      <c r="AW112" s="3">
        <v>40824</v>
      </c>
      <c r="AX112" t="s">
        <v>808</v>
      </c>
      <c r="AY112" t="s">
        <v>122</v>
      </c>
      <c r="AZ112" t="s">
        <v>810</v>
      </c>
      <c r="BA112" t="s">
        <v>811</v>
      </c>
      <c r="BB112" t="s">
        <v>801</v>
      </c>
      <c r="BC112" t="s">
        <v>802</v>
      </c>
      <c r="BD112" s="3">
        <v>9.5238095238095233E-2</v>
      </c>
      <c r="BE112">
        <v>390.4</v>
      </c>
      <c r="BG112" s="2">
        <f t="shared" si="4"/>
        <v>40824</v>
      </c>
      <c r="BH112" t="str" cm="1">
        <f t="array" ref="BH112">_xlfn.IFS(Q112&lt;5,"0-5 Years",Q112&lt;10,"5-10 Years",Q112&lt;15,"10-15 Years",TRUE,"15+ Years")</f>
        <v>5-10 Years</v>
      </c>
      <c r="BI112" t="str" cm="1">
        <f t="array" ref="BI112">_xlfn.IFS(AA112&gt;=540,"A",AA112&gt;=480,"B",AA112&gt;=420,"C",AA112&gt;=360,"D",TRUE,"F")</f>
        <v>F</v>
      </c>
      <c r="BJ112" t="str" cm="1">
        <f t="array" ref="BJ112">_xlfn.IFS(AU112&lt;0,"Separated",AU112&lt;=90,"High Risk",AU112&lt;=180,"Medium Risk",TRUE,"Retained")</f>
        <v>Separated</v>
      </c>
      <c r="BK112" t="str" cm="1">
        <f t="array" ref="BK112">_xlfn.IFS(V112=0,"No Combat",V112=1,"1 Tour",V112=2,"2 Tours",TRUE,"3+ Tours")</f>
        <v>2 Tours</v>
      </c>
      <c r="BL112" t="str">
        <f t="shared" si="5"/>
        <v>Standard</v>
      </c>
      <c r="BM112" t="str">
        <f t="shared" si="6"/>
        <v>Not Ready</v>
      </c>
      <c r="BN112" s="3">
        <f t="shared" si="7"/>
        <v>9.5238095238095233E-2</v>
      </c>
      <c r="BO112">
        <f t="shared" si="8"/>
        <v>390.4</v>
      </c>
    </row>
    <row r="113" spans="1:67" x14ac:dyDescent="0.25">
      <c r="A113" t="s">
        <v>399</v>
      </c>
      <c r="B113" t="s">
        <v>154</v>
      </c>
      <c r="C113" t="s">
        <v>140</v>
      </c>
      <c r="D113" t="s">
        <v>51</v>
      </c>
      <c r="E113">
        <v>27</v>
      </c>
      <c r="F113" t="s">
        <v>80</v>
      </c>
      <c r="G113" t="s">
        <v>301</v>
      </c>
      <c r="H113" t="s">
        <v>302</v>
      </c>
      <c r="I113" t="s">
        <v>236</v>
      </c>
      <c r="J113" t="s">
        <v>237</v>
      </c>
      <c r="K113" t="s">
        <v>238</v>
      </c>
      <c r="L113" t="s">
        <v>126</v>
      </c>
      <c r="M113" t="s">
        <v>207</v>
      </c>
      <c r="N113" t="s">
        <v>162</v>
      </c>
      <c r="O113" t="s">
        <v>109</v>
      </c>
      <c r="P113" s="1">
        <v>43039</v>
      </c>
      <c r="Q113">
        <v>6.6</v>
      </c>
      <c r="R113" t="s">
        <v>195</v>
      </c>
      <c r="S113" t="s">
        <v>63</v>
      </c>
      <c r="T113" t="s">
        <v>64</v>
      </c>
      <c r="U113">
        <v>0</v>
      </c>
      <c r="V113">
        <v>0</v>
      </c>
      <c r="W113" s="2">
        <v>4188</v>
      </c>
      <c r="X113" s="2">
        <v>0</v>
      </c>
      <c r="Y113" s="2">
        <v>266</v>
      </c>
      <c r="Z113" s="2">
        <v>4454</v>
      </c>
      <c r="AA113">
        <v>495</v>
      </c>
      <c r="AB113" t="s">
        <v>65</v>
      </c>
      <c r="AC113">
        <v>14</v>
      </c>
      <c r="AD113">
        <v>45</v>
      </c>
      <c r="AE113">
        <v>39</v>
      </c>
      <c r="AF113" t="s">
        <v>66</v>
      </c>
      <c r="AG113">
        <v>28</v>
      </c>
      <c r="AH113" t="s">
        <v>113</v>
      </c>
      <c r="AI113" t="s">
        <v>95</v>
      </c>
      <c r="AJ113" t="s">
        <v>96</v>
      </c>
      <c r="AK113" t="s">
        <v>71</v>
      </c>
      <c r="AL113" t="s">
        <v>70</v>
      </c>
      <c r="AM113" t="s">
        <v>70</v>
      </c>
      <c r="AN113" t="s">
        <v>202</v>
      </c>
      <c r="AO113" t="s">
        <v>221</v>
      </c>
      <c r="AP113" t="s">
        <v>135</v>
      </c>
      <c r="AQ113" t="s">
        <v>74</v>
      </c>
      <c r="AR113" s="1">
        <v>43286</v>
      </c>
      <c r="AS113" t="s">
        <v>137</v>
      </c>
      <c r="AT113" t="s">
        <v>71</v>
      </c>
      <c r="AU113">
        <v>730</v>
      </c>
      <c r="AV113" t="s">
        <v>76</v>
      </c>
      <c r="AW113" s="3">
        <v>53448</v>
      </c>
      <c r="AX113" t="s">
        <v>808</v>
      </c>
      <c r="AY113" t="s">
        <v>806</v>
      </c>
      <c r="AZ113" t="s">
        <v>76</v>
      </c>
      <c r="BA113" t="s">
        <v>800</v>
      </c>
      <c r="BB113" t="s">
        <v>801</v>
      </c>
      <c r="BC113" t="s">
        <v>802</v>
      </c>
      <c r="BD113" s="3">
        <v>0.11113605747642569</v>
      </c>
      <c r="BE113">
        <v>561.4</v>
      </c>
      <c r="BG113" s="2">
        <f t="shared" si="4"/>
        <v>53448</v>
      </c>
      <c r="BH113" t="str" cm="1">
        <f t="array" ref="BH113">_xlfn.IFS(Q113&lt;5,"0-5 Years",Q113&lt;10,"5-10 Years",Q113&lt;15,"10-15 Years",TRUE,"15+ Years")</f>
        <v>5-10 Years</v>
      </c>
      <c r="BI113" t="str" cm="1">
        <f t="array" ref="BI113">_xlfn.IFS(AA113&gt;=540,"A",AA113&gt;=480,"B",AA113&gt;=420,"C",AA113&gt;=360,"D",TRUE,"F")</f>
        <v>B</v>
      </c>
      <c r="BJ113" t="str" cm="1">
        <f t="array" ref="BJ113">_xlfn.IFS(AU113&lt;0,"Separated",AU113&lt;=90,"High Risk",AU113&lt;=180,"Medium Risk",TRUE,"Retained")</f>
        <v>Retained</v>
      </c>
      <c r="BK113" t="str" cm="1">
        <f t="array" ref="BK113">_xlfn.IFS(V113=0,"No Combat",V113=1,"1 Tour",V113=2,"2 Tours",TRUE,"3+ Tours")</f>
        <v>No Combat</v>
      </c>
      <c r="BL113" t="str">
        <f t="shared" si="5"/>
        <v>Standard</v>
      </c>
      <c r="BM113" t="str">
        <f t="shared" si="6"/>
        <v>Not Ready</v>
      </c>
      <c r="BN113" s="3">
        <f t="shared" si="7"/>
        <v>0.11113605747642569</v>
      </c>
      <c r="BO113">
        <f t="shared" si="8"/>
        <v>561.4</v>
      </c>
    </row>
    <row r="114" spans="1:67" x14ac:dyDescent="0.25">
      <c r="A114" t="s">
        <v>400</v>
      </c>
      <c r="B114" t="s">
        <v>267</v>
      </c>
      <c r="C114" t="s">
        <v>394</v>
      </c>
      <c r="D114" t="s">
        <v>122</v>
      </c>
      <c r="E114">
        <v>44</v>
      </c>
      <c r="F114" t="s">
        <v>214</v>
      </c>
      <c r="G114" t="s">
        <v>242</v>
      </c>
      <c r="H114" t="s">
        <v>54</v>
      </c>
      <c r="I114" t="s">
        <v>260</v>
      </c>
      <c r="J114" t="s">
        <v>261</v>
      </c>
      <c r="K114" t="s">
        <v>173</v>
      </c>
      <c r="L114" t="s">
        <v>126</v>
      </c>
      <c r="M114" t="s">
        <v>87</v>
      </c>
      <c r="N114" t="s">
        <v>265</v>
      </c>
      <c r="O114" t="s">
        <v>89</v>
      </c>
      <c r="P114" s="1">
        <v>39892</v>
      </c>
      <c r="Q114">
        <v>15.2</v>
      </c>
      <c r="R114" t="s">
        <v>90</v>
      </c>
      <c r="S114" t="s">
        <v>91</v>
      </c>
      <c r="T114" t="s">
        <v>92</v>
      </c>
      <c r="U114">
        <v>6</v>
      </c>
      <c r="V114">
        <v>1</v>
      </c>
      <c r="W114" s="2">
        <v>4739</v>
      </c>
      <c r="X114" s="2">
        <v>1633</v>
      </c>
      <c r="Y114" s="2">
        <v>422</v>
      </c>
      <c r="Z114" s="2">
        <v>6794</v>
      </c>
      <c r="AA114">
        <v>318</v>
      </c>
      <c r="AB114" t="s">
        <v>151</v>
      </c>
      <c r="AC114">
        <v>19</v>
      </c>
      <c r="AD114">
        <v>75</v>
      </c>
      <c r="AE114">
        <v>53</v>
      </c>
      <c r="AF114" t="s">
        <v>93</v>
      </c>
      <c r="AG114">
        <v>18</v>
      </c>
      <c r="AH114" t="s">
        <v>113</v>
      </c>
      <c r="AI114" t="s">
        <v>114</v>
      </c>
      <c r="AJ114" t="s">
        <v>72</v>
      </c>
      <c r="AK114" t="s">
        <v>70</v>
      </c>
      <c r="AL114" t="s">
        <v>71</v>
      </c>
      <c r="AM114" t="s">
        <v>70</v>
      </c>
      <c r="AN114" t="s">
        <v>243</v>
      </c>
      <c r="AO114" t="s">
        <v>134</v>
      </c>
      <c r="AP114" t="s">
        <v>227</v>
      </c>
      <c r="AQ114" t="s">
        <v>98</v>
      </c>
      <c r="AR114" s="1">
        <v>45586</v>
      </c>
      <c r="AS114" t="s">
        <v>137</v>
      </c>
      <c r="AT114" t="s">
        <v>71</v>
      </c>
      <c r="AU114">
        <v>315</v>
      </c>
      <c r="AV114" t="s">
        <v>76</v>
      </c>
      <c r="AW114" s="3">
        <v>81528</v>
      </c>
      <c r="AX114" t="s">
        <v>798</v>
      </c>
      <c r="AY114" t="s">
        <v>122</v>
      </c>
      <c r="AZ114" t="s">
        <v>76</v>
      </c>
      <c r="BA114" t="s">
        <v>807</v>
      </c>
      <c r="BB114" t="s">
        <v>801</v>
      </c>
      <c r="BC114" t="s">
        <v>802</v>
      </c>
      <c r="BD114" s="3">
        <v>4.6806005298793051E-2</v>
      </c>
      <c r="BE114">
        <v>364.4</v>
      </c>
      <c r="BG114" s="2">
        <f t="shared" si="4"/>
        <v>81528</v>
      </c>
      <c r="BH114" t="str" cm="1">
        <f t="array" ref="BH114">_xlfn.IFS(Q114&lt;5,"0-5 Years",Q114&lt;10,"5-10 Years",Q114&lt;15,"10-15 Years",TRUE,"15+ Years")</f>
        <v>15+ Years</v>
      </c>
      <c r="BI114" t="str" cm="1">
        <f t="array" ref="BI114">_xlfn.IFS(AA114&gt;=540,"A",AA114&gt;=480,"B",AA114&gt;=420,"C",AA114&gt;=360,"D",TRUE,"F")</f>
        <v>F</v>
      </c>
      <c r="BJ114" t="str" cm="1">
        <f t="array" ref="BJ114">_xlfn.IFS(AU114&lt;0,"Separated",AU114&lt;=90,"High Risk",AU114&lt;=180,"Medium Risk",TRUE,"Retained")</f>
        <v>Retained</v>
      </c>
      <c r="BK114" t="str" cm="1">
        <f t="array" ref="BK114">_xlfn.IFS(V114=0,"No Combat",V114=1,"1 Tour",V114=2,"2 Tours",TRUE,"3+ Tours")</f>
        <v>1 Tour</v>
      </c>
      <c r="BL114" t="str">
        <f t="shared" si="5"/>
        <v>Standard</v>
      </c>
      <c r="BM114" t="str">
        <f t="shared" si="6"/>
        <v>Not Ready</v>
      </c>
      <c r="BN114" s="3">
        <f t="shared" si="7"/>
        <v>4.6806005298793051E-2</v>
      </c>
      <c r="BO114">
        <f t="shared" si="8"/>
        <v>364.4</v>
      </c>
    </row>
    <row r="115" spans="1:67" x14ac:dyDescent="0.25">
      <c r="A115" t="s">
        <v>401</v>
      </c>
      <c r="B115" t="s">
        <v>229</v>
      </c>
      <c r="C115" t="s">
        <v>332</v>
      </c>
      <c r="D115" t="s">
        <v>51</v>
      </c>
      <c r="E115">
        <v>45</v>
      </c>
      <c r="F115" t="s">
        <v>322</v>
      </c>
      <c r="G115" t="s">
        <v>156</v>
      </c>
      <c r="H115" t="s">
        <v>157</v>
      </c>
      <c r="I115" t="s">
        <v>158</v>
      </c>
      <c r="J115" t="s">
        <v>159</v>
      </c>
      <c r="K115" t="s">
        <v>160</v>
      </c>
      <c r="L115" t="s">
        <v>174</v>
      </c>
      <c r="M115" t="s">
        <v>175</v>
      </c>
      <c r="N115" t="s">
        <v>60</v>
      </c>
      <c r="O115" t="s">
        <v>149</v>
      </c>
      <c r="P115" s="1">
        <v>41404</v>
      </c>
      <c r="Q115">
        <v>11.1</v>
      </c>
      <c r="R115" t="s">
        <v>75</v>
      </c>
      <c r="S115" t="s">
        <v>91</v>
      </c>
      <c r="T115" t="s">
        <v>92</v>
      </c>
      <c r="U115">
        <v>14</v>
      </c>
      <c r="V115">
        <v>2</v>
      </c>
      <c r="W115" s="2">
        <v>4836</v>
      </c>
      <c r="X115" s="2">
        <v>1163</v>
      </c>
      <c r="Y115" s="2">
        <v>266</v>
      </c>
      <c r="Z115" s="2">
        <v>6265</v>
      </c>
      <c r="AA115">
        <v>373</v>
      </c>
      <c r="AB115" t="s">
        <v>65</v>
      </c>
      <c r="AC115">
        <v>17.5</v>
      </c>
      <c r="AD115">
        <v>42</v>
      </c>
      <c r="AE115">
        <v>52</v>
      </c>
      <c r="AF115" t="s">
        <v>112</v>
      </c>
      <c r="AG115">
        <v>39</v>
      </c>
      <c r="AH115" t="s">
        <v>94</v>
      </c>
      <c r="AI115" t="s">
        <v>114</v>
      </c>
      <c r="AJ115" t="s">
        <v>72</v>
      </c>
      <c r="AK115" t="s">
        <v>70</v>
      </c>
      <c r="AL115" t="s">
        <v>70</v>
      </c>
      <c r="AM115" t="s">
        <v>70</v>
      </c>
      <c r="AN115" t="s">
        <v>72</v>
      </c>
      <c r="AO115" t="s">
        <v>72</v>
      </c>
      <c r="AP115" t="s">
        <v>72</v>
      </c>
      <c r="AQ115" t="s">
        <v>136</v>
      </c>
      <c r="AR115" s="1">
        <v>44629</v>
      </c>
      <c r="AS115" t="s">
        <v>118</v>
      </c>
      <c r="AT115" t="s">
        <v>71</v>
      </c>
      <c r="AU115">
        <v>1602</v>
      </c>
      <c r="AV115" t="s">
        <v>76</v>
      </c>
      <c r="AW115" s="3">
        <v>75180</v>
      </c>
      <c r="AX115" t="s">
        <v>805</v>
      </c>
      <c r="AY115" t="s">
        <v>809</v>
      </c>
      <c r="AZ115" t="s">
        <v>76</v>
      </c>
      <c r="BA115" t="s">
        <v>811</v>
      </c>
      <c r="BB115" t="s">
        <v>801</v>
      </c>
      <c r="BC115" t="s">
        <v>802</v>
      </c>
      <c r="BD115" s="3">
        <v>5.9537110933758977E-2</v>
      </c>
      <c r="BE115">
        <v>451.4</v>
      </c>
      <c r="BG115" s="2">
        <f t="shared" si="4"/>
        <v>75180</v>
      </c>
      <c r="BH115" t="str" cm="1">
        <f t="array" ref="BH115">_xlfn.IFS(Q115&lt;5,"0-5 Years",Q115&lt;10,"5-10 Years",Q115&lt;15,"10-15 Years",TRUE,"15+ Years")</f>
        <v>10-15 Years</v>
      </c>
      <c r="BI115" t="str" cm="1">
        <f t="array" ref="BI115">_xlfn.IFS(AA115&gt;=540,"A",AA115&gt;=480,"B",AA115&gt;=420,"C",AA115&gt;=360,"D",TRUE,"F")</f>
        <v>D</v>
      </c>
      <c r="BJ115" t="str" cm="1">
        <f t="array" ref="BJ115">_xlfn.IFS(AU115&lt;0,"Separated",AU115&lt;=90,"High Risk",AU115&lt;=180,"Medium Risk",TRUE,"Retained")</f>
        <v>Retained</v>
      </c>
      <c r="BK115" t="str" cm="1">
        <f t="array" ref="BK115">_xlfn.IFS(V115=0,"No Combat",V115=1,"1 Tour",V115=2,"2 Tours",TRUE,"3+ Tours")</f>
        <v>2 Tours</v>
      </c>
      <c r="BL115" t="str">
        <f t="shared" si="5"/>
        <v>Standard</v>
      </c>
      <c r="BM115" t="str">
        <f t="shared" si="6"/>
        <v>Not Ready</v>
      </c>
      <c r="BN115" s="3">
        <f t="shared" si="7"/>
        <v>5.9537110933758977E-2</v>
      </c>
      <c r="BO115">
        <f t="shared" si="8"/>
        <v>451.4</v>
      </c>
    </row>
    <row r="116" spans="1:67" x14ac:dyDescent="0.25">
      <c r="A116" t="s">
        <v>402</v>
      </c>
      <c r="B116" t="s">
        <v>308</v>
      </c>
      <c r="C116" t="s">
        <v>50</v>
      </c>
      <c r="D116" t="s">
        <v>51</v>
      </c>
      <c r="E116">
        <v>35</v>
      </c>
      <c r="F116" t="s">
        <v>305</v>
      </c>
      <c r="G116" t="s">
        <v>124</v>
      </c>
      <c r="H116" t="s">
        <v>125</v>
      </c>
      <c r="I116" t="s">
        <v>158</v>
      </c>
      <c r="J116" t="s">
        <v>159</v>
      </c>
      <c r="K116" t="s">
        <v>160</v>
      </c>
      <c r="L116" t="s">
        <v>58</v>
      </c>
      <c r="M116" t="s">
        <v>87</v>
      </c>
      <c r="N116" t="s">
        <v>128</v>
      </c>
      <c r="O116" t="s">
        <v>89</v>
      </c>
      <c r="P116" s="1">
        <v>40186</v>
      </c>
      <c r="Q116">
        <v>14.4</v>
      </c>
      <c r="R116" t="s">
        <v>208</v>
      </c>
      <c r="S116" t="s">
        <v>110</v>
      </c>
      <c r="T116" t="s">
        <v>111</v>
      </c>
      <c r="U116">
        <v>9</v>
      </c>
      <c r="V116">
        <v>1</v>
      </c>
      <c r="W116" s="2">
        <v>2730</v>
      </c>
      <c r="X116" s="2">
        <v>2116</v>
      </c>
      <c r="Y116" s="2">
        <v>422</v>
      </c>
      <c r="Z116" s="2">
        <v>5268</v>
      </c>
      <c r="AA116">
        <v>525</v>
      </c>
      <c r="AB116" t="s">
        <v>65</v>
      </c>
      <c r="AC116">
        <v>16.100000000000001</v>
      </c>
      <c r="AD116">
        <v>44</v>
      </c>
      <c r="AE116">
        <v>52</v>
      </c>
      <c r="AF116" t="s">
        <v>112</v>
      </c>
      <c r="AG116">
        <v>22</v>
      </c>
      <c r="AH116" t="s">
        <v>113</v>
      </c>
      <c r="AI116" t="s">
        <v>152</v>
      </c>
      <c r="AJ116" t="s">
        <v>72</v>
      </c>
      <c r="AK116" t="s">
        <v>71</v>
      </c>
      <c r="AL116" t="s">
        <v>70</v>
      </c>
      <c r="AM116" t="s">
        <v>70</v>
      </c>
      <c r="AN116" t="s">
        <v>72</v>
      </c>
      <c r="AO116" t="s">
        <v>287</v>
      </c>
      <c r="AP116" t="s">
        <v>72</v>
      </c>
      <c r="AQ116" t="s">
        <v>74</v>
      </c>
      <c r="AR116" s="1">
        <v>41064</v>
      </c>
      <c r="AS116" t="s">
        <v>75</v>
      </c>
      <c r="AT116" t="s">
        <v>71</v>
      </c>
      <c r="AU116">
        <v>1473</v>
      </c>
      <c r="AV116" t="s">
        <v>76</v>
      </c>
      <c r="AW116" s="3">
        <v>63216</v>
      </c>
      <c r="AX116" t="s">
        <v>805</v>
      </c>
      <c r="AY116" t="s">
        <v>806</v>
      </c>
      <c r="AZ116" t="s">
        <v>76</v>
      </c>
      <c r="BA116" t="s">
        <v>807</v>
      </c>
      <c r="BB116" t="s">
        <v>801</v>
      </c>
      <c r="BC116" t="s">
        <v>812</v>
      </c>
      <c r="BD116" s="3">
        <v>9.9658314350797264E-2</v>
      </c>
      <c r="BE116">
        <v>579.4</v>
      </c>
      <c r="BG116" s="2">
        <f t="shared" si="4"/>
        <v>63216</v>
      </c>
      <c r="BH116" t="str" cm="1">
        <f t="array" ref="BH116">_xlfn.IFS(Q116&lt;5,"0-5 Years",Q116&lt;10,"5-10 Years",Q116&lt;15,"10-15 Years",TRUE,"15+ Years")</f>
        <v>10-15 Years</v>
      </c>
      <c r="BI116" t="str" cm="1">
        <f t="array" ref="BI116">_xlfn.IFS(AA116&gt;=540,"A",AA116&gt;=480,"B",AA116&gt;=420,"C",AA116&gt;=360,"D",TRUE,"F")</f>
        <v>B</v>
      </c>
      <c r="BJ116" t="str" cm="1">
        <f t="array" ref="BJ116">_xlfn.IFS(AU116&lt;0,"Separated",AU116&lt;=90,"High Risk",AU116&lt;=180,"Medium Risk",TRUE,"Retained")</f>
        <v>Retained</v>
      </c>
      <c r="BK116" t="str" cm="1">
        <f t="array" ref="BK116">_xlfn.IFS(V116=0,"No Combat",V116=1,"1 Tour",V116=2,"2 Tours",TRUE,"3+ Tours")</f>
        <v>1 Tour</v>
      </c>
      <c r="BL116" t="str">
        <f t="shared" si="5"/>
        <v>Standard</v>
      </c>
      <c r="BM116" t="str">
        <f t="shared" si="6"/>
        <v>Promotion Ready</v>
      </c>
      <c r="BN116" s="3">
        <f t="shared" si="7"/>
        <v>9.9658314350797264E-2</v>
      </c>
      <c r="BO116">
        <f t="shared" si="8"/>
        <v>579.4</v>
      </c>
    </row>
    <row r="117" spans="1:67" x14ac:dyDescent="0.25">
      <c r="A117" t="s">
        <v>403</v>
      </c>
      <c r="B117" t="s">
        <v>49</v>
      </c>
      <c r="C117" t="s">
        <v>360</v>
      </c>
      <c r="D117" t="s">
        <v>51</v>
      </c>
      <c r="E117">
        <v>39</v>
      </c>
      <c r="F117" t="s">
        <v>168</v>
      </c>
      <c r="G117" t="s">
        <v>215</v>
      </c>
      <c r="H117" t="s">
        <v>216</v>
      </c>
      <c r="I117" t="s">
        <v>144</v>
      </c>
      <c r="J117" t="s">
        <v>145</v>
      </c>
      <c r="K117" t="s">
        <v>146</v>
      </c>
      <c r="L117" t="s">
        <v>86</v>
      </c>
      <c r="M117" t="s">
        <v>207</v>
      </c>
      <c r="N117" t="s">
        <v>265</v>
      </c>
      <c r="O117" t="s">
        <v>176</v>
      </c>
      <c r="P117" s="1">
        <v>39896</v>
      </c>
      <c r="Q117">
        <v>15.2</v>
      </c>
      <c r="R117" t="s">
        <v>129</v>
      </c>
      <c r="S117" t="s">
        <v>130</v>
      </c>
      <c r="T117" t="s">
        <v>131</v>
      </c>
      <c r="U117">
        <v>7</v>
      </c>
      <c r="V117">
        <v>1</v>
      </c>
      <c r="W117" s="2">
        <v>3637</v>
      </c>
      <c r="X117" s="2">
        <v>916</v>
      </c>
      <c r="Y117" s="2">
        <v>266</v>
      </c>
      <c r="Z117" s="2">
        <v>4819</v>
      </c>
      <c r="AA117">
        <v>303</v>
      </c>
      <c r="AB117" t="s">
        <v>151</v>
      </c>
      <c r="AC117">
        <v>18.100000000000001</v>
      </c>
      <c r="AD117">
        <v>63</v>
      </c>
      <c r="AE117">
        <v>38</v>
      </c>
      <c r="AF117" t="s">
        <v>132</v>
      </c>
      <c r="AG117">
        <v>25</v>
      </c>
      <c r="AH117" t="s">
        <v>113</v>
      </c>
      <c r="AI117" t="s">
        <v>95</v>
      </c>
      <c r="AJ117" t="s">
        <v>72</v>
      </c>
      <c r="AK117" t="s">
        <v>70</v>
      </c>
      <c r="AL117" t="s">
        <v>70</v>
      </c>
      <c r="AM117" t="s">
        <v>70</v>
      </c>
      <c r="AN117" t="s">
        <v>202</v>
      </c>
      <c r="AO117" t="s">
        <v>134</v>
      </c>
      <c r="AP117" t="s">
        <v>227</v>
      </c>
      <c r="AQ117" t="s">
        <v>74</v>
      </c>
      <c r="AR117" s="1">
        <v>45201</v>
      </c>
      <c r="AS117" t="s">
        <v>75</v>
      </c>
      <c r="AT117" t="s">
        <v>71</v>
      </c>
      <c r="AU117">
        <v>1786</v>
      </c>
      <c r="AV117" t="s">
        <v>76</v>
      </c>
      <c r="AW117" s="3">
        <v>57828</v>
      </c>
      <c r="AX117" t="s">
        <v>798</v>
      </c>
      <c r="AY117" t="s">
        <v>122</v>
      </c>
      <c r="AZ117" t="s">
        <v>76</v>
      </c>
      <c r="BA117" t="s">
        <v>807</v>
      </c>
      <c r="BB117" t="s">
        <v>801</v>
      </c>
      <c r="BC117" t="s">
        <v>802</v>
      </c>
      <c r="BD117" s="3">
        <v>6.2876115376634151E-2</v>
      </c>
      <c r="BE117">
        <v>353.4</v>
      </c>
      <c r="BG117" s="2">
        <f t="shared" si="4"/>
        <v>57828</v>
      </c>
      <c r="BH117" t="str" cm="1">
        <f t="array" ref="BH117">_xlfn.IFS(Q117&lt;5,"0-5 Years",Q117&lt;10,"5-10 Years",Q117&lt;15,"10-15 Years",TRUE,"15+ Years")</f>
        <v>15+ Years</v>
      </c>
      <c r="BI117" t="str" cm="1">
        <f t="array" ref="BI117">_xlfn.IFS(AA117&gt;=540,"A",AA117&gt;=480,"B",AA117&gt;=420,"C",AA117&gt;=360,"D",TRUE,"F")</f>
        <v>F</v>
      </c>
      <c r="BJ117" t="str" cm="1">
        <f t="array" ref="BJ117">_xlfn.IFS(AU117&lt;0,"Separated",AU117&lt;=90,"High Risk",AU117&lt;=180,"Medium Risk",TRUE,"Retained")</f>
        <v>Retained</v>
      </c>
      <c r="BK117" t="str" cm="1">
        <f t="array" ref="BK117">_xlfn.IFS(V117=0,"No Combat",V117=1,"1 Tour",V117=2,"2 Tours",TRUE,"3+ Tours")</f>
        <v>1 Tour</v>
      </c>
      <c r="BL117" t="str">
        <f t="shared" si="5"/>
        <v>Standard</v>
      </c>
      <c r="BM117" t="str">
        <f t="shared" si="6"/>
        <v>Not Ready</v>
      </c>
      <c r="BN117" s="3">
        <f t="shared" si="7"/>
        <v>6.2876115376634151E-2</v>
      </c>
      <c r="BO117">
        <f t="shared" si="8"/>
        <v>353.4</v>
      </c>
    </row>
    <row r="118" spans="1:67" x14ac:dyDescent="0.25">
      <c r="A118" t="s">
        <v>404</v>
      </c>
      <c r="B118" t="s">
        <v>277</v>
      </c>
      <c r="C118" t="s">
        <v>252</v>
      </c>
      <c r="D118" t="s">
        <v>51</v>
      </c>
      <c r="E118">
        <v>36</v>
      </c>
      <c r="F118" t="s">
        <v>305</v>
      </c>
      <c r="G118" t="s">
        <v>285</v>
      </c>
      <c r="H118" t="s">
        <v>286</v>
      </c>
      <c r="I118" t="s">
        <v>273</v>
      </c>
      <c r="J118" t="s">
        <v>274</v>
      </c>
      <c r="K118" t="s">
        <v>57</v>
      </c>
      <c r="L118" t="s">
        <v>106</v>
      </c>
      <c r="M118" t="s">
        <v>207</v>
      </c>
      <c r="N118" t="s">
        <v>265</v>
      </c>
      <c r="O118" t="s">
        <v>61</v>
      </c>
      <c r="P118" s="1">
        <v>44602</v>
      </c>
      <c r="Q118">
        <v>2.2999999999999998</v>
      </c>
      <c r="R118" t="s">
        <v>75</v>
      </c>
      <c r="S118" t="s">
        <v>130</v>
      </c>
      <c r="T118" t="s">
        <v>131</v>
      </c>
      <c r="U118">
        <v>10</v>
      </c>
      <c r="V118">
        <v>1</v>
      </c>
      <c r="W118" s="2">
        <v>7668</v>
      </c>
      <c r="X118" s="2">
        <v>0</v>
      </c>
      <c r="Y118" s="2">
        <v>266</v>
      </c>
      <c r="Z118" s="2">
        <v>7934</v>
      </c>
      <c r="AA118">
        <v>447</v>
      </c>
      <c r="AB118" t="s">
        <v>65</v>
      </c>
      <c r="AC118">
        <v>14.4</v>
      </c>
      <c r="AD118">
        <v>34</v>
      </c>
      <c r="AE118">
        <v>77</v>
      </c>
      <c r="AF118" t="s">
        <v>132</v>
      </c>
      <c r="AG118">
        <v>26</v>
      </c>
      <c r="AH118" t="s">
        <v>113</v>
      </c>
      <c r="AI118" t="s">
        <v>177</v>
      </c>
      <c r="AJ118" t="s">
        <v>72</v>
      </c>
      <c r="AK118" t="s">
        <v>70</v>
      </c>
      <c r="AL118" t="s">
        <v>71</v>
      </c>
      <c r="AM118" t="s">
        <v>70</v>
      </c>
      <c r="AN118" t="s">
        <v>115</v>
      </c>
      <c r="AO118" t="s">
        <v>221</v>
      </c>
      <c r="AP118" t="s">
        <v>72</v>
      </c>
      <c r="AQ118" t="s">
        <v>117</v>
      </c>
      <c r="AR118" s="1">
        <v>44807</v>
      </c>
      <c r="AS118" t="s">
        <v>198</v>
      </c>
      <c r="AT118" t="s">
        <v>71</v>
      </c>
      <c r="AU118">
        <v>1063</v>
      </c>
      <c r="AV118" t="s">
        <v>76</v>
      </c>
      <c r="AW118" s="3">
        <v>95208</v>
      </c>
      <c r="AX118" t="s">
        <v>803</v>
      </c>
      <c r="AY118" t="s">
        <v>804</v>
      </c>
      <c r="AZ118" t="s">
        <v>76</v>
      </c>
      <c r="BA118" t="s">
        <v>807</v>
      </c>
      <c r="BB118" t="s">
        <v>801</v>
      </c>
      <c r="BC118" t="s">
        <v>802</v>
      </c>
      <c r="BD118" s="3">
        <v>5.6339803377867405E-2</v>
      </c>
      <c r="BE118">
        <v>509.4</v>
      </c>
      <c r="BG118" s="2">
        <f t="shared" si="4"/>
        <v>95208</v>
      </c>
      <c r="BH118" t="str" cm="1">
        <f t="array" ref="BH118">_xlfn.IFS(Q118&lt;5,"0-5 Years",Q118&lt;10,"5-10 Years",Q118&lt;15,"10-15 Years",TRUE,"15+ Years")</f>
        <v>0-5 Years</v>
      </c>
      <c r="BI118" t="str" cm="1">
        <f t="array" ref="BI118">_xlfn.IFS(AA118&gt;=540,"A",AA118&gt;=480,"B",AA118&gt;=420,"C",AA118&gt;=360,"D",TRUE,"F")</f>
        <v>C</v>
      </c>
      <c r="BJ118" t="str" cm="1">
        <f t="array" ref="BJ118">_xlfn.IFS(AU118&lt;0,"Separated",AU118&lt;=90,"High Risk",AU118&lt;=180,"Medium Risk",TRUE,"Retained")</f>
        <v>Retained</v>
      </c>
      <c r="BK118" t="str" cm="1">
        <f t="array" ref="BK118">_xlfn.IFS(V118=0,"No Combat",V118=1,"1 Tour",V118=2,"2 Tours",TRUE,"3+ Tours")</f>
        <v>1 Tour</v>
      </c>
      <c r="BL118" t="str">
        <f t="shared" si="5"/>
        <v>Standard</v>
      </c>
      <c r="BM118" t="str">
        <f t="shared" si="6"/>
        <v>Not Ready</v>
      </c>
      <c r="BN118" s="3">
        <f t="shared" si="7"/>
        <v>5.6339803377867405E-2</v>
      </c>
      <c r="BO118">
        <f t="shared" si="8"/>
        <v>509.4</v>
      </c>
    </row>
    <row r="119" spans="1:67" x14ac:dyDescent="0.25">
      <c r="A119" t="s">
        <v>405</v>
      </c>
      <c r="B119" t="s">
        <v>205</v>
      </c>
      <c r="C119" t="s">
        <v>257</v>
      </c>
      <c r="D119" t="s">
        <v>51</v>
      </c>
      <c r="E119">
        <v>37</v>
      </c>
      <c r="F119" t="s">
        <v>52</v>
      </c>
      <c r="G119" t="s">
        <v>124</v>
      </c>
      <c r="H119" t="s">
        <v>125</v>
      </c>
      <c r="I119" t="s">
        <v>273</v>
      </c>
      <c r="J119" t="s">
        <v>274</v>
      </c>
      <c r="K119" t="s">
        <v>57</v>
      </c>
      <c r="L119" t="s">
        <v>58</v>
      </c>
      <c r="M119" t="s">
        <v>161</v>
      </c>
      <c r="N119" t="s">
        <v>162</v>
      </c>
      <c r="O119" t="s">
        <v>61</v>
      </c>
      <c r="P119" s="1">
        <v>42101</v>
      </c>
      <c r="Q119">
        <v>9.1999999999999993</v>
      </c>
      <c r="R119" t="s">
        <v>208</v>
      </c>
      <c r="S119" t="s">
        <v>130</v>
      </c>
      <c r="T119" t="s">
        <v>131</v>
      </c>
      <c r="U119">
        <v>10</v>
      </c>
      <c r="V119">
        <v>1</v>
      </c>
      <c r="W119" s="2">
        <v>2730</v>
      </c>
      <c r="X119" s="2">
        <v>0</v>
      </c>
      <c r="Y119" s="2">
        <v>422</v>
      </c>
      <c r="Z119" s="2">
        <v>3152</v>
      </c>
      <c r="AA119">
        <v>450</v>
      </c>
      <c r="AB119" t="s">
        <v>65</v>
      </c>
      <c r="AC119">
        <v>16.600000000000001</v>
      </c>
      <c r="AD119">
        <v>60</v>
      </c>
      <c r="AE119">
        <v>41</v>
      </c>
      <c r="AF119" t="s">
        <v>66</v>
      </c>
      <c r="AG119">
        <v>16</v>
      </c>
      <c r="AH119" t="s">
        <v>113</v>
      </c>
      <c r="AI119" t="s">
        <v>95</v>
      </c>
      <c r="AJ119" t="s">
        <v>188</v>
      </c>
      <c r="AK119" t="s">
        <v>70</v>
      </c>
      <c r="AL119" t="s">
        <v>71</v>
      </c>
      <c r="AM119" t="s">
        <v>70</v>
      </c>
      <c r="AN119" t="s">
        <v>231</v>
      </c>
      <c r="AO119" t="s">
        <v>287</v>
      </c>
      <c r="AP119" t="s">
        <v>72</v>
      </c>
      <c r="AQ119" t="s">
        <v>98</v>
      </c>
      <c r="AR119" s="1">
        <v>43575</v>
      </c>
      <c r="AS119" t="s">
        <v>198</v>
      </c>
      <c r="AT119" t="s">
        <v>71</v>
      </c>
      <c r="AU119">
        <v>-481</v>
      </c>
      <c r="AV119" t="s">
        <v>179</v>
      </c>
      <c r="AW119" s="3">
        <v>37824</v>
      </c>
      <c r="AX119" t="s">
        <v>808</v>
      </c>
      <c r="AY119" t="s">
        <v>804</v>
      </c>
      <c r="AZ119" t="s">
        <v>810</v>
      </c>
      <c r="BA119" t="s">
        <v>807</v>
      </c>
      <c r="BB119" t="s">
        <v>801</v>
      </c>
      <c r="BC119" t="s">
        <v>802</v>
      </c>
      <c r="BD119" s="3">
        <v>0.14276649746192893</v>
      </c>
      <c r="BE119">
        <v>492.4</v>
      </c>
      <c r="BG119" s="2">
        <f t="shared" si="4"/>
        <v>37824</v>
      </c>
      <c r="BH119" t="str" cm="1">
        <f t="array" ref="BH119">_xlfn.IFS(Q119&lt;5,"0-5 Years",Q119&lt;10,"5-10 Years",Q119&lt;15,"10-15 Years",TRUE,"15+ Years")</f>
        <v>5-10 Years</v>
      </c>
      <c r="BI119" t="str" cm="1">
        <f t="array" ref="BI119">_xlfn.IFS(AA119&gt;=540,"A",AA119&gt;=480,"B",AA119&gt;=420,"C",AA119&gt;=360,"D",TRUE,"F")</f>
        <v>C</v>
      </c>
      <c r="BJ119" t="str" cm="1">
        <f t="array" ref="BJ119">_xlfn.IFS(AU119&lt;0,"Separated",AU119&lt;=90,"High Risk",AU119&lt;=180,"Medium Risk",TRUE,"Retained")</f>
        <v>Separated</v>
      </c>
      <c r="BK119" t="str" cm="1">
        <f t="array" ref="BK119">_xlfn.IFS(V119=0,"No Combat",V119=1,"1 Tour",V119=2,"2 Tours",TRUE,"3+ Tours")</f>
        <v>1 Tour</v>
      </c>
      <c r="BL119" t="str">
        <f t="shared" si="5"/>
        <v>Standard</v>
      </c>
      <c r="BM119" t="str">
        <f t="shared" si="6"/>
        <v>Not Ready</v>
      </c>
      <c r="BN119" s="3">
        <f t="shared" si="7"/>
        <v>0.14276649746192893</v>
      </c>
      <c r="BO119">
        <f t="shared" si="8"/>
        <v>492.4</v>
      </c>
    </row>
    <row r="120" spans="1:67" x14ac:dyDescent="0.25">
      <c r="A120" t="s">
        <v>406</v>
      </c>
      <c r="B120" t="s">
        <v>282</v>
      </c>
      <c r="C120" t="s">
        <v>155</v>
      </c>
      <c r="D120" t="s">
        <v>51</v>
      </c>
      <c r="E120">
        <v>28</v>
      </c>
      <c r="F120" t="s">
        <v>141</v>
      </c>
      <c r="G120" t="s">
        <v>234</v>
      </c>
      <c r="H120" t="s">
        <v>235</v>
      </c>
      <c r="I120" t="s">
        <v>236</v>
      </c>
      <c r="J120" t="s">
        <v>237</v>
      </c>
      <c r="K120" t="s">
        <v>238</v>
      </c>
      <c r="L120" t="s">
        <v>86</v>
      </c>
      <c r="M120" t="s">
        <v>147</v>
      </c>
      <c r="N120" t="s">
        <v>108</v>
      </c>
      <c r="O120" t="s">
        <v>89</v>
      </c>
      <c r="P120" s="1">
        <v>43896</v>
      </c>
      <c r="Q120">
        <v>4.2</v>
      </c>
      <c r="R120" t="s">
        <v>75</v>
      </c>
      <c r="S120" t="s">
        <v>163</v>
      </c>
      <c r="T120" t="s">
        <v>164</v>
      </c>
      <c r="U120">
        <v>7</v>
      </c>
      <c r="V120">
        <v>1</v>
      </c>
      <c r="W120" s="2">
        <v>1917</v>
      </c>
      <c r="X120" s="2">
        <v>1263</v>
      </c>
      <c r="Y120" s="2">
        <v>422</v>
      </c>
      <c r="Z120" s="2">
        <v>3602</v>
      </c>
      <c r="AA120">
        <v>547</v>
      </c>
      <c r="AB120" t="s">
        <v>65</v>
      </c>
      <c r="AC120">
        <v>15.2</v>
      </c>
      <c r="AD120">
        <v>26</v>
      </c>
      <c r="AE120">
        <v>54</v>
      </c>
      <c r="AF120" t="s">
        <v>112</v>
      </c>
      <c r="AG120">
        <v>21</v>
      </c>
      <c r="AH120" t="s">
        <v>113</v>
      </c>
      <c r="AI120" t="s">
        <v>68</v>
      </c>
      <c r="AJ120" t="s">
        <v>96</v>
      </c>
      <c r="AK120" t="s">
        <v>70</v>
      </c>
      <c r="AL120" t="s">
        <v>70</v>
      </c>
      <c r="AM120" t="s">
        <v>70</v>
      </c>
      <c r="AN120" t="s">
        <v>72</v>
      </c>
      <c r="AO120" t="s">
        <v>97</v>
      </c>
      <c r="AP120" t="s">
        <v>134</v>
      </c>
      <c r="AQ120" t="s">
        <v>117</v>
      </c>
      <c r="AR120" s="1">
        <v>45493</v>
      </c>
      <c r="AS120" t="s">
        <v>118</v>
      </c>
      <c r="AT120" t="s">
        <v>71</v>
      </c>
      <c r="AU120">
        <v>1152</v>
      </c>
      <c r="AV120" t="s">
        <v>76</v>
      </c>
      <c r="AW120" s="3">
        <v>43224</v>
      </c>
      <c r="AX120" t="s">
        <v>803</v>
      </c>
      <c r="AY120" t="s">
        <v>799</v>
      </c>
      <c r="AZ120" t="s">
        <v>76</v>
      </c>
      <c r="BA120" t="s">
        <v>807</v>
      </c>
      <c r="BB120" t="s">
        <v>801</v>
      </c>
      <c r="BC120" t="s">
        <v>802</v>
      </c>
      <c r="BD120" s="3">
        <v>0.1518600777345919</v>
      </c>
      <c r="BE120">
        <v>589.4</v>
      </c>
      <c r="BG120" s="2">
        <f t="shared" si="4"/>
        <v>43224</v>
      </c>
      <c r="BH120" t="str" cm="1">
        <f t="array" ref="BH120">_xlfn.IFS(Q120&lt;5,"0-5 Years",Q120&lt;10,"5-10 Years",Q120&lt;15,"10-15 Years",TRUE,"15+ Years")</f>
        <v>0-5 Years</v>
      </c>
      <c r="BI120" t="str" cm="1">
        <f t="array" ref="BI120">_xlfn.IFS(AA120&gt;=540,"A",AA120&gt;=480,"B",AA120&gt;=420,"C",AA120&gt;=360,"D",TRUE,"F")</f>
        <v>A</v>
      </c>
      <c r="BJ120" t="str" cm="1">
        <f t="array" ref="BJ120">_xlfn.IFS(AU120&lt;0,"Separated",AU120&lt;=90,"High Risk",AU120&lt;=180,"Medium Risk",TRUE,"Retained")</f>
        <v>Retained</v>
      </c>
      <c r="BK120" t="str" cm="1">
        <f t="array" ref="BK120">_xlfn.IFS(V120=0,"No Combat",V120=1,"1 Tour",V120=2,"2 Tours",TRUE,"3+ Tours")</f>
        <v>1 Tour</v>
      </c>
      <c r="BL120" t="str">
        <f t="shared" si="5"/>
        <v>Standard</v>
      </c>
      <c r="BM120" t="str">
        <f t="shared" si="6"/>
        <v>Not Ready</v>
      </c>
      <c r="BN120" s="3">
        <f t="shared" si="7"/>
        <v>0.1518600777345919</v>
      </c>
      <c r="BO120">
        <f t="shared" si="8"/>
        <v>589.4</v>
      </c>
    </row>
    <row r="121" spans="1:67" x14ac:dyDescent="0.25">
      <c r="A121" t="s">
        <v>407</v>
      </c>
      <c r="B121" t="s">
        <v>120</v>
      </c>
      <c r="C121" t="s">
        <v>182</v>
      </c>
      <c r="D121" t="s">
        <v>51</v>
      </c>
      <c r="E121">
        <v>21</v>
      </c>
      <c r="F121" t="s">
        <v>168</v>
      </c>
      <c r="G121" t="s">
        <v>124</v>
      </c>
      <c r="H121" t="s">
        <v>125</v>
      </c>
      <c r="I121" t="s">
        <v>55</v>
      </c>
      <c r="J121" t="s">
        <v>56</v>
      </c>
      <c r="K121" t="s">
        <v>57</v>
      </c>
      <c r="L121" t="s">
        <v>106</v>
      </c>
      <c r="M121" t="s">
        <v>296</v>
      </c>
      <c r="N121" t="s">
        <v>148</v>
      </c>
      <c r="O121" t="s">
        <v>61</v>
      </c>
      <c r="P121" s="1">
        <v>39737</v>
      </c>
      <c r="Q121">
        <v>15.6</v>
      </c>
      <c r="R121" t="s">
        <v>150</v>
      </c>
      <c r="S121" t="s">
        <v>163</v>
      </c>
      <c r="T121" t="s">
        <v>164</v>
      </c>
      <c r="U121">
        <v>11</v>
      </c>
      <c r="V121">
        <v>1</v>
      </c>
      <c r="W121" s="2">
        <v>2730</v>
      </c>
      <c r="X121" s="2">
        <v>0</v>
      </c>
      <c r="Y121" s="2">
        <v>422</v>
      </c>
      <c r="Z121" s="2">
        <v>3152</v>
      </c>
      <c r="AA121">
        <v>563</v>
      </c>
      <c r="AB121" t="s">
        <v>65</v>
      </c>
      <c r="AC121">
        <v>15.7</v>
      </c>
      <c r="AD121">
        <v>60</v>
      </c>
      <c r="AE121">
        <v>46</v>
      </c>
      <c r="AF121" t="s">
        <v>66</v>
      </c>
      <c r="AG121">
        <v>35</v>
      </c>
      <c r="AH121" t="s">
        <v>67</v>
      </c>
      <c r="AI121" t="s">
        <v>68</v>
      </c>
      <c r="AJ121" t="s">
        <v>72</v>
      </c>
      <c r="AK121" t="s">
        <v>70</v>
      </c>
      <c r="AL121" t="s">
        <v>70</v>
      </c>
      <c r="AM121" t="s">
        <v>70</v>
      </c>
      <c r="AN121" t="s">
        <v>202</v>
      </c>
      <c r="AO121" t="s">
        <v>135</v>
      </c>
      <c r="AP121" t="s">
        <v>72</v>
      </c>
      <c r="AQ121" t="s">
        <v>136</v>
      </c>
      <c r="AR121" s="1">
        <v>45143</v>
      </c>
      <c r="AS121" t="s">
        <v>198</v>
      </c>
      <c r="AT121" t="s">
        <v>71</v>
      </c>
      <c r="AU121">
        <v>-462</v>
      </c>
      <c r="AV121" t="s">
        <v>179</v>
      </c>
      <c r="AW121" s="3">
        <v>37824</v>
      </c>
      <c r="AX121" t="s">
        <v>798</v>
      </c>
      <c r="AY121" t="s">
        <v>799</v>
      </c>
      <c r="AZ121" t="s">
        <v>810</v>
      </c>
      <c r="BA121" t="s">
        <v>807</v>
      </c>
      <c r="BB121" t="s">
        <v>801</v>
      </c>
      <c r="BC121" t="s">
        <v>802</v>
      </c>
      <c r="BD121" s="3">
        <v>0.17861675126903553</v>
      </c>
      <c r="BE121">
        <v>633.4</v>
      </c>
      <c r="BG121" s="2">
        <f t="shared" si="4"/>
        <v>37824</v>
      </c>
      <c r="BH121" t="str" cm="1">
        <f t="array" ref="BH121">_xlfn.IFS(Q121&lt;5,"0-5 Years",Q121&lt;10,"5-10 Years",Q121&lt;15,"10-15 Years",TRUE,"15+ Years")</f>
        <v>15+ Years</v>
      </c>
      <c r="BI121" t="str" cm="1">
        <f t="array" ref="BI121">_xlfn.IFS(AA121&gt;=540,"A",AA121&gt;=480,"B",AA121&gt;=420,"C",AA121&gt;=360,"D",TRUE,"F")</f>
        <v>A</v>
      </c>
      <c r="BJ121" t="str" cm="1">
        <f t="array" ref="BJ121">_xlfn.IFS(AU121&lt;0,"Separated",AU121&lt;=90,"High Risk",AU121&lt;=180,"Medium Risk",TRUE,"Retained")</f>
        <v>Separated</v>
      </c>
      <c r="BK121" t="str" cm="1">
        <f t="array" ref="BK121">_xlfn.IFS(V121=0,"No Combat",V121=1,"1 Tour",V121=2,"2 Tours",TRUE,"3+ Tours")</f>
        <v>1 Tour</v>
      </c>
      <c r="BL121" t="str">
        <f t="shared" si="5"/>
        <v>Standard</v>
      </c>
      <c r="BM121" t="str">
        <f t="shared" si="6"/>
        <v>Not Ready</v>
      </c>
      <c r="BN121" s="3">
        <f t="shared" si="7"/>
        <v>0.17861675126903553</v>
      </c>
      <c r="BO121">
        <f t="shared" si="8"/>
        <v>633.4</v>
      </c>
    </row>
    <row r="122" spans="1:67" x14ac:dyDescent="0.25">
      <c r="A122" t="s">
        <v>408</v>
      </c>
      <c r="B122" t="s">
        <v>210</v>
      </c>
      <c r="C122" t="s">
        <v>257</v>
      </c>
      <c r="D122" t="s">
        <v>51</v>
      </c>
      <c r="E122">
        <v>35</v>
      </c>
      <c r="F122" t="s">
        <v>141</v>
      </c>
      <c r="G122" t="s">
        <v>81</v>
      </c>
      <c r="H122" t="s">
        <v>82</v>
      </c>
      <c r="I122" t="s">
        <v>158</v>
      </c>
      <c r="J122" t="s">
        <v>159</v>
      </c>
      <c r="K122" t="s">
        <v>160</v>
      </c>
      <c r="L122" t="s">
        <v>201</v>
      </c>
      <c r="M122" t="s">
        <v>207</v>
      </c>
      <c r="N122" t="s">
        <v>148</v>
      </c>
      <c r="O122" t="s">
        <v>61</v>
      </c>
      <c r="P122" s="1">
        <v>44093</v>
      </c>
      <c r="Q122">
        <v>3.7</v>
      </c>
      <c r="R122" t="s">
        <v>195</v>
      </c>
      <c r="S122" t="s">
        <v>130</v>
      </c>
      <c r="T122" t="s">
        <v>131</v>
      </c>
      <c r="U122">
        <v>13</v>
      </c>
      <c r="V122">
        <v>2</v>
      </c>
      <c r="W122" s="2">
        <v>2504</v>
      </c>
      <c r="X122" s="2">
        <v>0</v>
      </c>
      <c r="Y122" s="2">
        <v>422</v>
      </c>
      <c r="Z122" s="2">
        <v>2926</v>
      </c>
      <c r="AA122">
        <v>544</v>
      </c>
      <c r="AB122" t="s">
        <v>65</v>
      </c>
      <c r="AC122">
        <v>14.9</v>
      </c>
      <c r="AD122">
        <v>70</v>
      </c>
      <c r="AE122">
        <v>36</v>
      </c>
      <c r="AF122" t="s">
        <v>93</v>
      </c>
      <c r="AG122">
        <v>35</v>
      </c>
      <c r="AH122" t="s">
        <v>67</v>
      </c>
      <c r="AI122" t="s">
        <v>114</v>
      </c>
      <c r="AJ122" t="s">
        <v>69</v>
      </c>
      <c r="AK122" t="s">
        <v>70</v>
      </c>
      <c r="AL122" t="s">
        <v>71</v>
      </c>
      <c r="AM122" t="s">
        <v>71</v>
      </c>
      <c r="AN122" t="s">
        <v>72</v>
      </c>
      <c r="AO122" t="s">
        <v>73</v>
      </c>
      <c r="AP122" t="s">
        <v>203</v>
      </c>
      <c r="AQ122" t="s">
        <v>98</v>
      </c>
      <c r="AR122" s="1">
        <v>43836</v>
      </c>
      <c r="AS122" t="s">
        <v>198</v>
      </c>
      <c r="AT122" t="s">
        <v>71</v>
      </c>
      <c r="AU122">
        <v>-448</v>
      </c>
      <c r="AV122" t="s">
        <v>179</v>
      </c>
      <c r="AW122" s="3">
        <v>35112</v>
      </c>
      <c r="AX122" t="s">
        <v>803</v>
      </c>
      <c r="AY122" t="s">
        <v>799</v>
      </c>
      <c r="AZ122" t="s">
        <v>810</v>
      </c>
      <c r="BA122" t="s">
        <v>811</v>
      </c>
      <c r="BB122" t="s">
        <v>801</v>
      </c>
      <c r="BC122" t="s">
        <v>802</v>
      </c>
      <c r="BD122" s="3">
        <v>0.18591934381408065</v>
      </c>
      <c r="BE122">
        <v>644.4</v>
      </c>
      <c r="BG122" s="2">
        <f t="shared" si="4"/>
        <v>35112</v>
      </c>
      <c r="BH122" t="str" cm="1">
        <f t="array" ref="BH122">_xlfn.IFS(Q122&lt;5,"0-5 Years",Q122&lt;10,"5-10 Years",Q122&lt;15,"10-15 Years",TRUE,"15+ Years")</f>
        <v>0-5 Years</v>
      </c>
      <c r="BI122" t="str" cm="1">
        <f t="array" ref="BI122">_xlfn.IFS(AA122&gt;=540,"A",AA122&gt;=480,"B",AA122&gt;=420,"C",AA122&gt;=360,"D",TRUE,"F")</f>
        <v>A</v>
      </c>
      <c r="BJ122" t="str" cm="1">
        <f t="array" ref="BJ122">_xlfn.IFS(AU122&lt;0,"Separated",AU122&lt;=90,"High Risk",AU122&lt;=180,"Medium Risk",TRUE,"Retained")</f>
        <v>Separated</v>
      </c>
      <c r="BK122" t="str" cm="1">
        <f t="array" ref="BK122">_xlfn.IFS(V122=0,"No Combat",V122=1,"1 Tour",V122=2,"2 Tours",TRUE,"3+ Tours")</f>
        <v>2 Tours</v>
      </c>
      <c r="BL122" t="str">
        <f t="shared" si="5"/>
        <v>Standard</v>
      </c>
      <c r="BM122" t="str">
        <f t="shared" si="6"/>
        <v>Not Ready</v>
      </c>
      <c r="BN122" s="3">
        <f t="shared" si="7"/>
        <v>0.18591934381408065</v>
      </c>
      <c r="BO122">
        <f t="shared" si="8"/>
        <v>644.4</v>
      </c>
    </row>
    <row r="123" spans="1:67" x14ac:dyDescent="0.25">
      <c r="A123" t="s">
        <v>409</v>
      </c>
      <c r="B123" t="s">
        <v>251</v>
      </c>
      <c r="C123" t="s">
        <v>140</v>
      </c>
      <c r="D123" t="s">
        <v>51</v>
      </c>
      <c r="E123">
        <v>21</v>
      </c>
      <c r="F123" t="s">
        <v>214</v>
      </c>
      <c r="G123" t="s">
        <v>285</v>
      </c>
      <c r="H123" t="s">
        <v>286</v>
      </c>
      <c r="I123" t="s">
        <v>273</v>
      </c>
      <c r="J123" t="s">
        <v>274</v>
      </c>
      <c r="K123" t="s">
        <v>57</v>
      </c>
      <c r="L123" t="s">
        <v>174</v>
      </c>
      <c r="M123" t="s">
        <v>147</v>
      </c>
      <c r="N123" t="s">
        <v>60</v>
      </c>
      <c r="O123" t="s">
        <v>89</v>
      </c>
      <c r="P123" s="1">
        <v>40449</v>
      </c>
      <c r="Q123">
        <v>13.7</v>
      </c>
      <c r="R123" t="s">
        <v>90</v>
      </c>
      <c r="S123" t="s">
        <v>219</v>
      </c>
      <c r="T123" t="s">
        <v>220</v>
      </c>
      <c r="U123">
        <v>0</v>
      </c>
      <c r="V123">
        <v>0</v>
      </c>
      <c r="W123" s="2">
        <v>7668</v>
      </c>
      <c r="X123" s="2">
        <v>1273</v>
      </c>
      <c r="Y123" s="2">
        <v>266</v>
      </c>
      <c r="Z123" s="2">
        <v>9207</v>
      </c>
      <c r="AA123">
        <v>527</v>
      </c>
      <c r="AB123" t="s">
        <v>65</v>
      </c>
      <c r="AC123">
        <v>20.9</v>
      </c>
      <c r="AD123">
        <v>38</v>
      </c>
      <c r="AE123">
        <v>46</v>
      </c>
      <c r="AF123" t="s">
        <v>66</v>
      </c>
      <c r="AG123">
        <v>19</v>
      </c>
      <c r="AH123" t="s">
        <v>113</v>
      </c>
      <c r="AI123" t="s">
        <v>177</v>
      </c>
      <c r="AJ123" t="s">
        <v>96</v>
      </c>
      <c r="AK123" t="s">
        <v>70</v>
      </c>
      <c r="AL123" t="s">
        <v>70</v>
      </c>
      <c r="AM123" t="s">
        <v>71</v>
      </c>
      <c r="AN123" t="s">
        <v>202</v>
      </c>
      <c r="AO123" t="s">
        <v>178</v>
      </c>
      <c r="AP123" t="s">
        <v>134</v>
      </c>
      <c r="AQ123" t="s">
        <v>117</v>
      </c>
      <c r="AR123" s="1">
        <v>42871</v>
      </c>
      <c r="AS123" t="s">
        <v>118</v>
      </c>
      <c r="AT123" t="s">
        <v>71</v>
      </c>
      <c r="AU123">
        <v>964</v>
      </c>
      <c r="AV123" t="s">
        <v>76</v>
      </c>
      <c r="AW123" s="3">
        <v>110484</v>
      </c>
      <c r="AX123" t="s">
        <v>805</v>
      </c>
      <c r="AY123" t="s">
        <v>806</v>
      </c>
      <c r="AZ123" t="s">
        <v>76</v>
      </c>
      <c r="BA123" t="s">
        <v>800</v>
      </c>
      <c r="BB123" t="s">
        <v>801</v>
      </c>
      <c r="BC123" t="s">
        <v>802</v>
      </c>
      <c r="BD123" s="3">
        <v>5.7239057239057242E-2</v>
      </c>
      <c r="BE123">
        <v>585.4</v>
      </c>
      <c r="BG123" s="2">
        <f t="shared" si="4"/>
        <v>110484</v>
      </c>
      <c r="BH123" t="str" cm="1">
        <f t="array" ref="BH123">_xlfn.IFS(Q123&lt;5,"0-5 Years",Q123&lt;10,"5-10 Years",Q123&lt;15,"10-15 Years",TRUE,"15+ Years")</f>
        <v>10-15 Years</v>
      </c>
      <c r="BI123" t="str" cm="1">
        <f t="array" ref="BI123">_xlfn.IFS(AA123&gt;=540,"A",AA123&gt;=480,"B",AA123&gt;=420,"C",AA123&gt;=360,"D",TRUE,"F")</f>
        <v>B</v>
      </c>
      <c r="BJ123" t="str" cm="1">
        <f t="array" ref="BJ123">_xlfn.IFS(AU123&lt;0,"Separated",AU123&lt;=90,"High Risk",AU123&lt;=180,"Medium Risk",TRUE,"Retained")</f>
        <v>Retained</v>
      </c>
      <c r="BK123" t="str" cm="1">
        <f t="array" ref="BK123">_xlfn.IFS(V123=0,"No Combat",V123=1,"1 Tour",V123=2,"2 Tours",TRUE,"3+ Tours")</f>
        <v>No Combat</v>
      </c>
      <c r="BL123" t="str">
        <f t="shared" si="5"/>
        <v>Standard</v>
      </c>
      <c r="BM123" t="str">
        <f t="shared" si="6"/>
        <v>Not Ready</v>
      </c>
      <c r="BN123" s="3">
        <f t="shared" si="7"/>
        <v>5.7239057239057242E-2</v>
      </c>
      <c r="BO123">
        <f t="shared" si="8"/>
        <v>585.4</v>
      </c>
    </row>
    <row r="124" spans="1:67" x14ac:dyDescent="0.25">
      <c r="A124" t="s">
        <v>410</v>
      </c>
      <c r="B124" t="s">
        <v>49</v>
      </c>
      <c r="C124" t="s">
        <v>330</v>
      </c>
      <c r="D124" t="s">
        <v>122</v>
      </c>
      <c r="E124">
        <v>23</v>
      </c>
      <c r="F124" t="s">
        <v>305</v>
      </c>
      <c r="G124" t="s">
        <v>193</v>
      </c>
      <c r="H124" t="s">
        <v>194</v>
      </c>
      <c r="I124" t="s">
        <v>83</v>
      </c>
      <c r="J124" t="s">
        <v>84</v>
      </c>
      <c r="K124" t="s">
        <v>85</v>
      </c>
      <c r="L124" t="s">
        <v>86</v>
      </c>
      <c r="M124" t="s">
        <v>275</v>
      </c>
      <c r="N124" t="s">
        <v>60</v>
      </c>
      <c r="O124" t="s">
        <v>109</v>
      </c>
      <c r="P124" s="1">
        <v>41631</v>
      </c>
      <c r="Q124">
        <v>10.4</v>
      </c>
      <c r="R124" t="s">
        <v>150</v>
      </c>
      <c r="S124" t="s">
        <v>91</v>
      </c>
      <c r="T124" t="s">
        <v>92</v>
      </c>
      <c r="U124">
        <v>8</v>
      </c>
      <c r="V124">
        <v>1</v>
      </c>
      <c r="W124" s="2">
        <v>2259</v>
      </c>
      <c r="X124" s="2">
        <v>1589</v>
      </c>
      <c r="Y124" s="2">
        <v>422</v>
      </c>
      <c r="Z124" s="2">
        <v>4270</v>
      </c>
      <c r="AA124">
        <v>347</v>
      </c>
      <c r="AB124" t="s">
        <v>151</v>
      </c>
      <c r="AC124">
        <v>19.3</v>
      </c>
      <c r="AD124">
        <v>61</v>
      </c>
      <c r="AE124">
        <v>40</v>
      </c>
      <c r="AF124" t="s">
        <v>93</v>
      </c>
      <c r="AG124">
        <v>38</v>
      </c>
      <c r="AH124" t="s">
        <v>94</v>
      </c>
      <c r="AI124" t="s">
        <v>95</v>
      </c>
      <c r="AJ124" t="s">
        <v>69</v>
      </c>
      <c r="AK124" t="s">
        <v>70</v>
      </c>
      <c r="AL124" t="s">
        <v>70</v>
      </c>
      <c r="AM124" t="s">
        <v>70</v>
      </c>
      <c r="AN124" t="s">
        <v>133</v>
      </c>
      <c r="AO124" t="s">
        <v>72</v>
      </c>
      <c r="AP124" t="s">
        <v>72</v>
      </c>
      <c r="AQ124" t="s">
        <v>98</v>
      </c>
      <c r="AR124" s="1">
        <v>42345</v>
      </c>
      <c r="AS124" t="s">
        <v>75</v>
      </c>
      <c r="AT124" t="s">
        <v>71</v>
      </c>
      <c r="AU124">
        <v>1478</v>
      </c>
      <c r="AV124" t="s">
        <v>76</v>
      </c>
      <c r="AW124" s="3">
        <v>51240</v>
      </c>
      <c r="AX124" t="s">
        <v>805</v>
      </c>
      <c r="AY124" t="s">
        <v>122</v>
      </c>
      <c r="AZ124" t="s">
        <v>76</v>
      </c>
      <c r="BA124" t="s">
        <v>807</v>
      </c>
      <c r="BB124" t="s">
        <v>801</v>
      </c>
      <c r="BC124" t="s">
        <v>802</v>
      </c>
      <c r="BD124" s="3">
        <v>8.1264637002341919E-2</v>
      </c>
      <c r="BE124">
        <v>423.4</v>
      </c>
      <c r="BG124" s="2">
        <f t="shared" si="4"/>
        <v>51240</v>
      </c>
      <c r="BH124" t="str" cm="1">
        <f t="array" ref="BH124">_xlfn.IFS(Q124&lt;5,"0-5 Years",Q124&lt;10,"5-10 Years",Q124&lt;15,"10-15 Years",TRUE,"15+ Years")</f>
        <v>10-15 Years</v>
      </c>
      <c r="BI124" t="str" cm="1">
        <f t="array" ref="BI124">_xlfn.IFS(AA124&gt;=540,"A",AA124&gt;=480,"B",AA124&gt;=420,"C",AA124&gt;=360,"D",TRUE,"F")</f>
        <v>F</v>
      </c>
      <c r="BJ124" t="str" cm="1">
        <f t="array" ref="BJ124">_xlfn.IFS(AU124&lt;0,"Separated",AU124&lt;=90,"High Risk",AU124&lt;=180,"Medium Risk",TRUE,"Retained")</f>
        <v>Retained</v>
      </c>
      <c r="BK124" t="str" cm="1">
        <f t="array" ref="BK124">_xlfn.IFS(V124=0,"No Combat",V124=1,"1 Tour",V124=2,"2 Tours",TRUE,"3+ Tours")</f>
        <v>1 Tour</v>
      </c>
      <c r="BL124" t="str">
        <f t="shared" si="5"/>
        <v>Standard</v>
      </c>
      <c r="BM124" t="str">
        <f t="shared" si="6"/>
        <v>Not Ready</v>
      </c>
      <c r="BN124" s="3">
        <f t="shared" si="7"/>
        <v>8.1264637002341919E-2</v>
      </c>
      <c r="BO124">
        <f t="shared" si="8"/>
        <v>423.4</v>
      </c>
    </row>
    <row r="125" spans="1:67" x14ac:dyDescent="0.25">
      <c r="A125" t="s">
        <v>411</v>
      </c>
      <c r="B125" t="s">
        <v>166</v>
      </c>
      <c r="C125" t="s">
        <v>223</v>
      </c>
      <c r="D125" t="s">
        <v>122</v>
      </c>
      <c r="E125">
        <v>19</v>
      </c>
      <c r="F125" t="s">
        <v>316</v>
      </c>
      <c r="G125" t="s">
        <v>279</v>
      </c>
      <c r="H125" t="s">
        <v>280</v>
      </c>
      <c r="I125" t="s">
        <v>268</v>
      </c>
      <c r="J125" t="s">
        <v>269</v>
      </c>
      <c r="K125" t="s">
        <v>173</v>
      </c>
      <c r="L125" t="s">
        <v>174</v>
      </c>
      <c r="M125" t="s">
        <v>207</v>
      </c>
      <c r="N125" t="s">
        <v>265</v>
      </c>
      <c r="O125" t="s">
        <v>176</v>
      </c>
      <c r="P125" s="1">
        <v>38454</v>
      </c>
      <c r="Q125">
        <v>19.100000000000001</v>
      </c>
      <c r="R125" t="s">
        <v>129</v>
      </c>
      <c r="S125" t="s">
        <v>219</v>
      </c>
      <c r="T125" t="s">
        <v>220</v>
      </c>
      <c r="U125">
        <v>0</v>
      </c>
      <c r="V125">
        <v>0</v>
      </c>
      <c r="W125" s="2">
        <v>6618</v>
      </c>
      <c r="X125" s="2">
        <v>0</v>
      </c>
      <c r="Y125" s="2">
        <v>266</v>
      </c>
      <c r="Z125" s="2">
        <v>6884</v>
      </c>
      <c r="AA125">
        <v>555</v>
      </c>
      <c r="AB125" t="s">
        <v>65</v>
      </c>
      <c r="AC125">
        <v>20.8</v>
      </c>
      <c r="AD125">
        <v>62</v>
      </c>
      <c r="AE125">
        <v>51</v>
      </c>
      <c r="AF125" t="s">
        <v>66</v>
      </c>
      <c r="AG125">
        <v>29</v>
      </c>
      <c r="AH125" t="s">
        <v>113</v>
      </c>
      <c r="AI125" t="s">
        <v>114</v>
      </c>
      <c r="AJ125" t="s">
        <v>69</v>
      </c>
      <c r="AK125" t="s">
        <v>70</v>
      </c>
      <c r="AL125" t="s">
        <v>70</v>
      </c>
      <c r="AM125" t="s">
        <v>70</v>
      </c>
      <c r="AN125" t="s">
        <v>202</v>
      </c>
      <c r="AO125" t="s">
        <v>72</v>
      </c>
      <c r="AP125" t="s">
        <v>287</v>
      </c>
      <c r="AQ125" t="s">
        <v>117</v>
      </c>
      <c r="AR125" s="1">
        <v>38966</v>
      </c>
      <c r="AS125" t="s">
        <v>198</v>
      </c>
      <c r="AT125" t="s">
        <v>71</v>
      </c>
      <c r="AU125">
        <v>1513</v>
      </c>
      <c r="AV125" t="s">
        <v>76</v>
      </c>
      <c r="AW125" s="3">
        <v>82608</v>
      </c>
      <c r="AX125" t="s">
        <v>798</v>
      </c>
      <c r="AY125" t="s">
        <v>799</v>
      </c>
      <c r="AZ125" t="s">
        <v>76</v>
      </c>
      <c r="BA125" t="s">
        <v>800</v>
      </c>
      <c r="BB125" t="s">
        <v>801</v>
      </c>
      <c r="BC125" t="s">
        <v>802</v>
      </c>
      <c r="BD125" s="3">
        <v>8.0621731551423589E-2</v>
      </c>
      <c r="BE125">
        <v>613.4</v>
      </c>
      <c r="BG125" s="2">
        <f t="shared" si="4"/>
        <v>82608</v>
      </c>
      <c r="BH125" t="str" cm="1">
        <f t="array" ref="BH125">_xlfn.IFS(Q125&lt;5,"0-5 Years",Q125&lt;10,"5-10 Years",Q125&lt;15,"10-15 Years",TRUE,"15+ Years")</f>
        <v>15+ Years</v>
      </c>
      <c r="BI125" t="str" cm="1">
        <f t="array" ref="BI125">_xlfn.IFS(AA125&gt;=540,"A",AA125&gt;=480,"B",AA125&gt;=420,"C",AA125&gt;=360,"D",TRUE,"F")</f>
        <v>A</v>
      </c>
      <c r="BJ125" t="str" cm="1">
        <f t="array" ref="BJ125">_xlfn.IFS(AU125&lt;0,"Separated",AU125&lt;=90,"High Risk",AU125&lt;=180,"Medium Risk",TRUE,"Retained")</f>
        <v>Retained</v>
      </c>
      <c r="BK125" t="str" cm="1">
        <f t="array" ref="BK125">_xlfn.IFS(V125=0,"No Combat",V125=1,"1 Tour",V125=2,"2 Tours",TRUE,"3+ Tours")</f>
        <v>No Combat</v>
      </c>
      <c r="BL125" t="str">
        <f t="shared" si="5"/>
        <v>Standard</v>
      </c>
      <c r="BM125" t="str">
        <f t="shared" si="6"/>
        <v>Not Ready</v>
      </c>
      <c r="BN125" s="3">
        <f t="shared" si="7"/>
        <v>8.0621731551423589E-2</v>
      </c>
      <c r="BO125">
        <f t="shared" si="8"/>
        <v>613.4</v>
      </c>
    </row>
    <row r="126" spans="1:67" x14ac:dyDescent="0.25">
      <c r="A126" t="s">
        <v>412</v>
      </c>
      <c r="B126" t="s">
        <v>267</v>
      </c>
      <c r="C126" t="s">
        <v>182</v>
      </c>
      <c r="D126" t="s">
        <v>51</v>
      </c>
      <c r="E126">
        <v>19</v>
      </c>
      <c r="F126" t="s">
        <v>168</v>
      </c>
      <c r="G126" t="s">
        <v>242</v>
      </c>
      <c r="H126" t="s">
        <v>54</v>
      </c>
      <c r="I126" t="s">
        <v>268</v>
      </c>
      <c r="J126" t="s">
        <v>269</v>
      </c>
      <c r="K126" t="s">
        <v>173</v>
      </c>
      <c r="L126" t="s">
        <v>201</v>
      </c>
      <c r="M126" t="s">
        <v>107</v>
      </c>
      <c r="N126" t="s">
        <v>148</v>
      </c>
      <c r="O126" t="s">
        <v>109</v>
      </c>
      <c r="P126" s="1">
        <v>41656</v>
      </c>
      <c r="Q126">
        <v>10.4</v>
      </c>
      <c r="R126" t="s">
        <v>129</v>
      </c>
      <c r="S126" t="s">
        <v>196</v>
      </c>
      <c r="T126" t="s">
        <v>197</v>
      </c>
      <c r="U126">
        <v>0</v>
      </c>
      <c r="V126">
        <v>0</v>
      </c>
      <c r="W126" s="2">
        <v>4739</v>
      </c>
      <c r="X126" s="2">
        <v>0</v>
      </c>
      <c r="Y126" s="2">
        <v>422</v>
      </c>
      <c r="Z126" s="2">
        <v>5161</v>
      </c>
      <c r="AA126">
        <v>519</v>
      </c>
      <c r="AB126" t="s">
        <v>65</v>
      </c>
      <c r="AC126">
        <v>16.399999999999999</v>
      </c>
      <c r="AD126">
        <v>71</v>
      </c>
      <c r="AE126">
        <v>66</v>
      </c>
      <c r="AF126" t="s">
        <v>66</v>
      </c>
      <c r="AG126">
        <v>31</v>
      </c>
      <c r="AH126" t="s">
        <v>67</v>
      </c>
      <c r="AI126" t="s">
        <v>152</v>
      </c>
      <c r="AJ126" t="s">
        <v>72</v>
      </c>
      <c r="AK126" t="s">
        <v>71</v>
      </c>
      <c r="AL126" t="s">
        <v>70</v>
      </c>
      <c r="AM126" t="s">
        <v>70</v>
      </c>
      <c r="AN126" t="s">
        <v>115</v>
      </c>
      <c r="AO126" t="s">
        <v>287</v>
      </c>
      <c r="AP126" t="s">
        <v>72</v>
      </c>
      <c r="AQ126" t="s">
        <v>74</v>
      </c>
      <c r="AR126" s="1">
        <v>45585</v>
      </c>
      <c r="AS126" t="s">
        <v>137</v>
      </c>
      <c r="AT126" t="s">
        <v>71</v>
      </c>
      <c r="AU126">
        <v>747</v>
      </c>
      <c r="AV126" t="s">
        <v>76</v>
      </c>
      <c r="AW126" s="3">
        <v>61932</v>
      </c>
      <c r="AX126" t="s">
        <v>805</v>
      </c>
      <c r="AY126" t="s">
        <v>806</v>
      </c>
      <c r="AZ126" t="s">
        <v>76</v>
      </c>
      <c r="BA126" t="s">
        <v>800</v>
      </c>
      <c r="BB126" t="s">
        <v>801</v>
      </c>
      <c r="BC126" t="s">
        <v>802</v>
      </c>
      <c r="BD126" s="3">
        <v>0.10056190660724666</v>
      </c>
      <c r="BE126">
        <v>591.4</v>
      </c>
      <c r="BG126" s="2">
        <f t="shared" si="4"/>
        <v>61932</v>
      </c>
      <c r="BH126" t="str" cm="1">
        <f t="array" ref="BH126">_xlfn.IFS(Q126&lt;5,"0-5 Years",Q126&lt;10,"5-10 Years",Q126&lt;15,"10-15 Years",TRUE,"15+ Years")</f>
        <v>10-15 Years</v>
      </c>
      <c r="BI126" t="str" cm="1">
        <f t="array" ref="BI126">_xlfn.IFS(AA126&gt;=540,"A",AA126&gt;=480,"B",AA126&gt;=420,"C",AA126&gt;=360,"D",TRUE,"F")</f>
        <v>B</v>
      </c>
      <c r="BJ126" t="str" cm="1">
        <f t="array" ref="BJ126">_xlfn.IFS(AU126&lt;0,"Separated",AU126&lt;=90,"High Risk",AU126&lt;=180,"Medium Risk",TRUE,"Retained")</f>
        <v>Retained</v>
      </c>
      <c r="BK126" t="str" cm="1">
        <f t="array" ref="BK126">_xlfn.IFS(V126=0,"No Combat",V126=1,"1 Tour",V126=2,"2 Tours",TRUE,"3+ Tours")</f>
        <v>No Combat</v>
      </c>
      <c r="BL126" t="str">
        <f t="shared" si="5"/>
        <v>Standard</v>
      </c>
      <c r="BM126" t="str">
        <f t="shared" si="6"/>
        <v>Not Ready</v>
      </c>
      <c r="BN126" s="3">
        <f t="shared" si="7"/>
        <v>0.10056190660724666</v>
      </c>
      <c r="BO126">
        <f t="shared" si="8"/>
        <v>591.4</v>
      </c>
    </row>
    <row r="127" spans="1:67" x14ac:dyDescent="0.25">
      <c r="A127" t="s">
        <v>413</v>
      </c>
      <c r="B127" t="s">
        <v>267</v>
      </c>
      <c r="C127" t="s">
        <v>200</v>
      </c>
      <c r="D127" t="s">
        <v>51</v>
      </c>
      <c r="E127">
        <v>19</v>
      </c>
      <c r="F127" t="s">
        <v>123</v>
      </c>
      <c r="G127" t="s">
        <v>301</v>
      </c>
      <c r="H127" t="s">
        <v>302</v>
      </c>
      <c r="I127" t="s">
        <v>144</v>
      </c>
      <c r="J127" t="s">
        <v>145</v>
      </c>
      <c r="K127" t="s">
        <v>146</v>
      </c>
      <c r="L127" t="s">
        <v>174</v>
      </c>
      <c r="M127" t="s">
        <v>107</v>
      </c>
      <c r="N127" t="s">
        <v>128</v>
      </c>
      <c r="O127" t="s">
        <v>109</v>
      </c>
      <c r="P127" s="1">
        <v>41072</v>
      </c>
      <c r="Q127">
        <v>12</v>
      </c>
      <c r="R127" t="s">
        <v>195</v>
      </c>
      <c r="S127" t="s">
        <v>63</v>
      </c>
      <c r="T127" t="s">
        <v>64</v>
      </c>
      <c r="U127">
        <v>0</v>
      </c>
      <c r="V127">
        <v>0</v>
      </c>
      <c r="W127" s="2">
        <v>4188</v>
      </c>
      <c r="X127" s="2">
        <v>2069</v>
      </c>
      <c r="Y127" s="2">
        <v>266</v>
      </c>
      <c r="Z127" s="2">
        <v>6523</v>
      </c>
      <c r="AA127">
        <v>521</v>
      </c>
      <c r="AB127" t="s">
        <v>65</v>
      </c>
      <c r="AC127">
        <v>18.600000000000001</v>
      </c>
      <c r="AD127">
        <v>43</v>
      </c>
      <c r="AE127">
        <v>75</v>
      </c>
      <c r="AF127" t="s">
        <v>66</v>
      </c>
      <c r="AG127">
        <v>19</v>
      </c>
      <c r="AH127" t="s">
        <v>113</v>
      </c>
      <c r="AI127" t="s">
        <v>95</v>
      </c>
      <c r="AJ127" t="s">
        <v>96</v>
      </c>
      <c r="AK127" t="s">
        <v>70</v>
      </c>
      <c r="AL127" t="s">
        <v>70</v>
      </c>
      <c r="AM127" t="s">
        <v>71</v>
      </c>
      <c r="AN127" t="s">
        <v>133</v>
      </c>
      <c r="AO127" t="s">
        <v>72</v>
      </c>
      <c r="AP127" t="s">
        <v>135</v>
      </c>
      <c r="AQ127" t="s">
        <v>117</v>
      </c>
      <c r="AR127" s="1">
        <v>44261</v>
      </c>
      <c r="AS127" t="s">
        <v>118</v>
      </c>
      <c r="AT127" t="s">
        <v>71</v>
      </c>
      <c r="AU127">
        <v>-62</v>
      </c>
      <c r="AV127" t="s">
        <v>179</v>
      </c>
      <c r="AW127" s="3">
        <v>78276</v>
      </c>
      <c r="AX127" t="s">
        <v>805</v>
      </c>
      <c r="AY127" t="s">
        <v>806</v>
      </c>
      <c r="AZ127" t="s">
        <v>810</v>
      </c>
      <c r="BA127" t="s">
        <v>800</v>
      </c>
      <c r="BB127" t="s">
        <v>801</v>
      </c>
      <c r="BC127" t="s">
        <v>802</v>
      </c>
      <c r="BD127" s="3">
        <v>7.9871224896520002E-2</v>
      </c>
      <c r="BE127">
        <v>579.4</v>
      </c>
      <c r="BG127" s="2">
        <f t="shared" si="4"/>
        <v>78276</v>
      </c>
      <c r="BH127" t="str" cm="1">
        <f t="array" ref="BH127">_xlfn.IFS(Q127&lt;5,"0-5 Years",Q127&lt;10,"5-10 Years",Q127&lt;15,"10-15 Years",TRUE,"15+ Years")</f>
        <v>10-15 Years</v>
      </c>
      <c r="BI127" t="str" cm="1">
        <f t="array" ref="BI127">_xlfn.IFS(AA127&gt;=540,"A",AA127&gt;=480,"B",AA127&gt;=420,"C",AA127&gt;=360,"D",TRUE,"F")</f>
        <v>B</v>
      </c>
      <c r="BJ127" t="str" cm="1">
        <f t="array" ref="BJ127">_xlfn.IFS(AU127&lt;0,"Separated",AU127&lt;=90,"High Risk",AU127&lt;=180,"Medium Risk",TRUE,"Retained")</f>
        <v>Separated</v>
      </c>
      <c r="BK127" t="str" cm="1">
        <f t="array" ref="BK127">_xlfn.IFS(V127=0,"No Combat",V127=1,"1 Tour",V127=2,"2 Tours",TRUE,"3+ Tours")</f>
        <v>No Combat</v>
      </c>
      <c r="BL127" t="str">
        <f t="shared" si="5"/>
        <v>Standard</v>
      </c>
      <c r="BM127" t="str">
        <f t="shared" si="6"/>
        <v>Not Ready</v>
      </c>
      <c r="BN127" s="3">
        <f t="shared" si="7"/>
        <v>7.9871224896520002E-2</v>
      </c>
      <c r="BO127">
        <f t="shared" si="8"/>
        <v>579.4</v>
      </c>
    </row>
    <row r="128" spans="1:67" x14ac:dyDescent="0.25">
      <c r="A128" t="s">
        <v>414</v>
      </c>
      <c r="B128" t="s">
        <v>263</v>
      </c>
      <c r="C128" t="s">
        <v>155</v>
      </c>
      <c r="D128" t="s">
        <v>51</v>
      </c>
      <c r="E128">
        <v>44</v>
      </c>
      <c r="F128" t="s">
        <v>241</v>
      </c>
      <c r="G128" t="s">
        <v>81</v>
      </c>
      <c r="H128" t="s">
        <v>82</v>
      </c>
      <c r="I128" t="s">
        <v>236</v>
      </c>
      <c r="J128" t="s">
        <v>237</v>
      </c>
      <c r="K128" t="s">
        <v>238</v>
      </c>
      <c r="L128" t="s">
        <v>126</v>
      </c>
      <c r="M128" t="s">
        <v>107</v>
      </c>
      <c r="N128" t="s">
        <v>162</v>
      </c>
      <c r="O128" t="s">
        <v>149</v>
      </c>
      <c r="P128" s="1">
        <v>44224</v>
      </c>
      <c r="Q128">
        <v>3.3</v>
      </c>
      <c r="R128" t="s">
        <v>75</v>
      </c>
      <c r="S128" t="s">
        <v>110</v>
      </c>
      <c r="T128" t="s">
        <v>111</v>
      </c>
      <c r="U128">
        <v>3</v>
      </c>
      <c r="V128">
        <v>0</v>
      </c>
      <c r="W128" s="2">
        <v>2504</v>
      </c>
      <c r="X128" s="2">
        <v>0</v>
      </c>
      <c r="Y128" s="2">
        <v>422</v>
      </c>
      <c r="Z128" s="2">
        <v>2926</v>
      </c>
      <c r="AA128">
        <v>591</v>
      </c>
      <c r="AB128" t="s">
        <v>65</v>
      </c>
      <c r="AC128">
        <v>20.399999999999999</v>
      </c>
      <c r="AD128">
        <v>73</v>
      </c>
      <c r="AE128">
        <v>73</v>
      </c>
      <c r="AF128" t="s">
        <v>66</v>
      </c>
      <c r="AG128">
        <v>40</v>
      </c>
      <c r="AH128" t="s">
        <v>94</v>
      </c>
      <c r="AI128" t="s">
        <v>95</v>
      </c>
      <c r="AJ128" t="s">
        <v>72</v>
      </c>
      <c r="AK128" t="s">
        <v>71</v>
      </c>
      <c r="AL128" t="s">
        <v>70</v>
      </c>
      <c r="AM128" t="s">
        <v>70</v>
      </c>
      <c r="AN128" t="s">
        <v>202</v>
      </c>
      <c r="AO128" t="s">
        <v>287</v>
      </c>
      <c r="AP128" t="s">
        <v>72</v>
      </c>
      <c r="AQ128" t="s">
        <v>98</v>
      </c>
      <c r="AR128" s="1">
        <v>44459</v>
      </c>
      <c r="AS128" t="s">
        <v>118</v>
      </c>
      <c r="AT128" t="s">
        <v>71</v>
      </c>
      <c r="AU128">
        <v>-76</v>
      </c>
      <c r="AV128" t="s">
        <v>179</v>
      </c>
      <c r="AW128" s="3">
        <v>35112</v>
      </c>
      <c r="AX128" t="s">
        <v>803</v>
      </c>
      <c r="AY128" t="s">
        <v>799</v>
      </c>
      <c r="AZ128" t="s">
        <v>810</v>
      </c>
      <c r="BA128" t="s">
        <v>800</v>
      </c>
      <c r="BB128" t="s">
        <v>801</v>
      </c>
      <c r="BC128" t="s">
        <v>802</v>
      </c>
      <c r="BD128" s="3">
        <v>0.20198222829801776</v>
      </c>
      <c r="BE128">
        <v>681.4</v>
      </c>
      <c r="BG128" s="2">
        <f t="shared" si="4"/>
        <v>35112</v>
      </c>
      <c r="BH128" t="str" cm="1">
        <f t="array" ref="BH128">_xlfn.IFS(Q128&lt;5,"0-5 Years",Q128&lt;10,"5-10 Years",Q128&lt;15,"10-15 Years",TRUE,"15+ Years")</f>
        <v>0-5 Years</v>
      </c>
      <c r="BI128" t="str" cm="1">
        <f t="array" ref="BI128">_xlfn.IFS(AA128&gt;=540,"A",AA128&gt;=480,"B",AA128&gt;=420,"C",AA128&gt;=360,"D",TRUE,"F")</f>
        <v>A</v>
      </c>
      <c r="BJ128" t="str" cm="1">
        <f t="array" ref="BJ128">_xlfn.IFS(AU128&lt;0,"Separated",AU128&lt;=90,"High Risk",AU128&lt;=180,"Medium Risk",TRUE,"Retained")</f>
        <v>Separated</v>
      </c>
      <c r="BK128" t="str" cm="1">
        <f t="array" ref="BK128">_xlfn.IFS(V128=0,"No Combat",V128=1,"1 Tour",V128=2,"2 Tours",TRUE,"3+ Tours")</f>
        <v>No Combat</v>
      </c>
      <c r="BL128" t="str">
        <f t="shared" si="5"/>
        <v>Standard</v>
      </c>
      <c r="BM128" t="str">
        <f t="shared" si="6"/>
        <v>Not Ready</v>
      </c>
      <c r="BN128" s="3">
        <f t="shared" si="7"/>
        <v>0.20198222829801776</v>
      </c>
      <c r="BO128">
        <f t="shared" si="8"/>
        <v>681.4</v>
      </c>
    </row>
    <row r="129" spans="1:67" x14ac:dyDescent="0.25">
      <c r="A129" t="s">
        <v>415</v>
      </c>
      <c r="B129" t="s">
        <v>100</v>
      </c>
      <c r="C129" t="s">
        <v>240</v>
      </c>
      <c r="D129" t="s">
        <v>122</v>
      </c>
      <c r="E129">
        <v>39</v>
      </c>
      <c r="F129" t="s">
        <v>192</v>
      </c>
      <c r="G129" t="s">
        <v>215</v>
      </c>
      <c r="H129" t="s">
        <v>216</v>
      </c>
      <c r="I129" t="s">
        <v>103</v>
      </c>
      <c r="J129" t="s">
        <v>104</v>
      </c>
      <c r="K129" t="s">
        <v>105</v>
      </c>
      <c r="L129" t="s">
        <v>126</v>
      </c>
      <c r="M129" t="s">
        <v>212</v>
      </c>
      <c r="N129" t="s">
        <v>148</v>
      </c>
      <c r="O129" t="s">
        <v>149</v>
      </c>
      <c r="P129" s="1">
        <v>40594</v>
      </c>
      <c r="Q129">
        <v>13.3</v>
      </c>
      <c r="R129" t="s">
        <v>62</v>
      </c>
      <c r="S129" t="s">
        <v>91</v>
      </c>
      <c r="T129" t="s">
        <v>92</v>
      </c>
      <c r="U129">
        <v>10</v>
      </c>
      <c r="V129">
        <v>1</v>
      </c>
      <c r="W129" s="2">
        <v>3637</v>
      </c>
      <c r="X129" s="2">
        <v>1402</v>
      </c>
      <c r="Y129" s="2">
        <v>266</v>
      </c>
      <c r="Z129" s="2">
        <v>5305</v>
      </c>
      <c r="AA129">
        <v>598</v>
      </c>
      <c r="AB129" t="s">
        <v>65</v>
      </c>
      <c r="AC129">
        <v>19.3</v>
      </c>
      <c r="AD129">
        <v>28</v>
      </c>
      <c r="AE129">
        <v>56</v>
      </c>
      <c r="AF129" t="s">
        <v>112</v>
      </c>
      <c r="AG129">
        <v>38</v>
      </c>
      <c r="AH129" t="s">
        <v>94</v>
      </c>
      <c r="AI129" t="s">
        <v>114</v>
      </c>
      <c r="AJ129" t="s">
        <v>188</v>
      </c>
      <c r="AK129" t="s">
        <v>70</v>
      </c>
      <c r="AL129" t="s">
        <v>70</v>
      </c>
      <c r="AM129" t="s">
        <v>70</v>
      </c>
      <c r="AN129" t="s">
        <v>243</v>
      </c>
      <c r="AO129" t="s">
        <v>203</v>
      </c>
      <c r="AP129" t="s">
        <v>72</v>
      </c>
      <c r="AQ129" t="s">
        <v>98</v>
      </c>
      <c r="AR129" s="1">
        <v>45150</v>
      </c>
      <c r="AS129" t="s">
        <v>75</v>
      </c>
      <c r="AT129" t="s">
        <v>71</v>
      </c>
      <c r="AU129">
        <v>1467</v>
      </c>
      <c r="AV129" t="s">
        <v>76</v>
      </c>
      <c r="AW129" s="3">
        <v>63660</v>
      </c>
      <c r="AX129" t="s">
        <v>805</v>
      </c>
      <c r="AY129" t="s">
        <v>799</v>
      </c>
      <c r="AZ129" t="s">
        <v>76</v>
      </c>
      <c r="BA129" t="s">
        <v>807</v>
      </c>
      <c r="BB129" t="s">
        <v>801</v>
      </c>
      <c r="BC129" t="s">
        <v>802</v>
      </c>
      <c r="BD129" s="3">
        <v>0.11272384542884072</v>
      </c>
      <c r="BE129">
        <v>674.4</v>
      </c>
      <c r="BG129" s="2">
        <f t="shared" si="4"/>
        <v>63660</v>
      </c>
      <c r="BH129" t="str" cm="1">
        <f t="array" ref="BH129">_xlfn.IFS(Q129&lt;5,"0-5 Years",Q129&lt;10,"5-10 Years",Q129&lt;15,"10-15 Years",TRUE,"15+ Years")</f>
        <v>10-15 Years</v>
      </c>
      <c r="BI129" t="str" cm="1">
        <f t="array" ref="BI129">_xlfn.IFS(AA129&gt;=540,"A",AA129&gt;=480,"B",AA129&gt;=420,"C",AA129&gt;=360,"D",TRUE,"F")</f>
        <v>A</v>
      </c>
      <c r="BJ129" t="str" cm="1">
        <f t="array" ref="BJ129">_xlfn.IFS(AU129&lt;0,"Separated",AU129&lt;=90,"High Risk",AU129&lt;=180,"Medium Risk",TRUE,"Retained")</f>
        <v>Retained</v>
      </c>
      <c r="BK129" t="str" cm="1">
        <f t="array" ref="BK129">_xlfn.IFS(V129=0,"No Combat",V129=1,"1 Tour",V129=2,"2 Tours",TRUE,"3+ Tours")</f>
        <v>1 Tour</v>
      </c>
      <c r="BL129" t="str">
        <f t="shared" si="5"/>
        <v>Standard</v>
      </c>
      <c r="BM129" t="str">
        <f t="shared" si="6"/>
        <v>Not Ready</v>
      </c>
      <c r="BN129" s="3">
        <f t="shared" si="7"/>
        <v>0.11272384542884072</v>
      </c>
      <c r="BO129">
        <f t="shared" si="8"/>
        <v>674.4</v>
      </c>
    </row>
    <row r="130" spans="1:67" x14ac:dyDescent="0.25">
      <c r="A130" t="s">
        <v>416</v>
      </c>
      <c r="B130" t="s">
        <v>245</v>
      </c>
      <c r="C130" t="s">
        <v>240</v>
      </c>
      <c r="D130" t="s">
        <v>122</v>
      </c>
      <c r="E130">
        <v>29</v>
      </c>
      <c r="F130" t="s">
        <v>278</v>
      </c>
      <c r="G130" t="s">
        <v>142</v>
      </c>
      <c r="H130" t="s">
        <v>143</v>
      </c>
      <c r="I130" t="s">
        <v>236</v>
      </c>
      <c r="J130" t="s">
        <v>237</v>
      </c>
      <c r="K130" t="s">
        <v>238</v>
      </c>
      <c r="L130" t="s">
        <v>126</v>
      </c>
      <c r="M130" t="s">
        <v>296</v>
      </c>
      <c r="N130" t="s">
        <v>148</v>
      </c>
      <c r="O130" t="s">
        <v>89</v>
      </c>
      <c r="P130" s="1">
        <v>38560</v>
      </c>
      <c r="Q130">
        <v>18.8</v>
      </c>
      <c r="R130" t="s">
        <v>129</v>
      </c>
      <c r="S130" t="s">
        <v>91</v>
      </c>
      <c r="T130" t="s">
        <v>92</v>
      </c>
      <c r="U130">
        <v>4</v>
      </c>
      <c r="V130">
        <v>0</v>
      </c>
      <c r="W130" s="2">
        <v>5473</v>
      </c>
      <c r="X130" s="2">
        <v>0</v>
      </c>
      <c r="Y130" s="2">
        <v>422</v>
      </c>
      <c r="Z130" s="2">
        <v>5895</v>
      </c>
      <c r="AA130">
        <v>372</v>
      </c>
      <c r="AB130" t="s">
        <v>65</v>
      </c>
      <c r="AC130">
        <v>14.2</v>
      </c>
      <c r="AD130">
        <v>68</v>
      </c>
      <c r="AE130">
        <v>80</v>
      </c>
      <c r="AF130" t="s">
        <v>112</v>
      </c>
      <c r="AG130">
        <v>37</v>
      </c>
      <c r="AH130" t="s">
        <v>94</v>
      </c>
      <c r="AI130" t="s">
        <v>177</v>
      </c>
      <c r="AJ130" t="s">
        <v>96</v>
      </c>
      <c r="AK130" t="s">
        <v>70</v>
      </c>
      <c r="AL130" t="s">
        <v>70</v>
      </c>
      <c r="AM130" t="s">
        <v>71</v>
      </c>
      <c r="AN130" t="s">
        <v>115</v>
      </c>
      <c r="AO130" t="s">
        <v>134</v>
      </c>
      <c r="AP130" t="s">
        <v>72</v>
      </c>
      <c r="AQ130" t="s">
        <v>136</v>
      </c>
      <c r="AR130" s="1">
        <v>41538</v>
      </c>
      <c r="AS130" t="s">
        <v>118</v>
      </c>
      <c r="AT130" t="s">
        <v>71</v>
      </c>
      <c r="AU130">
        <v>473</v>
      </c>
      <c r="AV130" t="s">
        <v>76</v>
      </c>
      <c r="AW130" s="3">
        <v>70740</v>
      </c>
      <c r="AX130" t="s">
        <v>798</v>
      </c>
      <c r="AY130" t="s">
        <v>809</v>
      </c>
      <c r="AZ130" t="s">
        <v>76</v>
      </c>
      <c r="BA130" t="s">
        <v>800</v>
      </c>
      <c r="BB130" t="s">
        <v>801</v>
      </c>
      <c r="BC130" t="s">
        <v>802</v>
      </c>
      <c r="BD130" s="3">
        <v>6.3104325699745542E-2</v>
      </c>
      <c r="BE130">
        <v>466.4</v>
      </c>
      <c r="BG130" s="2">
        <f t="shared" si="4"/>
        <v>70740</v>
      </c>
      <c r="BH130" t="str" cm="1">
        <f t="array" ref="BH130">_xlfn.IFS(Q130&lt;5,"0-5 Years",Q130&lt;10,"5-10 Years",Q130&lt;15,"10-15 Years",TRUE,"15+ Years")</f>
        <v>15+ Years</v>
      </c>
      <c r="BI130" t="str" cm="1">
        <f t="array" ref="BI130">_xlfn.IFS(AA130&gt;=540,"A",AA130&gt;=480,"B",AA130&gt;=420,"C",AA130&gt;=360,"D",TRUE,"F")</f>
        <v>D</v>
      </c>
      <c r="BJ130" t="str" cm="1">
        <f t="array" ref="BJ130">_xlfn.IFS(AU130&lt;0,"Separated",AU130&lt;=90,"High Risk",AU130&lt;=180,"Medium Risk",TRUE,"Retained")</f>
        <v>Retained</v>
      </c>
      <c r="BK130" t="str" cm="1">
        <f t="array" ref="BK130">_xlfn.IFS(V130=0,"No Combat",V130=1,"1 Tour",V130=2,"2 Tours",TRUE,"3+ Tours")</f>
        <v>No Combat</v>
      </c>
      <c r="BL130" t="str">
        <f t="shared" si="5"/>
        <v>Standard</v>
      </c>
      <c r="BM130" t="str">
        <f t="shared" si="6"/>
        <v>Not Ready</v>
      </c>
      <c r="BN130" s="3">
        <f t="shared" si="7"/>
        <v>6.3104325699745542E-2</v>
      </c>
      <c r="BO130">
        <f t="shared" si="8"/>
        <v>466.4</v>
      </c>
    </row>
    <row r="131" spans="1:67" x14ac:dyDescent="0.25">
      <c r="A131" t="s">
        <v>417</v>
      </c>
      <c r="B131" t="s">
        <v>78</v>
      </c>
      <c r="C131" t="s">
        <v>191</v>
      </c>
      <c r="D131" t="s">
        <v>51</v>
      </c>
      <c r="E131">
        <v>39</v>
      </c>
      <c r="F131" t="s">
        <v>325</v>
      </c>
      <c r="G131" t="s">
        <v>156</v>
      </c>
      <c r="H131" t="s">
        <v>157</v>
      </c>
      <c r="I131" t="s">
        <v>253</v>
      </c>
      <c r="J131" t="s">
        <v>254</v>
      </c>
      <c r="K131" t="s">
        <v>255</v>
      </c>
      <c r="L131" t="s">
        <v>106</v>
      </c>
      <c r="M131" t="s">
        <v>161</v>
      </c>
      <c r="N131" t="s">
        <v>148</v>
      </c>
      <c r="O131" t="s">
        <v>89</v>
      </c>
      <c r="P131" s="1">
        <v>38459</v>
      </c>
      <c r="Q131">
        <v>19.100000000000001</v>
      </c>
      <c r="R131" t="s">
        <v>90</v>
      </c>
      <c r="S131" t="s">
        <v>219</v>
      </c>
      <c r="T131" t="s">
        <v>220</v>
      </c>
      <c r="U131">
        <v>0</v>
      </c>
      <c r="V131">
        <v>0</v>
      </c>
      <c r="W131" s="2">
        <v>4836</v>
      </c>
      <c r="X131" s="2">
        <v>0</v>
      </c>
      <c r="Y131" s="2">
        <v>266</v>
      </c>
      <c r="Z131" s="2">
        <v>5102</v>
      </c>
      <c r="AA131">
        <v>405</v>
      </c>
      <c r="AB131" t="s">
        <v>65</v>
      </c>
      <c r="AC131">
        <v>17.8</v>
      </c>
      <c r="AD131">
        <v>69</v>
      </c>
      <c r="AE131">
        <v>58</v>
      </c>
      <c r="AF131" t="s">
        <v>112</v>
      </c>
      <c r="AG131">
        <v>40</v>
      </c>
      <c r="AH131" t="s">
        <v>94</v>
      </c>
      <c r="AI131" t="s">
        <v>114</v>
      </c>
      <c r="AJ131" t="s">
        <v>188</v>
      </c>
      <c r="AK131" t="s">
        <v>70</v>
      </c>
      <c r="AL131" t="s">
        <v>70</v>
      </c>
      <c r="AM131" t="s">
        <v>70</v>
      </c>
      <c r="AN131" t="s">
        <v>270</v>
      </c>
      <c r="AO131" t="s">
        <v>116</v>
      </c>
      <c r="AP131" t="s">
        <v>116</v>
      </c>
      <c r="AQ131" t="s">
        <v>98</v>
      </c>
      <c r="AR131" s="1">
        <v>41443</v>
      </c>
      <c r="AS131" t="s">
        <v>118</v>
      </c>
      <c r="AT131" t="s">
        <v>71</v>
      </c>
      <c r="AU131">
        <v>-334</v>
      </c>
      <c r="AV131" t="s">
        <v>179</v>
      </c>
      <c r="AW131" s="3">
        <v>61224</v>
      </c>
      <c r="AX131" t="s">
        <v>798</v>
      </c>
      <c r="AY131" t="s">
        <v>809</v>
      </c>
      <c r="AZ131" t="s">
        <v>810</v>
      </c>
      <c r="BA131" t="s">
        <v>800</v>
      </c>
      <c r="BB131" t="s">
        <v>801</v>
      </c>
      <c r="BC131" t="s">
        <v>802</v>
      </c>
      <c r="BD131" s="3">
        <v>7.9380635045080361E-2</v>
      </c>
      <c r="BE131">
        <v>485.4</v>
      </c>
      <c r="BG131" s="2">
        <f t="shared" ref="BG131:BG194" si="9">Z131*12</f>
        <v>61224</v>
      </c>
      <c r="BH131" t="str" cm="1">
        <f t="array" ref="BH131">_xlfn.IFS(Q131&lt;5,"0-5 Years",Q131&lt;10,"5-10 Years",Q131&lt;15,"10-15 Years",TRUE,"15+ Years")</f>
        <v>15+ Years</v>
      </c>
      <c r="BI131" t="str" cm="1">
        <f t="array" ref="BI131">_xlfn.IFS(AA131&gt;=540,"A",AA131&gt;=480,"B",AA131&gt;=420,"C",AA131&gt;=360,"D",TRUE,"F")</f>
        <v>D</v>
      </c>
      <c r="BJ131" t="str" cm="1">
        <f t="array" ref="BJ131">_xlfn.IFS(AU131&lt;0,"Separated",AU131&lt;=90,"High Risk",AU131&lt;=180,"Medium Risk",TRUE,"Retained")</f>
        <v>Separated</v>
      </c>
      <c r="BK131" t="str" cm="1">
        <f t="array" ref="BK131">_xlfn.IFS(V131=0,"No Combat",V131=1,"1 Tour",V131=2,"2 Tours",TRUE,"3+ Tours")</f>
        <v>No Combat</v>
      </c>
      <c r="BL131" t="str">
        <f t="shared" ref="BL131:BL194" si="10">IF(AND(AA131&gt;=500,AG131&gt;=35,AQ131="Outstanding"),"High Performer","Standard")</f>
        <v>Standard</v>
      </c>
      <c r="BM131" t="str">
        <f t="shared" ref="BM131:BM194" si="11">IF(AND(OR(G131="SGT",G131="SSG",G131="SFC"),AQ131="Outstanding"),"Promotion Ready","Not Ready")</f>
        <v>Not Ready</v>
      </c>
      <c r="BN131" s="3">
        <f t="shared" ref="BN131:BN194" si="12">AA131/Z131</f>
        <v>7.9380635045080361E-2</v>
      </c>
      <c r="BO131">
        <f t="shared" ref="BO131:BO194" si="13">(AA131+0.4)+(AG131*10*0.2)+(IF(AK131="YES",100,0)*0.1)+(IF(AL131="YES",100,0)*0.1)+(IF(AM131="YES",100,0)*0.2)</f>
        <v>485.4</v>
      </c>
    </row>
    <row r="132" spans="1:67" x14ac:dyDescent="0.25">
      <c r="A132" t="s">
        <v>418</v>
      </c>
      <c r="B132" t="s">
        <v>245</v>
      </c>
      <c r="C132" t="s">
        <v>206</v>
      </c>
      <c r="D132" t="s">
        <v>122</v>
      </c>
      <c r="E132">
        <v>20</v>
      </c>
      <c r="F132" t="s">
        <v>283</v>
      </c>
      <c r="G132" t="s">
        <v>242</v>
      </c>
      <c r="H132" t="s">
        <v>54</v>
      </c>
      <c r="I132" t="s">
        <v>273</v>
      </c>
      <c r="J132" t="s">
        <v>274</v>
      </c>
      <c r="K132" t="s">
        <v>57</v>
      </c>
      <c r="L132" t="s">
        <v>58</v>
      </c>
      <c r="M132" t="s">
        <v>87</v>
      </c>
      <c r="N132" t="s">
        <v>128</v>
      </c>
      <c r="O132" t="s">
        <v>176</v>
      </c>
      <c r="P132" s="1">
        <v>38399</v>
      </c>
      <c r="Q132">
        <v>19.3</v>
      </c>
      <c r="R132" t="s">
        <v>90</v>
      </c>
      <c r="S132" t="s">
        <v>110</v>
      </c>
      <c r="T132" t="s">
        <v>111</v>
      </c>
      <c r="U132">
        <v>14</v>
      </c>
      <c r="V132">
        <v>2</v>
      </c>
      <c r="W132" s="2">
        <v>4739</v>
      </c>
      <c r="X132" s="2">
        <v>0</v>
      </c>
      <c r="Y132" s="2">
        <v>422</v>
      </c>
      <c r="Z132" s="2">
        <v>5161</v>
      </c>
      <c r="AA132">
        <v>316</v>
      </c>
      <c r="AB132" t="s">
        <v>151</v>
      </c>
      <c r="AC132">
        <v>13.8</v>
      </c>
      <c r="AD132">
        <v>40</v>
      </c>
      <c r="AE132">
        <v>68</v>
      </c>
      <c r="AF132" t="s">
        <v>112</v>
      </c>
      <c r="AG132">
        <v>31</v>
      </c>
      <c r="AH132" t="s">
        <v>67</v>
      </c>
      <c r="AI132" t="s">
        <v>114</v>
      </c>
      <c r="AJ132" t="s">
        <v>96</v>
      </c>
      <c r="AK132" t="s">
        <v>70</v>
      </c>
      <c r="AL132" t="s">
        <v>71</v>
      </c>
      <c r="AM132" t="s">
        <v>70</v>
      </c>
      <c r="AN132" t="s">
        <v>231</v>
      </c>
      <c r="AO132" t="s">
        <v>72</v>
      </c>
      <c r="AP132" t="s">
        <v>221</v>
      </c>
      <c r="AQ132" t="s">
        <v>136</v>
      </c>
      <c r="AR132" s="1">
        <v>39106</v>
      </c>
      <c r="AS132" t="s">
        <v>198</v>
      </c>
      <c r="AT132" t="s">
        <v>71</v>
      </c>
      <c r="AU132">
        <v>931</v>
      </c>
      <c r="AV132" t="s">
        <v>76</v>
      </c>
      <c r="AW132" s="3">
        <v>61932</v>
      </c>
      <c r="AX132" t="s">
        <v>798</v>
      </c>
      <c r="AY132" t="s">
        <v>122</v>
      </c>
      <c r="AZ132" t="s">
        <v>76</v>
      </c>
      <c r="BA132" t="s">
        <v>811</v>
      </c>
      <c r="BB132" t="s">
        <v>801</v>
      </c>
      <c r="BC132" t="s">
        <v>802</v>
      </c>
      <c r="BD132" s="3">
        <v>6.1228444099980621E-2</v>
      </c>
      <c r="BE132">
        <v>388.4</v>
      </c>
      <c r="BG132" s="2">
        <f t="shared" si="9"/>
        <v>61932</v>
      </c>
      <c r="BH132" t="str" cm="1">
        <f t="array" ref="BH132">_xlfn.IFS(Q132&lt;5,"0-5 Years",Q132&lt;10,"5-10 Years",Q132&lt;15,"10-15 Years",TRUE,"15+ Years")</f>
        <v>15+ Years</v>
      </c>
      <c r="BI132" t="str" cm="1">
        <f t="array" ref="BI132">_xlfn.IFS(AA132&gt;=540,"A",AA132&gt;=480,"B",AA132&gt;=420,"C",AA132&gt;=360,"D",TRUE,"F")</f>
        <v>F</v>
      </c>
      <c r="BJ132" t="str" cm="1">
        <f t="array" ref="BJ132">_xlfn.IFS(AU132&lt;0,"Separated",AU132&lt;=90,"High Risk",AU132&lt;=180,"Medium Risk",TRUE,"Retained")</f>
        <v>Retained</v>
      </c>
      <c r="BK132" t="str" cm="1">
        <f t="array" ref="BK132">_xlfn.IFS(V132=0,"No Combat",V132=1,"1 Tour",V132=2,"2 Tours",TRUE,"3+ Tours")</f>
        <v>2 Tours</v>
      </c>
      <c r="BL132" t="str">
        <f t="shared" si="10"/>
        <v>Standard</v>
      </c>
      <c r="BM132" t="str">
        <f t="shared" si="11"/>
        <v>Not Ready</v>
      </c>
      <c r="BN132" s="3">
        <f t="shared" si="12"/>
        <v>6.1228444099980621E-2</v>
      </c>
      <c r="BO132">
        <f t="shared" si="13"/>
        <v>388.4</v>
      </c>
    </row>
    <row r="133" spans="1:67" x14ac:dyDescent="0.25">
      <c r="A133" t="s">
        <v>419</v>
      </c>
      <c r="B133" t="s">
        <v>210</v>
      </c>
      <c r="C133" t="s">
        <v>155</v>
      </c>
      <c r="D133" t="s">
        <v>51</v>
      </c>
      <c r="E133">
        <v>44</v>
      </c>
      <c r="F133" t="s">
        <v>248</v>
      </c>
      <c r="G133" t="s">
        <v>215</v>
      </c>
      <c r="H133" t="s">
        <v>216</v>
      </c>
      <c r="I133" t="s">
        <v>83</v>
      </c>
      <c r="J133" t="s">
        <v>84</v>
      </c>
      <c r="K133" t="s">
        <v>85</v>
      </c>
      <c r="L133" t="s">
        <v>86</v>
      </c>
      <c r="M133" t="s">
        <v>207</v>
      </c>
      <c r="N133" t="s">
        <v>108</v>
      </c>
      <c r="O133" t="s">
        <v>61</v>
      </c>
      <c r="P133" s="1">
        <v>42698</v>
      </c>
      <c r="Q133">
        <v>7.5</v>
      </c>
      <c r="R133" t="s">
        <v>75</v>
      </c>
      <c r="S133" t="s">
        <v>91</v>
      </c>
      <c r="T133" t="s">
        <v>92</v>
      </c>
      <c r="U133">
        <v>0</v>
      </c>
      <c r="V133">
        <v>0</v>
      </c>
      <c r="W133" s="2">
        <v>3637</v>
      </c>
      <c r="X133" s="2">
        <v>1034</v>
      </c>
      <c r="Y133" s="2">
        <v>266</v>
      </c>
      <c r="Z133" s="2">
        <v>4937</v>
      </c>
      <c r="AA133">
        <v>414</v>
      </c>
      <c r="AB133" t="s">
        <v>65</v>
      </c>
      <c r="AC133">
        <v>16.3</v>
      </c>
      <c r="AD133">
        <v>77</v>
      </c>
      <c r="AE133">
        <v>71</v>
      </c>
      <c r="AF133" t="s">
        <v>66</v>
      </c>
      <c r="AG133">
        <v>37</v>
      </c>
      <c r="AH133" t="s">
        <v>94</v>
      </c>
      <c r="AI133" t="s">
        <v>152</v>
      </c>
      <c r="AJ133" t="s">
        <v>96</v>
      </c>
      <c r="AK133" t="s">
        <v>70</v>
      </c>
      <c r="AL133" t="s">
        <v>71</v>
      </c>
      <c r="AM133" t="s">
        <v>70</v>
      </c>
      <c r="AN133" t="s">
        <v>243</v>
      </c>
      <c r="AO133" t="s">
        <v>221</v>
      </c>
      <c r="AP133" t="s">
        <v>72</v>
      </c>
      <c r="AQ133" t="s">
        <v>136</v>
      </c>
      <c r="AR133" s="1">
        <v>45038</v>
      </c>
      <c r="AS133" t="s">
        <v>198</v>
      </c>
      <c r="AT133" t="s">
        <v>71</v>
      </c>
      <c r="AU133">
        <v>288</v>
      </c>
      <c r="AV133" t="s">
        <v>76</v>
      </c>
      <c r="AW133" s="3">
        <v>59244</v>
      </c>
      <c r="AX133" t="s">
        <v>808</v>
      </c>
      <c r="AY133" t="s">
        <v>809</v>
      </c>
      <c r="AZ133" t="s">
        <v>76</v>
      </c>
      <c r="BA133" t="s">
        <v>800</v>
      </c>
      <c r="BB133" t="s">
        <v>801</v>
      </c>
      <c r="BC133" t="s">
        <v>802</v>
      </c>
      <c r="BD133" s="3">
        <v>8.3856593072716229E-2</v>
      </c>
      <c r="BE133">
        <v>498.4</v>
      </c>
      <c r="BG133" s="2">
        <f t="shared" si="9"/>
        <v>59244</v>
      </c>
      <c r="BH133" t="str" cm="1">
        <f t="array" ref="BH133">_xlfn.IFS(Q133&lt;5,"0-5 Years",Q133&lt;10,"5-10 Years",Q133&lt;15,"10-15 Years",TRUE,"15+ Years")</f>
        <v>5-10 Years</v>
      </c>
      <c r="BI133" t="str" cm="1">
        <f t="array" ref="BI133">_xlfn.IFS(AA133&gt;=540,"A",AA133&gt;=480,"B",AA133&gt;=420,"C",AA133&gt;=360,"D",TRUE,"F")</f>
        <v>D</v>
      </c>
      <c r="BJ133" t="str" cm="1">
        <f t="array" ref="BJ133">_xlfn.IFS(AU133&lt;0,"Separated",AU133&lt;=90,"High Risk",AU133&lt;=180,"Medium Risk",TRUE,"Retained")</f>
        <v>Retained</v>
      </c>
      <c r="BK133" t="str" cm="1">
        <f t="array" ref="BK133">_xlfn.IFS(V133=0,"No Combat",V133=1,"1 Tour",V133=2,"2 Tours",TRUE,"3+ Tours")</f>
        <v>No Combat</v>
      </c>
      <c r="BL133" t="str">
        <f t="shared" si="10"/>
        <v>Standard</v>
      </c>
      <c r="BM133" t="str">
        <f t="shared" si="11"/>
        <v>Not Ready</v>
      </c>
      <c r="BN133" s="3">
        <f t="shared" si="12"/>
        <v>8.3856593072716229E-2</v>
      </c>
      <c r="BO133">
        <f t="shared" si="13"/>
        <v>498.4</v>
      </c>
    </row>
    <row r="134" spans="1:67" x14ac:dyDescent="0.25">
      <c r="A134" t="s">
        <v>420</v>
      </c>
      <c r="B134" t="s">
        <v>277</v>
      </c>
      <c r="C134" t="s">
        <v>79</v>
      </c>
      <c r="D134" t="s">
        <v>51</v>
      </c>
      <c r="E134">
        <v>19</v>
      </c>
      <c r="F134" t="s">
        <v>123</v>
      </c>
      <c r="G134" t="s">
        <v>101</v>
      </c>
      <c r="H134" t="s">
        <v>102</v>
      </c>
      <c r="I134" t="s">
        <v>292</v>
      </c>
      <c r="J134" t="s">
        <v>293</v>
      </c>
      <c r="K134" t="s">
        <v>294</v>
      </c>
      <c r="L134" t="s">
        <v>201</v>
      </c>
      <c r="M134" t="s">
        <v>147</v>
      </c>
      <c r="N134" t="s">
        <v>60</v>
      </c>
      <c r="O134" t="s">
        <v>89</v>
      </c>
      <c r="P134" s="1">
        <v>40079</v>
      </c>
      <c r="Q134">
        <v>14.7</v>
      </c>
      <c r="R134" t="s">
        <v>75</v>
      </c>
      <c r="S134" t="s">
        <v>219</v>
      </c>
      <c r="T134" t="s">
        <v>220</v>
      </c>
      <c r="U134">
        <v>0</v>
      </c>
      <c r="V134">
        <v>0</v>
      </c>
      <c r="W134" s="2">
        <v>2980</v>
      </c>
      <c r="X134" s="2">
        <v>0</v>
      </c>
      <c r="Y134" s="2">
        <v>422</v>
      </c>
      <c r="Z134" s="2">
        <v>3402</v>
      </c>
      <c r="AA134">
        <v>395</v>
      </c>
      <c r="AB134" t="s">
        <v>65</v>
      </c>
      <c r="AC134">
        <v>19.899999999999999</v>
      </c>
      <c r="AD134">
        <v>47</v>
      </c>
      <c r="AE134">
        <v>36</v>
      </c>
      <c r="AF134" t="s">
        <v>132</v>
      </c>
      <c r="AG134">
        <v>36</v>
      </c>
      <c r="AH134" t="s">
        <v>94</v>
      </c>
      <c r="AI134" t="s">
        <v>68</v>
      </c>
      <c r="AJ134" t="s">
        <v>96</v>
      </c>
      <c r="AK134" t="s">
        <v>71</v>
      </c>
      <c r="AL134" t="s">
        <v>71</v>
      </c>
      <c r="AM134" t="s">
        <v>71</v>
      </c>
      <c r="AN134" t="s">
        <v>202</v>
      </c>
      <c r="AO134" t="s">
        <v>97</v>
      </c>
      <c r="AP134" t="s">
        <v>178</v>
      </c>
      <c r="AQ134" t="s">
        <v>136</v>
      </c>
      <c r="AR134" s="1">
        <v>41932</v>
      </c>
      <c r="AS134" t="s">
        <v>137</v>
      </c>
      <c r="AT134" t="s">
        <v>71</v>
      </c>
      <c r="AU134">
        <v>1169</v>
      </c>
      <c r="AV134" t="s">
        <v>76</v>
      </c>
      <c r="AW134" s="3">
        <v>40824</v>
      </c>
      <c r="AX134" t="s">
        <v>805</v>
      </c>
      <c r="AY134" t="s">
        <v>809</v>
      </c>
      <c r="AZ134" t="s">
        <v>76</v>
      </c>
      <c r="BA134" t="s">
        <v>800</v>
      </c>
      <c r="BB134" t="s">
        <v>801</v>
      </c>
      <c r="BC134" t="s">
        <v>802</v>
      </c>
      <c r="BD134" s="3">
        <v>0.11610817166372722</v>
      </c>
      <c r="BE134">
        <v>507.4</v>
      </c>
      <c r="BG134" s="2">
        <f t="shared" si="9"/>
        <v>40824</v>
      </c>
      <c r="BH134" t="str" cm="1">
        <f t="array" ref="BH134">_xlfn.IFS(Q134&lt;5,"0-5 Years",Q134&lt;10,"5-10 Years",Q134&lt;15,"10-15 Years",TRUE,"15+ Years")</f>
        <v>10-15 Years</v>
      </c>
      <c r="BI134" t="str" cm="1">
        <f t="array" ref="BI134">_xlfn.IFS(AA134&gt;=540,"A",AA134&gt;=480,"B",AA134&gt;=420,"C",AA134&gt;=360,"D",TRUE,"F")</f>
        <v>D</v>
      </c>
      <c r="BJ134" t="str" cm="1">
        <f t="array" ref="BJ134">_xlfn.IFS(AU134&lt;0,"Separated",AU134&lt;=90,"High Risk",AU134&lt;=180,"Medium Risk",TRUE,"Retained")</f>
        <v>Retained</v>
      </c>
      <c r="BK134" t="str" cm="1">
        <f t="array" ref="BK134">_xlfn.IFS(V134=0,"No Combat",V134=1,"1 Tour",V134=2,"2 Tours",TRUE,"3+ Tours")</f>
        <v>No Combat</v>
      </c>
      <c r="BL134" t="str">
        <f t="shared" si="10"/>
        <v>Standard</v>
      </c>
      <c r="BM134" t="str">
        <f t="shared" si="11"/>
        <v>Not Ready</v>
      </c>
      <c r="BN134" s="3">
        <f t="shared" si="12"/>
        <v>0.11610817166372722</v>
      </c>
      <c r="BO134">
        <f t="shared" si="13"/>
        <v>507.4</v>
      </c>
    </row>
    <row r="135" spans="1:67" x14ac:dyDescent="0.25">
      <c r="A135" t="s">
        <v>421</v>
      </c>
      <c r="B135" t="s">
        <v>139</v>
      </c>
      <c r="C135" t="s">
        <v>230</v>
      </c>
      <c r="D135" t="s">
        <v>122</v>
      </c>
      <c r="E135">
        <v>33</v>
      </c>
      <c r="F135" t="s">
        <v>123</v>
      </c>
      <c r="G135" t="s">
        <v>156</v>
      </c>
      <c r="H135" t="s">
        <v>157</v>
      </c>
      <c r="I135" t="s">
        <v>253</v>
      </c>
      <c r="J135" t="s">
        <v>254</v>
      </c>
      <c r="K135" t="s">
        <v>255</v>
      </c>
      <c r="L135" t="s">
        <v>86</v>
      </c>
      <c r="M135" t="s">
        <v>296</v>
      </c>
      <c r="N135" t="s">
        <v>162</v>
      </c>
      <c r="O135" t="s">
        <v>89</v>
      </c>
      <c r="P135" s="1">
        <v>42734</v>
      </c>
      <c r="Q135">
        <v>7.4</v>
      </c>
      <c r="R135" t="s">
        <v>195</v>
      </c>
      <c r="S135" t="s">
        <v>163</v>
      </c>
      <c r="T135" t="s">
        <v>164</v>
      </c>
      <c r="U135">
        <v>2</v>
      </c>
      <c r="V135">
        <v>0</v>
      </c>
      <c r="W135" s="2">
        <v>4836</v>
      </c>
      <c r="X135" s="2">
        <v>0</v>
      </c>
      <c r="Y135" s="2">
        <v>266</v>
      </c>
      <c r="Z135" s="2">
        <v>5102</v>
      </c>
      <c r="AA135">
        <v>547</v>
      </c>
      <c r="AB135" t="s">
        <v>65</v>
      </c>
      <c r="AC135">
        <v>18.5</v>
      </c>
      <c r="AD135">
        <v>24</v>
      </c>
      <c r="AE135">
        <v>52</v>
      </c>
      <c r="AF135" t="s">
        <v>66</v>
      </c>
      <c r="AG135">
        <v>25</v>
      </c>
      <c r="AH135" t="s">
        <v>113</v>
      </c>
      <c r="AI135" t="s">
        <v>152</v>
      </c>
      <c r="AJ135" t="s">
        <v>69</v>
      </c>
      <c r="AK135" t="s">
        <v>70</v>
      </c>
      <c r="AL135" t="s">
        <v>70</v>
      </c>
      <c r="AM135" t="s">
        <v>71</v>
      </c>
      <c r="AN135" t="s">
        <v>72</v>
      </c>
      <c r="AO135" t="s">
        <v>72</v>
      </c>
      <c r="AP135" t="s">
        <v>116</v>
      </c>
      <c r="AQ135" t="s">
        <v>136</v>
      </c>
      <c r="AR135" s="1">
        <v>43971</v>
      </c>
      <c r="AS135" t="s">
        <v>118</v>
      </c>
      <c r="AT135" t="s">
        <v>71</v>
      </c>
      <c r="AU135">
        <v>1735</v>
      </c>
      <c r="AV135" t="s">
        <v>76</v>
      </c>
      <c r="AW135" s="3">
        <v>61224</v>
      </c>
      <c r="AX135" t="s">
        <v>808</v>
      </c>
      <c r="AY135" t="s">
        <v>799</v>
      </c>
      <c r="AZ135" t="s">
        <v>76</v>
      </c>
      <c r="BA135" t="s">
        <v>800</v>
      </c>
      <c r="BB135" t="s">
        <v>801</v>
      </c>
      <c r="BC135" t="s">
        <v>802</v>
      </c>
      <c r="BD135" s="3">
        <v>0.10721285770286162</v>
      </c>
      <c r="BE135">
        <v>617.4</v>
      </c>
      <c r="BG135" s="2">
        <f t="shared" si="9"/>
        <v>61224</v>
      </c>
      <c r="BH135" t="str" cm="1">
        <f t="array" ref="BH135">_xlfn.IFS(Q135&lt;5,"0-5 Years",Q135&lt;10,"5-10 Years",Q135&lt;15,"10-15 Years",TRUE,"15+ Years")</f>
        <v>5-10 Years</v>
      </c>
      <c r="BI135" t="str" cm="1">
        <f t="array" ref="BI135">_xlfn.IFS(AA135&gt;=540,"A",AA135&gt;=480,"B",AA135&gt;=420,"C",AA135&gt;=360,"D",TRUE,"F")</f>
        <v>A</v>
      </c>
      <c r="BJ135" t="str" cm="1">
        <f t="array" ref="BJ135">_xlfn.IFS(AU135&lt;0,"Separated",AU135&lt;=90,"High Risk",AU135&lt;=180,"Medium Risk",TRUE,"Retained")</f>
        <v>Retained</v>
      </c>
      <c r="BK135" t="str" cm="1">
        <f t="array" ref="BK135">_xlfn.IFS(V135=0,"No Combat",V135=1,"1 Tour",V135=2,"2 Tours",TRUE,"3+ Tours")</f>
        <v>No Combat</v>
      </c>
      <c r="BL135" t="str">
        <f t="shared" si="10"/>
        <v>Standard</v>
      </c>
      <c r="BM135" t="str">
        <f t="shared" si="11"/>
        <v>Not Ready</v>
      </c>
      <c r="BN135" s="3">
        <f t="shared" si="12"/>
        <v>0.10721285770286162</v>
      </c>
      <c r="BO135">
        <f t="shared" si="13"/>
        <v>617.4</v>
      </c>
    </row>
    <row r="136" spans="1:67" x14ac:dyDescent="0.25">
      <c r="A136" t="s">
        <v>422</v>
      </c>
      <c r="B136" t="s">
        <v>154</v>
      </c>
      <c r="C136" t="s">
        <v>233</v>
      </c>
      <c r="D136" t="s">
        <v>51</v>
      </c>
      <c r="E136">
        <v>23</v>
      </c>
      <c r="F136" t="s">
        <v>241</v>
      </c>
      <c r="G136" t="s">
        <v>301</v>
      </c>
      <c r="H136" t="s">
        <v>302</v>
      </c>
      <c r="I136" t="s">
        <v>268</v>
      </c>
      <c r="J136" t="s">
        <v>269</v>
      </c>
      <c r="K136" t="s">
        <v>173</v>
      </c>
      <c r="L136" t="s">
        <v>201</v>
      </c>
      <c r="M136" t="s">
        <v>147</v>
      </c>
      <c r="N136" t="s">
        <v>108</v>
      </c>
      <c r="O136" t="s">
        <v>89</v>
      </c>
      <c r="P136" s="1">
        <v>38695</v>
      </c>
      <c r="Q136">
        <v>18.5</v>
      </c>
      <c r="R136" t="s">
        <v>62</v>
      </c>
      <c r="S136" t="s">
        <v>163</v>
      </c>
      <c r="T136" t="s">
        <v>164</v>
      </c>
      <c r="U136">
        <v>12</v>
      </c>
      <c r="V136">
        <v>2</v>
      </c>
      <c r="W136" s="2">
        <v>4188</v>
      </c>
      <c r="X136" s="2">
        <v>0</v>
      </c>
      <c r="Y136" s="2">
        <v>266</v>
      </c>
      <c r="Z136" s="2">
        <v>4454</v>
      </c>
      <c r="AA136">
        <v>466</v>
      </c>
      <c r="AB136" t="s">
        <v>65</v>
      </c>
      <c r="AC136">
        <v>15.1</v>
      </c>
      <c r="AD136">
        <v>67</v>
      </c>
      <c r="AE136">
        <v>77</v>
      </c>
      <c r="AF136" t="s">
        <v>93</v>
      </c>
      <c r="AG136">
        <v>29</v>
      </c>
      <c r="AH136" t="s">
        <v>113</v>
      </c>
      <c r="AI136" t="s">
        <v>177</v>
      </c>
      <c r="AJ136" t="s">
        <v>188</v>
      </c>
      <c r="AK136" t="s">
        <v>70</v>
      </c>
      <c r="AL136" t="s">
        <v>71</v>
      </c>
      <c r="AM136" t="s">
        <v>71</v>
      </c>
      <c r="AN136" t="s">
        <v>270</v>
      </c>
      <c r="AO136" t="s">
        <v>72</v>
      </c>
      <c r="AP136" t="s">
        <v>178</v>
      </c>
      <c r="AQ136" t="s">
        <v>98</v>
      </c>
      <c r="AR136" s="1">
        <v>40734</v>
      </c>
      <c r="AS136" t="s">
        <v>198</v>
      </c>
      <c r="AT136" t="s">
        <v>71</v>
      </c>
      <c r="AU136">
        <v>-225</v>
      </c>
      <c r="AV136" t="s">
        <v>179</v>
      </c>
      <c r="AW136" s="3">
        <v>53448</v>
      </c>
      <c r="AX136" t="s">
        <v>798</v>
      </c>
      <c r="AY136" t="s">
        <v>804</v>
      </c>
      <c r="AZ136" t="s">
        <v>810</v>
      </c>
      <c r="BA136" t="s">
        <v>811</v>
      </c>
      <c r="BB136" t="s">
        <v>801</v>
      </c>
      <c r="BC136" t="s">
        <v>802</v>
      </c>
      <c r="BD136" s="3">
        <v>0.10462505612932196</v>
      </c>
      <c r="BE136">
        <v>554.4</v>
      </c>
      <c r="BG136" s="2">
        <f t="shared" si="9"/>
        <v>53448</v>
      </c>
      <c r="BH136" t="str" cm="1">
        <f t="array" ref="BH136">_xlfn.IFS(Q136&lt;5,"0-5 Years",Q136&lt;10,"5-10 Years",Q136&lt;15,"10-15 Years",TRUE,"15+ Years")</f>
        <v>15+ Years</v>
      </c>
      <c r="BI136" t="str" cm="1">
        <f t="array" ref="BI136">_xlfn.IFS(AA136&gt;=540,"A",AA136&gt;=480,"B",AA136&gt;=420,"C",AA136&gt;=360,"D",TRUE,"F")</f>
        <v>C</v>
      </c>
      <c r="BJ136" t="str" cm="1">
        <f t="array" ref="BJ136">_xlfn.IFS(AU136&lt;0,"Separated",AU136&lt;=90,"High Risk",AU136&lt;=180,"Medium Risk",TRUE,"Retained")</f>
        <v>Separated</v>
      </c>
      <c r="BK136" t="str" cm="1">
        <f t="array" ref="BK136">_xlfn.IFS(V136=0,"No Combat",V136=1,"1 Tour",V136=2,"2 Tours",TRUE,"3+ Tours")</f>
        <v>2 Tours</v>
      </c>
      <c r="BL136" t="str">
        <f t="shared" si="10"/>
        <v>Standard</v>
      </c>
      <c r="BM136" t="str">
        <f t="shared" si="11"/>
        <v>Not Ready</v>
      </c>
      <c r="BN136" s="3">
        <f t="shared" si="12"/>
        <v>0.10462505612932196</v>
      </c>
      <c r="BO136">
        <f t="shared" si="13"/>
        <v>554.4</v>
      </c>
    </row>
    <row r="137" spans="1:67" x14ac:dyDescent="0.25">
      <c r="A137" t="s">
        <v>423</v>
      </c>
      <c r="B137" t="s">
        <v>263</v>
      </c>
      <c r="C137" t="s">
        <v>140</v>
      </c>
      <c r="D137" t="s">
        <v>51</v>
      </c>
      <c r="E137">
        <v>43</v>
      </c>
      <c r="F137" t="s">
        <v>322</v>
      </c>
      <c r="G137" t="s">
        <v>285</v>
      </c>
      <c r="H137" t="s">
        <v>286</v>
      </c>
      <c r="I137" t="s">
        <v>83</v>
      </c>
      <c r="J137" t="s">
        <v>84</v>
      </c>
      <c r="K137" t="s">
        <v>85</v>
      </c>
      <c r="L137" t="s">
        <v>86</v>
      </c>
      <c r="M137" t="s">
        <v>275</v>
      </c>
      <c r="N137" t="s">
        <v>265</v>
      </c>
      <c r="O137" t="s">
        <v>149</v>
      </c>
      <c r="P137" s="1">
        <v>39172</v>
      </c>
      <c r="Q137">
        <v>17.2</v>
      </c>
      <c r="R137" t="s">
        <v>75</v>
      </c>
      <c r="S137" t="s">
        <v>110</v>
      </c>
      <c r="T137" t="s">
        <v>111</v>
      </c>
      <c r="U137">
        <v>2</v>
      </c>
      <c r="V137">
        <v>0</v>
      </c>
      <c r="W137" s="2">
        <v>7668</v>
      </c>
      <c r="X137" s="2">
        <v>1196</v>
      </c>
      <c r="Y137" s="2">
        <v>266</v>
      </c>
      <c r="Z137" s="2">
        <v>9130</v>
      </c>
      <c r="AA137">
        <v>446</v>
      </c>
      <c r="AB137" t="s">
        <v>65</v>
      </c>
      <c r="AC137">
        <v>16.600000000000001</v>
      </c>
      <c r="AD137">
        <v>41</v>
      </c>
      <c r="AE137">
        <v>69</v>
      </c>
      <c r="AF137" t="s">
        <v>93</v>
      </c>
      <c r="AG137">
        <v>34</v>
      </c>
      <c r="AH137" t="s">
        <v>67</v>
      </c>
      <c r="AI137" t="s">
        <v>95</v>
      </c>
      <c r="AJ137" t="s">
        <v>188</v>
      </c>
      <c r="AK137" t="s">
        <v>71</v>
      </c>
      <c r="AL137" t="s">
        <v>70</v>
      </c>
      <c r="AM137" t="s">
        <v>70</v>
      </c>
      <c r="AN137" t="s">
        <v>202</v>
      </c>
      <c r="AO137" t="s">
        <v>116</v>
      </c>
      <c r="AP137" t="s">
        <v>72</v>
      </c>
      <c r="AQ137" t="s">
        <v>117</v>
      </c>
      <c r="AR137" s="1">
        <v>44650</v>
      </c>
      <c r="AS137" t="s">
        <v>75</v>
      </c>
      <c r="AT137" t="s">
        <v>71</v>
      </c>
      <c r="AU137">
        <v>858</v>
      </c>
      <c r="AV137" t="s">
        <v>76</v>
      </c>
      <c r="AW137" s="3">
        <v>109560</v>
      </c>
      <c r="AX137" t="s">
        <v>798</v>
      </c>
      <c r="AY137" t="s">
        <v>804</v>
      </c>
      <c r="AZ137" t="s">
        <v>76</v>
      </c>
      <c r="BA137" t="s">
        <v>800</v>
      </c>
      <c r="BB137" t="s">
        <v>801</v>
      </c>
      <c r="BC137" t="s">
        <v>802</v>
      </c>
      <c r="BD137" s="3">
        <v>4.8849945235487406E-2</v>
      </c>
      <c r="BE137">
        <v>524.4</v>
      </c>
      <c r="BG137" s="2">
        <f t="shared" si="9"/>
        <v>109560</v>
      </c>
      <c r="BH137" t="str" cm="1">
        <f t="array" ref="BH137">_xlfn.IFS(Q137&lt;5,"0-5 Years",Q137&lt;10,"5-10 Years",Q137&lt;15,"10-15 Years",TRUE,"15+ Years")</f>
        <v>15+ Years</v>
      </c>
      <c r="BI137" t="str" cm="1">
        <f t="array" ref="BI137">_xlfn.IFS(AA137&gt;=540,"A",AA137&gt;=480,"B",AA137&gt;=420,"C",AA137&gt;=360,"D",TRUE,"F")</f>
        <v>C</v>
      </c>
      <c r="BJ137" t="str" cm="1">
        <f t="array" ref="BJ137">_xlfn.IFS(AU137&lt;0,"Separated",AU137&lt;=90,"High Risk",AU137&lt;=180,"Medium Risk",TRUE,"Retained")</f>
        <v>Retained</v>
      </c>
      <c r="BK137" t="str" cm="1">
        <f t="array" ref="BK137">_xlfn.IFS(V137=0,"No Combat",V137=1,"1 Tour",V137=2,"2 Tours",TRUE,"3+ Tours")</f>
        <v>No Combat</v>
      </c>
      <c r="BL137" t="str">
        <f t="shared" si="10"/>
        <v>Standard</v>
      </c>
      <c r="BM137" t="str">
        <f t="shared" si="11"/>
        <v>Not Ready</v>
      </c>
      <c r="BN137" s="3">
        <f t="shared" si="12"/>
        <v>4.8849945235487406E-2</v>
      </c>
      <c r="BO137">
        <f t="shared" si="13"/>
        <v>524.4</v>
      </c>
    </row>
    <row r="138" spans="1:67" x14ac:dyDescent="0.25">
      <c r="A138" t="s">
        <v>424</v>
      </c>
      <c r="B138" t="s">
        <v>229</v>
      </c>
      <c r="C138" t="s">
        <v>230</v>
      </c>
      <c r="D138" t="s">
        <v>122</v>
      </c>
      <c r="E138">
        <v>19</v>
      </c>
      <c r="F138" t="s">
        <v>168</v>
      </c>
      <c r="G138" t="s">
        <v>301</v>
      </c>
      <c r="H138" t="s">
        <v>302</v>
      </c>
      <c r="I138" t="s">
        <v>292</v>
      </c>
      <c r="J138" t="s">
        <v>293</v>
      </c>
      <c r="K138" t="s">
        <v>294</v>
      </c>
      <c r="L138" t="s">
        <v>86</v>
      </c>
      <c r="M138" t="s">
        <v>249</v>
      </c>
      <c r="N138" t="s">
        <v>148</v>
      </c>
      <c r="O138" t="s">
        <v>89</v>
      </c>
      <c r="P138" s="1">
        <v>39792</v>
      </c>
      <c r="Q138">
        <v>15.5</v>
      </c>
      <c r="R138" t="s">
        <v>150</v>
      </c>
      <c r="S138" t="s">
        <v>219</v>
      </c>
      <c r="T138" t="s">
        <v>220</v>
      </c>
      <c r="U138">
        <v>0</v>
      </c>
      <c r="V138">
        <v>0</v>
      </c>
      <c r="W138" s="2">
        <v>4188</v>
      </c>
      <c r="X138" s="2">
        <v>0</v>
      </c>
      <c r="Y138" s="2">
        <v>266</v>
      </c>
      <c r="Z138" s="2">
        <v>4454</v>
      </c>
      <c r="AA138">
        <v>565</v>
      </c>
      <c r="AB138" t="s">
        <v>65</v>
      </c>
      <c r="AC138">
        <v>19.7</v>
      </c>
      <c r="AD138">
        <v>74</v>
      </c>
      <c r="AE138">
        <v>38</v>
      </c>
      <c r="AF138" t="s">
        <v>93</v>
      </c>
      <c r="AG138">
        <v>24</v>
      </c>
      <c r="AH138" t="s">
        <v>113</v>
      </c>
      <c r="AI138" t="s">
        <v>68</v>
      </c>
      <c r="AJ138" t="s">
        <v>72</v>
      </c>
      <c r="AK138" t="s">
        <v>70</v>
      </c>
      <c r="AL138" t="s">
        <v>70</v>
      </c>
      <c r="AM138" t="s">
        <v>70</v>
      </c>
      <c r="AN138" t="s">
        <v>202</v>
      </c>
      <c r="AO138" t="s">
        <v>72</v>
      </c>
      <c r="AP138" t="s">
        <v>97</v>
      </c>
      <c r="AQ138" t="s">
        <v>136</v>
      </c>
      <c r="AR138" s="1">
        <v>42444</v>
      </c>
      <c r="AS138" t="s">
        <v>198</v>
      </c>
      <c r="AT138" t="s">
        <v>71</v>
      </c>
      <c r="AU138">
        <v>1107</v>
      </c>
      <c r="AV138" t="s">
        <v>76</v>
      </c>
      <c r="AW138" s="3">
        <v>53448</v>
      </c>
      <c r="AX138" t="s">
        <v>798</v>
      </c>
      <c r="AY138" t="s">
        <v>799</v>
      </c>
      <c r="AZ138" t="s">
        <v>76</v>
      </c>
      <c r="BA138" t="s">
        <v>800</v>
      </c>
      <c r="BB138" t="s">
        <v>801</v>
      </c>
      <c r="BC138" t="s">
        <v>802</v>
      </c>
      <c r="BD138" s="3">
        <v>0.12685226762460711</v>
      </c>
      <c r="BE138">
        <v>613.4</v>
      </c>
      <c r="BG138" s="2">
        <f t="shared" si="9"/>
        <v>53448</v>
      </c>
      <c r="BH138" t="str" cm="1">
        <f t="array" ref="BH138">_xlfn.IFS(Q138&lt;5,"0-5 Years",Q138&lt;10,"5-10 Years",Q138&lt;15,"10-15 Years",TRUE,"15+ Years")</f>
        <v>15+ Years</v>
      </c>
      <c r="BI138" t="str" cm="1">
        <f t="array" ref="BI138">_xlfn.IFS(AA138&gt;=540,"A",AA138&gt;=480,"B",AA138&gt;=420,"C",AA138&gt;=360,"D",TRUE,"F")</f>
        <v>A</v>
      </c>
      <c r="BJ138" t="str" cm="1">
        <f t="array" ref="BJ138">_xlfn.IFS(AU138&lt;0,"Separated",AU138&lt;=90,"High Risk",AU138&lt;=180,"Medium Risk",TRUE,"Retained")</f>
        <v>Retained</v>
      </c>
      <c r="BK138" t="str" cm="1">
        <f t="array" ref="BK138">_xlfn.IFS(V138=0,"No Combat",V138=1,"1 Tour",V138=2,"2 Tours",TRUE,"3+ Tours")</f>
        <v>No Combat</v>
      </c>
      <c r="BL138" t="str">
        <f t="shared" si="10"/>
        <v>Standard</v>
      </c>
      <c r="BM138" t="str">
        <f t="shared" si="11"/>
        <v>Not Ready</v>
      </c>
      <c r="BN138" s="3">
        <f t="shared" si="12"/>
        <v>0.12685226762460711</v>
      </c>
      <c r="BO138">
        <f t="shared" si="13"/>
        <v>613.4</v>
      </c>
    </row>
    <row r="139" spans="1:67" x14ac:dyDescent="0.25">
      <c r="A139" t="s">
        <v>425</v>
      </c>
      <c r="B139" t="s">
        <v>377</v>
      </c>
      <c r="C139" t="s">
        <v>252</v>
      </c>
      <c r="D139" t="s">
        <v>51</v>
      </c>
      <c r="E139">
        <v>20</v>
      </c>
      <c r="F139" t="s">
        <v>80</v>
      </c>
      <c r="G139" t="s">
        <v>279</v>
      </c>
      <c r="H139" t="s">
        <v>280</v>
      </c>
      <c r="I139" t="s">
        <v>103</v>
      </c>
      <c r="J139" t="s">
        <v>104</v>
      </c>
      <c r="K139" t="s">
        <v>105</v>
      </c>
      <c r="L139" t="s">
        <v>201</v>
      </c>
      <c r="M139" t="s">
        <v>127</v>
      </c>
      <c r="N139" t="s">
        <v>162</v>
      </c>
      <c r="O139" t="s">
        <v>176</v>
      </c>
      <c r="P139" s="1">
        <v>42466</v>
      </c>
      <c r="Q139">
        <v>8.1999999999999993</v>
      </c>
      <c r="R139" t="s">
        <v>195</v>
      </c>
      <c r="S139" t="s">
        <v>163</v>
      </c>
      <c r="T139" t="s">
        <v>164</v>
      </c>
      <c r="U139">
        <v>7</v>
      </c>
      <c r="V139">
        <v>1</v>
      </c>
      <c r="W139" s="2">
        <v>6618</v>
      </c>
      <c r="X139" s="2">
        <v>0</v>
      </c>
      <c r="Y139" s="2">
        <v>266</v>
      </c>
      <c r="Z139" s="2">
        <v>6884</v>
      </c>
      <c r="AA139">
        <v>371</v>
      </c>
      <c r="AB139" t="s">
        <v>65</v>
      </c>
      <c r="AC139">
        <v>18.899999999999999</v>
      </c>
      <c r="AD139">
        <v>28</v>
      </c>
      <c r="AE139">
        <v>58</v>
      </c>
      <c r="AF139" t="s">
        <v>93</v>
      </c>
      <c r="AG139">
        <v>34</v>
      </c>
      <c r="AH139" t="s">
        <v>67</v>
      </c>
      <c r="AI139" t="s">
        <v>68</v>
      </c>
      <c r="AJ139" t="s">
        <v>72</v>
      </c>
      <c r="AK139" t="s">
        <v>70</v>
      </c>
      <c r="AL139" t="s">
        <v>70</v>
      </c>
      <c r="AM139" t="s">
        <v>70</v>
      </c>
      <c r="AN139" t="s">
        <v>72</v>
      </c>
      <c r="AO139" t="s">
        <v>116</v>
      </c>
      <c r="AP139" t="s">
        <v>178</v>
      </c>
      <c r="AQ139" t="s">
        <v>74</v>
      </c>
      <c r="AR139" s="1">
        <v>43216</v>
      </c>
      <c r="AS139" t="s">
        <v>118</v>
      </c>
      <c r="AT139" t="s">
        <v>71</v>
      </c>
      <c r="AU139">
        <v>1621</v>
      </c>
      <c r="AV139" t="s">
        <v>76</v>
      </c>
      <c r="AW139" s="3">
        <v>82608</v>
      </c>
      <c r="AX139" t="s">
        <v>808</v>
      </c>
      <c r="AY139" t="s">
        <v>809</v>
      </c>
      <c r="AZ139" t="s">
        <v>76</v>
      </c>
      <c r="BA139" t="s">
        <v>807</v>
      </c>
      <c r="BB139" t="s">
        <v>801</v>
      </c>
      <c r="BC139" t="s">
        <v>802</v>
      </c>
      <c r="BD139" s="3">
        <v>5.3893085415456128E-2</v>
      </c>
      <c r="BE139">
        <v>439.4</v>
      </c>
      <c r="BG139" s="2">
        <f t="shared" si="9"/>
        <v>82608</v>
      </c>
      <c r="BH139" t="str" cm="1">
        <f t="array" ref="BH139">_xlfn.IFS(Q139&lt;5,"0-5 Years",Q139&lt;10,"5-10 Years",Q139&lt;15,"10-15 Years",TRUE,"15+ Years")</f>
        <v>5-10 Years</v>
      </c>
      <c r="BI139" t="str" cm="1">
        <f t="array" ref="BI139">_xlfn.IFS(AA139&gt;=540,"A",AA139&gt;=480,"B",AA139&gt;=420,"C",AA139&gt;=360,"D",TRUE,"F")</f>
        <v>D</v>
      </c>
      <c r="BJ139" t="str" cm="1">
        <f t="array" ref="BJ139">_xlfn.IFS(AU139&lt;0,"Separated",AU139&lt;=90,"High Risk",AU139&lt;=180,"Medium Risk",TRUE,"Retained")</f>
        <v>Retained</v>
      </c>
      <c r="BK139" t="str" cm="1">
        <f t="array" ref="BK139">_xlfn.IFS(V139=0,"No Combat",V139=1,"1 Tour",V139=2,"2 Tours",TRUE,"3+ Tours")</f>
        <v>1 Tour</v>
      </c>
      <c r="BL139" t="str">
        <f t="shared" si="10"/>
        <v>Standard</v>
      </c>
      <c r="BM139" t="str">
        <f t="shared" si="11"/>
        <v>Not Ready</v>
      </c>
      <c r="BN139" s="3">
        <f t="shared" si="12"/>
        <v>5.3893085415456128E-2</v>
      </c>
      <c r="BO139">
        <f t="shared" si="13"/>
        <v>439.4</v>
      </c>
    </row>
    <row r="140" spans="1:67" x14ac:dyDescent="0.25">
      <c r="A140" t="s">
        <v>426</v>
      </c>
      <c r="B140" t="s">
        <v>308</v>
      </c>
      <c r="C140" t="s">
        <v>375</v>
      </c>
      <c r="D140" t="s">
        <v>51</v>
      </c>
      <c r="E140">
        <v>30</v>
      </c>
      <c r="F140" t="s">
        <v>248</v>
      </c>
      <c r="G140" t="s">
        <v>279</v>
      </c>
      <c r="H140" t="s">
        <v>280</v>
      </c>
      <c r="I140" t="s">
        <v>236</v>
      </c>
      <c r="J140" t="s">
        <v>237</v>
      </c>
      <c r="K140" t="s">
        <v>238</v>
      </c>
      <c r="L140" t="s">
        <v>174</v>
      </c>
      <c r="M140" t="s">
        <v>296</v>
      </c>
      <c r="N140" t="s">
        <v>265</v>
      </c>
      <c r="O140" t="s">
        <v>176</v>
      </c>
      <c r="P140" s="1">
        <v>39198</v>
      </c>
      <c r="Q140">
        <v>17.100000000000001</v>
      </c>
      <c r="R140" t="s">
        <v>208</v>
      </c>
      <c r="S140" t="s">
        <v>219</v>
      </c>
      <c r="T140" t="s">
        <v>220</v>
      </c>
      <c r="U140">
        <v>0</v>
      </c>
      <c r="V140">
        <v>0</v>
      </c>
      <c r="W140" s="2">
        <v>6618</v>
      </c>
      <c r="X140" s="2">
        <v>1867</v>
      </c>
      <c r="Y140" s="2">
        <v>266</v>
      </c>
      <c r="Z140" s="2">
        <v>8751</v>
      </c>
      <c r="AA140">
        <v>568</v>
      </c>
      <c r="AB140" t="s">
        <v>65</v>
      </c>
      <c r="AC140">
        <v>19.600000000000001</v>
      </c>
      <c r="AD140">
        <v>36</v>
      </c>
      <c r="AE140">
        <v>67</v>
      </c>
      <c r="AF140" t="s">
        <v>93</v>
      </c>
      <c r="AG140">
        <v>28</v>
      </c>
      <c r="AH140" t="s">
        <v>113</v>
      </c>
      <c r="AI140" t="s">
        <v>68</v>
      </c>
      <c r="AJ140" t="s">
        <v>96</v>
      </c>
      <c r="AK140" t="s">
        <v>70</v>
      </c>
      <c r="AL140" t="s">
        <v>71</v>
      </c>
      <c r="AM140" t="s">
        <v>70</v>
      </c>
      <c r="AN140" t="s">
        <v>115</v>
      </c>
      <c r="AO140" t="s">
        <v>72</v>
      </c>
      <c r="AP140" t="s">
        <v>72</v>
      </c>
      <c r="AQ140" t="s">
        <v>136</v>
      </c>
      <c r="AR140" s="1">
        <v>39137</v>
      </c>
      <c r="AS140" t="s">
        <v>198</v>
      </c>
      <c r="AT140" t="s">
        <v>71</v>
      </c>
      <c r="AU140">
        <v>1555</v>
      </c>
      <c r="AV140" t="s">
        <v>76</v>
      </c>
      <c r="AW140" s="3">
        <v>105012</v>
      </c>
      <c r="AX140" t="s">
        <v>798</v>
      </c>
      <c r="AY140" t="s">
        <v>799</v>
      </c>
      <c r="AZ140" t="s">
        <v>76</v>
      </c>
      <c r="BA140" t="s">
        <v>800</v>
      </c>
      <c r="BB140" t="s">
        <v>801</v>
      </c>
      <c r="BC140" t="s">
        <v>802</v>
      </c>
      <c r="BD140" s="3">
        <v>6.4906867786538675E-2</v>
      </c>
      <c r="BE140">
        <v>634.4</v>
      </c>
      <c r="BG140" s="2">
        <f t="shared" si="9"/>
        <v>105012</v>
      </c>
      <c r="BH140" t="str" cm="1">
        <f t="array" ref="BH140">_xlfn.IFS(Q140&lt;5,"0-5 Years",Q140&lt;10,"5-10 Years",Q140&lt;15,"10-15 Years",TRUE,"15+ Years")</f>
        <v>15+ Years</v>
      </c>
      <c r="BI140" t="str" cm="1">
        <f t="array" ref="BI140">_xlfn.IFS(AA140&gt;=540,"A",AA140&gt;=480,"B",AA140&gt;=420,"C",AA140&gt;=360,"D",TRUE,"F")</f>
        <v>A</v>
      </c>
      <c r="BJ140" t="str" cm="1">
        <f t="array" ref="BJ140">_xlfn.IFS(AU140&lt;0,"Separated",AU140&lt;=90,"High Risk",AU140&lt;=180,"Medium Risk",TRUE,"Retained")</f>
        <v>Retained</v>
      </c>
      <c r="BK140" t="str" cm="1">
        <f t="array" ref="BK140">_xlfn.IFS(V140=0,"No Combat",V140=1,"1 Tour",V140=2,"2 Tours",TRUE,"3+ Tours")</f>
        <v>No Combat</v>
      </c>
      <c r="BL140" t="str">
        <f t="shared" si="10"/>
        <v>Standard</v>
      </c>
      <c r="BM140" t="str">
        <f t="shared" si="11"/>
        <v>Not Ready</v>
      </c>
      <c r="BN140" s="3">
        <f t="shared" si="12"/>
        <v>6.4906867786538675E-2</v>
      </c>
      <c r="BO140">
        <f t="shared" si="13"/>
        <v>634.4</v>
      </c>
    </row>
    <row r="141" spans="1:67" x14ac:dyDescent="0.25">
      <c r="A141" t="s">
        <v>427</v>
      </c>
      <c r="B141" t="s">
        <v>181</v>
      </c>
      <c r="C141" t="s">
        <v>200</v>
      </c>
      <c r="D141" t="s">
        <v>51</v>
      </c>
      <c r="E141">
        <v>22</v>
      </c>
      <c r="F141" t="s">
        <v>241</v>
      </c>
      <c r="G141" t="s">
        <v>53</v>
      </c>
      <c r="H141" t="s">
        <v>54</v>
      </c>
      <c r="I141" t="s">
        <v>171</v>
      </c>
      <c r="J141" t="s">
        <v>172</v>
      </c>
      <c r="K141" t="s">
        <v>173</v>
      </c>
      <c r="L141" t="s">
        <v>201</v>
      </c>
      <c r="M141" t="s">
        <v>175</v>
      </c>
      <c r="N141" t="s">
        <v>88</v>
      </c>
      <c r="O141" t="s">
        <v>149</v>
      </c>
      <c r="P141" s="1">
        <v>39583</v>
      </c>
      <c r="Q141">
        <v>16</v>
      </c>
      <c r="R141" t="s">
        <v>129</v>
      </c>
      <c r="S141" t="s">
        <v>130</v>
      </c>
      <c r="T141" t="s">
        <v>131</v>
      </c>
      <c r="U141">
        <v>5</v>
      </c>
      <c r="V141">
        <v>0</v>
      </c>
      <c r="W141" s="2">
        <v>4739</v>
      </c>
      <c r="X141" s="2">
        <v>0</v>
      </c>
      <c r="Y141" s="2">
        <v>422</v>
      </c>
      <c r="Z141" s="2">
        <v>5161</v>
      </c>
      <c r="AA141">
        <v>348</v>
      </c>
      <c r="AB141" t="s">
        <v>151</v>
      </c>
      <c r="AC141">
        <v>18.100000000000001</v>
      </c>
      <c r="AD141">
        <v>46</v>
      </c>
      <c r="AE141">
        <v>51</v>
      </c>
      <c r="AF141" t="s">
        <v>132</v>
      </c>
      <c r="AG141">
        <v>37</v>
      </c>
      <c r="AH141" t="s">
        <v>94</v>
      </c>
      <c r="AI141" t="s">
        <v>152</v>
      </c>
      <c r="AJ141" t="s">
        <v>69</v>
      </c>
      <c r="AK141" t="s">
        <v>71</v>
      </c>
      <c r="AL141" t="s">
        <v>71</v>
      </c>
      <c r="AM141" t="s">
        <v>71</v>
      </c>
      <c r="AN141" t="s">
        <v>72</v>
      </c>
      <c r="AO141" t="s">
        <v>287</v>
      </c>
      <c r="AP141" t="s">
        <v>72</v>
      </c>
      <c r="AQ141" t="s">
        <v>98</v>
      </c>
      <c r="AR141" s="1">
        <v>43647</v>
      </c>
      <c r="AS141" t="s">
        <v>118</v>
      </c>
      <c r="AT141" t="s">
        <v>71</v>
      </c>
      <c r="AU141">
        <v>-340</v>
      </c>
      <c r="AV141" t="s">
        <v>179</v>
      </c>
      <c r="AW141" s="3">
        <v>61932</v>
      </c>
      <c r="AX141" t="s">
        <v>798</v>
      </c>
      <c r="AY141" t="s">
        <v>122</v>
      </c>
      <c r="AZ141" t="s">
        <v>810</v>
      </c>
      <c r="BA141" t="s">
        <v>800</v>
      </c>
      <c r="BB141" t="s">
        <v>801</v>
      </c>
      <c r="BC141" t="s">
        <v>802</v>
      </c>
      <c r="BD141" s="3">
        <v>6.7428792869598908E-2</v>
      </c>
      <c r="BE141">
        <v>462.4</v>
      </c>
      <c r="BG141" s="2">
        <f t="shared" si="9"/>
        <v>61932</v>
      </c>
      <c r="BH141" t="str" cm="1">
        <f t="array" ref="BH141">_xlfn.IFS(Q141&lt;5,"0-5 Years",Q141&lt;10,"5-10 Years",Q141&lt;15,"10-15 Years",TRUE,"15+ Years")</f>
        <v>15+ Years</v>
      </c>
      <c r="BI141" t="str" cm="1">
        <f t="array" ref="BI141">_xlfn.IFS(AA141&gt;=540,"A",AA141&gt;=480,"B",AA141&gt;=420,"C",AA141&gt;=360,"D",TRUE,"F")</f>
        <v>F</v>
      </c>
      <c r="BJ141" t="str" cm="1">
        <f t="array" ref="BJ141">_xlfn.IFS(AU141&lt;0,"Separated",AU141&lt;=90,"High Risk",AU141&lt;=180,"Medium Risk",TRUE,"Retained")</f>
        <v>Separated</v>
      </c>
      <c r="BK141" t="str" cm="1">
        <f t="array" ref="BK141">_xlfn.IFS(V141=0,"No Combat",V141=1,"1 Tour",V141=2,"2 Tours",TRUE,"3+ Tours")</f>
        <v>No Combat</v>
      </c>
      <c r="BL141" t="str">
        <f t="shared" si="10"/>
        <v>Standard</v>
      </c>
      <c r="BM141" t="str">
        <f t="shared" si="11"/>
        <v>Not Ready</v>
      </c>
      <c r="BN141" s="3">
        <f t="shared" si="12"/>
        <v>6.7428792869598908E-2</v>
      </c>
      <c r="BO141">
        <f t="shared" si="13"/>
        <v>462.4</v>
      </c>
    </row>
    <row r="142" spans="1:67" x14ac:dyDescent="0.25">
      <c r="A142" t="s">
        <v>428</v>
      </c>
      <c r="B142" t="s">
        <v>181</v>
      </c>
      <c r="C142" t="s">
        <v>191</v>
      </c>
      <c r="D142" t="s">
        <v>51</v>
      </c>
      <c r="E142">
        <v>26</v>
      </c>
      <c r="F142" t="s">
        <v>123</v>
      </c>
      <c r="G142" t="s">
        <v>242</v>
      </c>
      <c r="H142" t="s">
        <v>54</v>
      </c>
      <c r="I142" t="s">
        <v>236</v>
      </c>
      <c r="J142" t="s">
        <v>237</v>
      </c>
      <c r="K142" t="s">
        <v>238</v>
      </c>
      <c r="L142" t="s">
        <v>58</v>
      </c>
      <c r="M142" t="s">
        <v>147</v>
      </c>
      <c r="N142" t="s">
        <v>162</v>
      </c>
      <c r="O142" t="s">
        <v>61</v>
      </c>
      <c r="P142" s="1">
        <v>42970</v>
      </c>
      <c r="Q142">
        <v>6.8</v>
      </c>
      <c r="R142" t="s">
        <v>208</v>
      </c>
      <c r="S142" t="s">
        <v>219</v>
      </c>
      <c r="T142" t="s">
        <v>220</v>
      </c>
      <c r="U142">
        <v>0</v>
      </c>
      <c r="V142">
        <v>0</v>
      </c>
      <c r="W142" s="2">
        <v>4739</v>
      </c>
      <c r="X142" s="2">
        <v>838</v>
      </c>
      <c r="Y142" s="2">
        <v>422</v>
      </c>
      <c r="Z142" s="2">
        <v>5999</v>
      </c>
      <c r="AA142">
        <v>600</v>
      </c>
      <c r="AB142" t="s">
        <v>65</v>
      </c>
      <c r="AC142">
        <v>20.6</v>
      </c>
      <c r="AD142">
        <v>33</v>
      </c>
      <c r="AE142">
        <v>58</v>
      </c>
      <c r="AF142" t="s">
        <v>132</v>
      </c>
      <c r="AG142">
        <v>31</v>
      </c>
      <c r="AH142" t="s">
        <v>67</v>
      </c>
      <c r="AI142" t="s">
        <v>68</v>
      </c>
      <c r="AJ142" t="s">
        <v>188</v>
      </c>
      <c r="AK142" t="s">
        <v>70</v>
      </c>
      <c r="AL142" t="s">
        <v>70</v>
      </c>
      <c r="AM142" t="s">
        <v>70</v>
      </c>
      <c r="AN142" t="s">
        <v>270</v>
      </c>
      <c r="AO142" t="s">
        <v>178</v>
      </c>
      <c r="AP142" t="s">
        <v>72</v>
      </c>
      <c r="AQ142" t="s">
        <v>74</v>
      </c>
      <c r="AR142" s="1">
        <v>43677</v>
      </c>
      <c r="AS142" t="s">
        <v>198</v>
      </c>
      <c r="AT142" t="s">
        <v>71</v>
      </c>
      <c r="AU142">
        <v>1049</v>
      </c>
      <c r="AV142" t="s">
        <v>76</v>
      </c>
      <c r="AW142" s="3">
        <v>71988</v>
      </c>
      <c r="AX142" t="s">
        <v>808</v>
      </c>
      <c r="AY142" t="s">
        <v>799</v>
      </c>
      <c r="AZ142" t="s">
        <v>76</v>
      </c>
      <c r="BA142" t="s">
        <v>800</v>
      </c>
      <c r="BB142" t="s">
        <v>801</v>
      </c>
      <c r="BC142" t="s">
        <v>802</v>
      </c>
      <c r="BD142" s="3">
        <v>0.10001666944490749</v>
      </c>
      <c r="BE142">
        <v>662.4</v>
      </c>
      <c r="BG142" s="2">
        <f t="shared" si="9"/>
        <v>71988</v>
      </c>
      <c r="BH142" t="str" cm="1">
        <f t="array" ref="BH142">_xlfn.IFS(Q142&lt;5,"0-5 Years",Q142&lt;10,"5-10 Years",Q142&lt;15,"10-15 Years",TRUE,"15+ Years")</f>
        <v>5-10 Years</v>
      </c>
      <c r="BI142" t="str" cm="1">
        <f t="array" ref="BI142">_xlfn.IFS(AA142&gt;=540,"A",AA142&gt;=480,"B",AA142&gt;=420,"C",AA142&gt;=360,"D",TRUE,"F")</f>
        <v>A</v>
      </c>
      <c r="BJ142" t="str" cm="1">
        <f t="array" ref="BJ142">_xlfn.IFS(AU142&lt;0,"Separated",AU142&lt;=90,"High Risk",AU142&lt;=180,"Medium Risk",TRUE,"Retained")</f>
        <v>Retained</v>
      </c>
      <c r="BK142" t="str" cm="1">
        <f t="array" ref="BK142">_xlfn.IFS(V142=0,"No Combat",V142=1,"1 Tour",V142=2,"2 Tours",TRUE,"3+ Tours")</f>
        <v>No Combat</v>
      </c>
      <c r="BL142" t="str">
        <f t="shared" si="10"/>
        <v>Standard</v>
      </c>
      <c r="BM142" t="str">
        <f t="shared" si="11"/>
        <v>Not Ready</v>
      </c>
      <c r="BN142" s="3">
        <f t="shared" si="12"/>
        <v>0.10001666944490749</v>
      </c>
      <c r="BO142">
        <f t="shared" si="13"/>
        <v>662.4</v>
      </c>
    </row>
    <row r="143" spans="1:67" x14ac:dyDescent="0.25">
      <c r="A143" t="s">
        <v>429</v>
      </c>
      <c r="B143" t="s">
        <v>277</v>
      </c>
      <c r="C143" t="s">
        <v>334</v>
      </c>
      <c r="D143" t="s">
        <v>122</v>
      </c>
      <c r="E143">
        <v>40</v>
      </c>
      <c r="F143" t="s">
        <v>283</v>
      </c>
      <c r="G143" t="s">
        <v>234</v>
      </c>
      <c r="H143" t="s">
        <v>235</v>
      </c>
      <c r="I143" t="s">
        <v>55</v>
      </c>
      <c r="J143" t="s">
        <v>56</v>
      </c>
      <c r="K143" t="s">
        <v>57</v>
      </c>
      <c r="L143" t="s">
        <v>201</v>
      </c>
      <c r="M143" t="s">
        <v>147</v>
      </c>
      <c r="N143" t="s">
        <v>265</v>
      </c>
      <c r="O143" t="s">
        <v>109</v>
      </c>
      <c r="P143" s="1">
        <v>39578</v>
      </c>
      <c r="Q143">
        <v>16.100000000000001</v>
      </c>
      <c r="R143" t="s">
        <v>90</v>
      </c>
      <c r="S143" t="s">
        <v>63</v>
      </c>
      <c r="T143" t="s">
        <v>64</v>
      </c>
      <c r="U143">
        <v>0</v>
      </c>
      <c r="V143">
        <v>0</v>
      </c>
      <c r="W143" s="2">
        <v>1917</v>
      </c>
      <c r="X143" s="2">
        <v>0</v>
      </c>
      <c r="Y143" s="2">
        <v>422</v>
      </c>
      <c r="Z143" s="2">
        <v>2339</v>
      </c>
      <c r="AA143">
        <v>309</v>
      </c>
      <c r="AB143" t="s">
        <v>151</v>
      </c>
      <c r="AC143">
        <v>16.5</v>
      </c>
      <c r="AD143">
        <v>59</v>
      </c>
      <c r="AE143">
        <v>68</v>
      </c>
      <c r="AF143" t="s">
        <v>66</v>
      </c>
      <c r="AG143">
        <v>18</v>
      </c>
      <c r="AH143" t="s">
        <v>113</v>
      </c>
      <c r="AI143" t="s">
        <v>95</v>
      </c>
      <c r="AJ143" t="s">
        <v>69</v>
      </c>
      <c r="AK143" t="s">
        <v>70</v>
      </c>
      <c r="AL143" t="s">
        <v>70</v>
      </c>
      <c r="AM143" t="s">
        <v>71</v>
      </c>
      <c r="AN143" t="s">
        <v>231</v>
      </c>
      <c r="AO143" t="s">
        <v>287</v>
      </c>
      <c r="AP143" t="s">
        <v>116</v>
      </c>
      <c r="AQ143" t="s">
        <v>136</v>
      </c>
      <c r="AR143" s="1">
        <v>42571</v>
      </c>
      <c r="AS143" t="s">
        <v>118</v>
      </c>
      <c r="AT143" t="s">
        <v>71</v>
      </c>
      <c r="AU143">
        <v>935</v>
      </c>
      <c r="AV143" t="s">
        <v>76</v>
      </c>
      <c r="AW143" s="3">
        <v>28068</v>
      </c>
      <c r="AX143" t="s">
        <v>798</v>
      </c>
      <c r="AY143" t="s">
        <v>122</v>
      </c>
      <c r="AZ143" t="s">
        <v>76</v>
      </c>
      <c r="BA143" t="s">
        <v>800</v>
      </c>
      <c r="BB143" t="s">
        <v>801</v>
      </c>
      <c r="BC143" t="s">
        <v>802</v>
      </c>
      <c r="BD143" s="3">
        <v>0.13210773834972211</v>
      </c>
      <c r="BE143">
        <v>365.4</v>
      </c>
      <c r="BG143" s="2">
        <f t="shared" si="9"/>
        <v>28068</v>
      </c>
      <c r="BH143" t="str" cm="1">
        <f t="array" ref="BH143">_xlfn.IFS(Q143&lt;5,"0-5 Years",Q143&lt;10,"5-10 Years",Q143&lt;15,"10-15 Years",TRUE,"15+ Years")</f>
        <v>15+ Years</v>
      </c>
      <c r="BI143" t="str" cm="1">
        <f t="array" ref="BI143">_xlfn.IFS(AA143&gt;=540,"A",AA143&gt;=480,"B",AA143&gt;=420,"C",AA143&gt;=360,"D",TRUE,"F")</f>
        <v>F</v>
      </c>
      <c r="BJ143" t="str" cm="1">
        <f t="array" ref="BJ143">_xlfn.IFS(AU143&lt;0,"Separated",AU143&lt;=90,"High Risk",AU143&lt;=180,"Medium Risk",TRUE,"Retained")</f>
        <v>Retained</v>
      </c>
      <c r="BK143" t="str" cm="1">
        <f t="array" ref="BK143">_xlfn.IFS(V143=0,"No Combat",V143=1,"1 Tour",V143=2,"2 Tours",TRUE,"3+ Tours")</f>
        <v>No Combat</v>
      </c>
      <c r="BL143" t="str">
        <f t="shared" si="10"/>
        <v>Standard</v>
      </c>
      <c r="BM143" t="str">
        <f t="shared" si="11"/>
        <v>Not Ready</v>
      </c>
      <c r="BN143" s="3">
        <f t="shared" si="12"/>
        <v>0.13210773834972211</v>
      </c>
      <c r="BO143">
        <f t="shared" si="13"/>
        <v>365.4</v>
      </c>
    </row>
    <row r="144" spans="1:67" x14ac:dyDescent="0.25">
      <c r="A144" t="s">
        <v>430</v>
      </c>
      <c r="B144" t="s">
        <v>377</v>
      </c>
      <c r="C144" t="s">
        <v>257</v>
      </c>
      <c r="D144" t="s">
        <v>51</v>
      </c>
      <c r="E144">
        <v>22</v>
      </c>
      <c r="F144" t="s">
        <v>52</v>
      </c>
      <c r="G144" t="s">
        <v>242</v>
      </c>
      <c r="H144" t="s">
        <v>54</v>
      </c>
      <c r="I144" t="s">
        <v>185</v>
      </c>
      <c r="J144" t="s">
        <v>186</v>
      </c>
      <c r="K144" t="s">
        <v>187</v>
      </c>
      <c r="L144" t="s">
        <v>58</v>
      </c>
      <c r="M144" t="s">
        <v>127</v>
      </c>
      <c r="N144" t="s">
        <v>88</v>
      </c>
      <c r="O144" t="s">
        <v>61</v>
      </c>
      <c r="P144" s="1">
        <v>42807</v>
      </c>
      <c r="Q144">
        <v>7.2</v>
      </c>
      <c r="R144" t="s">
        <v>129</v>
      </c>
      <c r="S144" t="s">
        <v>91</v>
      </c>
      <c r="T144" t="s">
        <v>92</v>
      </c>
      <c r="U144">
        <v>8</v>
      </c>
      <c r="V144">
        <v>1</v>
      </c>
      <c r="W144" s="2">
        <v>4739</v>
      </c>
      <c r="X144" s="2">
        <v>0</v>
      </c>
      <c r="Y144" s="2">
        <v>422</v>
      </c>
      <c r="Z144" s="2">
        <v>5161</v>
      </c>
      <c r="AA144">
        <v>585</v>
      </c>
      <c r="AB144" t="s">
        <v>65</v>
      </c>
      <c r="AC144">
        <v>18.5</v>
      </c>
      <c r="AD144">
        <v>70</v>
      </c>
      <c r="AE144">
        <v>30</v>
      </c>
      <c r="AF144" t="s">
        <v>66</v>
      </c>
      <c r="AG144">
        <v>32</v>
      </c>
      <c r="AH144" t="s">
        <v>67</v>
      </c>
      <c r="AI144" t="s">
        <v>152</v>
      </c>
      <c r="AJ144" t="s">
        <v>96</v>
      </c>
      <c r="AK144" t="s">
        <v>70</v>
      </c>
      <c r="AL144" t="s">
        <v>70</v>
      </c>
      <c r="AM144" t="s">
        <v>71</v>
      </c>
      <c r="AN144" t="s">
        <v>72</v>
      </c>
      <c r="AO144" t="s">
        <v>135</v>
      </c>
      <c r="AP144" t="s">
        <v>72</v>
      </c>
      <c r="AQ144" t="s">
        <v>98</v>
      </c>
      <c r="AR144" s="1">
        <v>44931</v>
      </c>
      <c r="AS144" t="s">
        <v>75</v>
      </c>
      <c r="AT144" t="s">
        <v>71</v>
      </c>
      <c r="AU144">
        <v>1234</v>
      </c>
      <c r="AV144" t="s">
        <v>76</v>
      </c>
      <c r="AW144" s="3">
        <v>61932</v>
      </c>
      <c r="AX144" t="s">
        <v>808</v>
      </c>
      <c r="AY144" t="s">
        <v>799</v>
      </c>
      <c r="AZ144" t="s">
        <v>76</v>
      </c>
      <c r="BA144" t="s">
        <v>807</v>
      </c>
      <c r="BB144" t="s">
        <v>801</v>
      </c>
      <c r="BC144" t="s">
        <v>802</v>
      </c>
      <c r="BD144" s="3">
        <v>0.11335012594458438</v>
      </c>
      <c r="BE144">
        <v>669.4</v>
      </c>
      <c r="BG144" s="2">
        <f t="shared" si="9"/>
        <v>61932</v>
      </c>
      <c r="BH144" t="str" cm="1">
        <f t="array" ref="BH144">_xlfn.IFS(Q144&lt;5,"0-5 Years",Q144&lt;10,"5-10 Years",Q144&lt;15,"10-15 Years",TRUE,"15+ Years")</f>
        <v>5-10 Years</v>
      </c>
      <c r="BI144" t="str" cm="1">
        <f t="array" ref="BI144">_xlfn.IFS(AA144&gt;=540,"A",AA144&gt;=480,"B",AA144&gt;=420,"C",AA144&gt;=360,"D",TRUE,"F")</f>
        <v>A</v>
      </c>
      <c r="BJ144" t="str" cm="1">
        <f t="array" ref="BJ144">_xlfn.IFS(AU144&lt;0,"Separated",AU144&lt;=90,"High Risk",AU144&lt;=180,"Medium Risk",TRUE,"Retained")</f>
        <v>Retained</v>
      </c>
      <c r="BK144" t="str" cm="1">
        <f t="array" ref="BK144">_xlfn.IFS(V144=0,"No Combat",V144=1,"1 Tour",V144=2,"2 Tours",TRUE,"3+ Tours")</f>
        <v>1 Tour</v>
      </c>
      <c r="BL144" t="str">
        <f t="shared" si="10"/>
        <v>Standard</v>
      </c>
      <c r="BM144" t="str">
        <f t="shared" si="11"/>
        <v>Not Ready</v>
      </c>
      <c r="BN144" s="3">
        <f t="shared" si="12"/>
        <v>0.11335012594458438</v>
      </c>
      <c r="BO144">
        <f t="shared" si="13"/>
        <v>669.4</v>
      </c>
    </row>
    <row r="145" spans="1:67" x14ac:dyDescent="0.25">
      <c r="A145" t="s">
        <v>431</v>
      </c>
      <c r="B145" t="s">
        <v>210</v>
      </c>
      <c r="C145" t="s">
        <v>272</v>
      </c>
      <c r="D145" t="s">
        <v>51</v>
      </c>
      <c r="E145">
        <v>21</v>
      </c>
      <c r="F145" t="s">
        <v>211</v>
      </c>
      <c r="G145" t="s">
        <v>156</v>
      </c>
      <c r="H145" t="s">
        <v>157</v>
      </c>
      <c r="I145" t="s">
        <v>292</v>
      </c>
      <c r="J145" t="s">
        <v>293</v>
      </c>
      <c r="K145" t="s">
        <v>294</v>
      </c>
      <c r="L145" t="s">
        <v>58</v>
      </c>
      <c r="M145" t="s">
        <v>212</v>
      </c>
      <c r="N145" t="s">
        <v>148</v>
      </c>
      <c r="O145" t="s">
        <v>61</v>
      </c>
      <c r="P145" s="1">
        <v>42305</v>
      </c>
      <c r="Q145">
        <v>8.6</v>
      </c>
      <c r="R145" t="s">
        <v>129</v>
      </c>
      <c r="S145" t="s">
        <v>130</v>
      </c>
      <c r="T145" t="s">
        <v>131</v>
      </c>
      <c r="U145">
        <v>11</v>
      </c>
      <c r="V145">
        <v>1</v>
      </c>
      <c r="W145" s="2">
        <v>4836</v>
      </c>
      <c r="X145" s="2">
        <v>1945</v>
      </c>
      <c r="Y145" s="2">
        <v>266</v>
      </c>
      <c r="Z145" s="2">
        <v>7047</v>
      </c>
      <c r="AA145">
        <v>466</v>
      </c>
      <c r="AB145" t="s">
        <v>65</v>
      </c>
      <c r="AC145">
        <v>14.7</v>
      </c>
      <c r="AD145">
        <v>39</v>
      </c>
      <c r="AE145">
        <v>66</v>
      </c>
      <c r="AF145" t="s">
        <v>132</v>
      </c>
      <c r="AG145">
        <v>39</v>
      </c>
      <c r="AH145" t="s">
        <v>94</v>
      </c>
      <c r="AI145" t="s">
        <v>152</v>
      </c>
      <c r="AJ145" t="s">
        <v>188</v>
      </c>
      <c r="AK145" t="s">
        <v>70</v>
      </c>
      <c r="AL145" t="s">
        <v>70</v>
      </c>
      <c r="AM145" t="s">
        <v>70</v>
      </c>
      <c r="AN145" t="s">
        <v>115</v>
      </c>
      <c r="AO145" t="s">
        <v>178</v>
      </c>
      <c r="AP145" t="s">
        <v>72</v>
      </c>
      <c r="AQ145" t="s">
        <v>136</v>
      </c>
      <c r="AR145" s="1">
        <v>44520</v>
      </c>
      <c r="AS145" t="s">
        <v>198</v>
      </c>
      <c r="AT145" t="s">
        <v>71</v>
      </c>
      <c r="AU145">
        <v>-287</v>
      </c>
      <c r="AV145" t="s">
        <v>179</v>
      </c>
      <c r="AW145" s="3">
        <v>84564</v>
      </c>
      <c r="AX145" t="s">
        <v>808</v>
      </c>
      <c r="AY145" t="s">
        <v>804</v>
      </c>
      <c r="AZ145" t="s">
        <v>810</v>
      </c>
      <c r="BA145" t="s">
        <v>807</v>
      </c>
      <c r="BB145" t="s">
        <v>801</v>
      </c>
      <c r="BC145" t="s">
        <v>802</v>
      </c>
      <c r="BD145" s="3">
        <v>6.6127430112104438E-2</v>
      </c>
      <c r="BE145">
        <v>544.4</v>
      </c>
      <c r="BG145" s="2">
        <f t="shared" si="9"/>
        <v>84564</v>
      </c>
      <c r="BH145" t="str" cm="1">
        <f t="array" ref="BH145">_xlfn.IFS(Q145&lt;5,"0-5 Years",Q145&lt;10,"5-10 Years",Q145&lt;15,"10-15 Years",TRUE,"15+ Years")</f>
        <v>5-10 Years</v>
      </c>
      <c r="BI145" t="str" cm="1">
        <f t="array" ref="BI145">_xlfn.IFS(AA145&gt;=540,"A",AA145&gt;=480,"B",AA145&gt;=420,"C",AA145&gt;=360,"D",TRUE,"F")</f>
        <v>C</v>
      </c>
      <c r="BJ145" t="str" cm="1">
        <f t="array" ref="BJ145">_xlfn.IFS(AU145&lt;0,"Separated",AU145&lt;=90,"High Risk",AU145&lt;=180,"Medium Risk",TRUE,"Retained")</f>
        <v>Separated</v>
      </c>
      <c r="BK145" t="str" cm="1">
        <f t="array" ref="BK145">_xlfn.IFS(V145=0,"No Combat",V145=1,"1 Tour",V145=2,"2 Tours",TRUE,"3+ Tours")</f>
        <v>1 Tour</v>
      </c>
      <c r="BL145" t="str">
        <f t="shared" si="10"/>
        <v>Standard</v>
      </c>
      <c r="BM145" t="str">
        <f t="shared" si="11"/>
        <v>Not Ready</v>
      </c>
      <c r="BN145" s="3">
        <f t="shared" si="12"/>
        <v>6.6127430112104438E-2</v>
      </c>
      <c r="BO145">
        <f t="shared" si="13"/>
        <v>544.4</v>
      </c>
    </row>
    <row r="146" spans="1:67" x14ac:dyDescent="0.25">
      <c r="A146" t="s">
        <v>432</v>
      </c>
      <c r="B146" t="s">
        <v>139</v>
      </c>
      <c r="C146" t="s">
        <v>375</v>
      </c>
      <c r="D146" t="s">
        <v>51</v>
      </c>
      <c r="E146">
        <v>24</v>
      </c>
      <c r="F146" t="s">
        <v>283</v>
      </c>
      <c r="G146" t="s">
        <v>234</v>
      </c>
      <c r="H146" t="s">
        <v>235</v>
      </c>
      <c r="I146" t="s">
        <v>292</v>
      </c>
      <c r="J146" t="s">
        <v>293</v>
      </c>
      <c r="K146" t="s">
        <v>294</v>
      </c>
      <c r="L146" t="s">
        <v>174</v>
      </c>
      <c r="M146" t="s">
        <v>275</v>
      </c>
      <c r="N146" t="s">
        <v>162</v>
      </c>
      <c r="O146" t="s">
        <v>61</v>
      </c>
      <c r="P146" s="1">
        <v>41919</v>
      </c>
      <c r="Q146">
        <v>9.6999999999999993</v>
      </c>
      <c r="R146" t="s">
        <v>90</v>
      </c>
      <c r="S146" t="s">
        <v>163</v>
      </c>
      <c r="T146" t="s">
        <v>164</v>
      </c>
      <c r="U146">
        <v>2</v>
      </c>
      <c r="V146">
        <v>0</v>
      </c>
      <c r="W146" s="2">
        <v>1917</v>
      </c>
      <c r="X146" s="2">
        <v>0</v>
      </c>
      <c r="Y146" s="2">
        <v>422</v>
      </c>
      <c r="Z146" s="2">
        <v>2339</v>
      </c>
      <c r="AA146">
        <v>486</v>
      </c>
      <c r="AB146" t="s">
        <v>65</v>
      </c>
      <c r="AC146">
        <v>15.7</v>
      </c>
      <c r="AD146">
        <v>58</v>
      </c>
      <c r="AE146">
        <v>32</v>
      </c>
      <c r="AF146" t="s">
        <v>132</v>
      </c>
      <c r="AG146">
        <v>35</v>
      </c>
      <c r="AH146" t="s">
        <v>67</v>
      </c>
      <c r="AI146" t="s">
        <v>68</v>
      </c>
      <c r="AJ146" t="s">
        <v>188</v>
      </c>
      <c r="AK146" t="s">
        <v>70</v>
      </c>
      <c r="AL146" t="s">
        <v>70</v>
      </c>
      <c r="AM146" t="s">
        <v>71</v>
      </c>
      <c r="AN146" t="s">
        <v>72</v>
      </c>
      <c r="AO146" t="s">
        <v>72</v>
      </c>
      <c r="AP146" t="s">
        <v>72</v>
      </c>
      <c r="AQ146" t="s">
        <v>136</v>
      </c>
      <c r="AR146" s="1">
        <v>44095</v>
      </c>
      <c r="AS146" t="s">
        <v>118</v>
      </c>
      <c r="AT146" t="s">
        <v>71</v>
      </c>
      <c r="AU146">
        <v>1591</v>
      </c>
      <c r="AV146" t="s">
        <v>76</v>
      </c>
      <c r="AW146" s="3">
        <v>28068</v>
      </c>
      <c r="AX146" t="s">
        <v>808</v>
      </c>
      <c r="AY146" t="s">
        <v>806</v>
      </c>
      <c r="AZ146" t="s">
        <v>76</v>
      </c>
      <c r="BA146" t="s">
        <v>800</v>
      </c>
      <c r="BB146" t="s">
        <v>801</v>
      </c>
      <c r="BC146" t="s">
        <v>802</v>
      </c>
      <c r="BD146" s="3">
        <v>0.20778110303548525</v>
      </c>
      <c r="BE146">
        <v>576.4</v>
      </c>
      <c r="BG146" s="2">
        <f t="shared" si="9"/>
        <v>28068</v>
      </c>
      <c r="BH146" t="str" cm="1">
        <f t="array" ref="BH146">_xlfn.IFS(Q146&lt;5,"0-5 Years",Q146&lt;10,"5-10 Years",Q146&lt;15,"10-15 Years",TRUE,"15+ Years")</f>
        <v>5-10 Years</v>
      </c>
      <c r="BI146" t="str" cm="1">
        <f t="array" ref="BI146">_xlfn.IFS(AA146&gt;=540,"A",AA146&gt;=480,"B",AA146&gt;=420,"C",AA146&gt;=360,"D",TRUE,"F")</f>
        <v>B</v>
      </c>
      <c r="BJ146" t="str" cm="1">
        <f t="array" ref="BJ146">_xlfn.IFS(AU146&lt;0,"Separated",AU146&lt;=90,"High Risk",AU146&lt;=180,"Medium Risk",TRUE,"Retained")</f>
        <v>Retained</v>
      </c>
      <c r="BK146" t="str" cm="1">
        <f t="array" ref="BK146">_xlfn.IFS(V146=0,"No Combat",V146=1,"1 Tour",V146=2,"2 Tours",TRUE,"3+ Tours")</f>
        <v>No Combat</v>
      </c>
      <c r="BL146" t="str">
        <f t="shared" si="10"/>
        <v>Standard</v>
      </c>
      <c r="BM146" t="str">
        <f t="shared" si="11"/>
        <v>Not Ready</v>
      </c>
      <c r="BN146" s="3">
        <f t="shared" si="12"/>
        <v>0.20778110303548525</v>
      </c>
      <c r="BO146">
        <f t="shared" si="13"/>
        <v>576.4</v>
      </c>
    </row>
    <row r="147" spans="1:67" x14ac:dyDescent="0.25">
      <c r="A147" t="s">
        <v>433</v>
      </c>
      <c r="B147" t="s">
        <v>210</v>
      </c>
      <c r="C147" t="s">
        <v>264</v>
      </c>
      <c r="D147" t="s">
        <v>51</v>
      </c>
      <c r="E147">
        <v>32</v>
      </c>
      <c r="F147" t="s">
        <v>291</v>
      </c>
      <c r="G147" t="s">
        <v>298</v>
      </c>
      <c r="H147" t="s">
        <v>299</v>
      </c>
      <c r="I147" t="s">
        <v>83</v>
      </c>
      <c r="J147" t="s">
        <v>84</v>
      </c>
      <c r="K147" t="s">
        <v>85</v>
      </c>
      <c r="L147" t="s">
        <v>58</v>
      </c>
      <c r="M147" t="s">
        <v>175</v>
      </c>
      <c r="N147" t="s">
        <v>60</v>
      </c>
      <c r="O147" t="s">
        <v>149</v>
      </c>
      <c r="P147" s="1">
        <v>39064</v>
      </c>
      <c r="Q147">
        <v>17.5</v>
      </c>
      <c r="R147" t="s">
        <v>195</v>
      </c>
      <c r="S147" t="s">
        <v>110</v>
      </c>
      <c r="T147" t="s">
        <v>111</v>
      </c>
      <c r="U147">
        <v>12</v>
      </c>
      <c r="V147">
        <v>2</v>
      </c>
      <c r="W147" s="2">
        <v>2149</v>
      </c>
      <c r="X147" s="2">
        <v>1523</v>
      </c>
      <c r="Y147" s="2">
        <v>422</v>
      </c>
      <c r="Z147" s="2">
        <v>4094</v>
      </c>
      <c r="AA147">
        <v>297</v>
      </c>
      <c r="AB147" t="s">
        <v>151</v>
      </c>
      <c r="AC147">
        <v>15.9</v>
      </c>
      <c r="AD147">
        <v>32</v>
      </c>
      <c r="AE147">
        <v>63</v>
      </c>
      <c r="AF147" t="s">
        <v>66</v>
      </c>
      <c r="AG147">
        <v>18</v>
      </c>
      <c r="AH147" t="s">
        <v>113</v>
      </c>
      <c r="AI147" t="s">
        <v>152</v>
      </c>
      <c r="AJ147" t="s">
        <v>96</v>
      </c>
      <c r="AK147" t="s">
        <v>70</v>
      </c>
      <c r="AL147" t="s">
        <v>70</v>
      </c>
      <c r="AM147" t="s">
        <v>70</v>
      </c>
      <c r="AN147" t="s">
        <v>72</v>
      </c>
      <c r="AO147" t="s">
        <v>203</v>
      </c>
      <c r="AP147" t="s">
        <v>72</v>
      </c>
      <c r="AQ147" t="s">
        <v>117</v>
      </c>
      <c r="AR147" s="1">
        <v>42053</v>
      </c>
      <c r="AS147" t="s">
        <v>137</v>
      </c>
      <c r="AT147" t="s">
        <v>71</v>
      </c>
      <c r="AU147">
        <v>1573</v>
      </c>
      <c r="AV147" t="s">
        <v>76</v>
      </c>
      <c r="AW147" s="3">
        <v>49128</v>
      </c>
      <c r="AX147" t="s">
        <v>798</v>
      </c>
      <c r="AY147" t="s">
        <v>122</v>
      </c>
      <c r="AZ147" t="s">
        <v>76</v>
      </c>
      <c r="BA147" t="s">
        <v>811</v>
      </c>
      <c r="BB147" t="s">
        <v>801</v>
      </c>
      <c r="BC147" t="s">
        <v>802</v>
      </c>
      <c r="BD147" s="3">
        <v>7.2545188080117243E-2</v>
      </c>
      <c r="BE147">
        <v>333.4</v>
      </c>
      <c r="BG147" s="2">
        <f t="shared" si="9"/>
        <v>49128</v>
      </c>
      <c r="BH147" t="str" cm="1">
        <f t="array" ref="BH147">_xlfn.IFS(Q147&lt;5,"0-5 Years",Q147&lt;10,"5-10 Years",Q147&lt;15,"10-15 Years",TRUE,"15+ Years")</f>
        <v>15+ Years</v>
      </c>
      <c r="BI147" t="str" cm="1">
        <f t="array" ref="BI147">_xlfn.IFS(AA147&gt;=540,"A",AA147&gt;=480,"B",AA147&gt;=420,"C",AA147&gt;=360,"D",TRUE,"F")</f>
        <v>F</v>
      </c>
      <c r="BJ147" t="str" cm="1">
        <f t="array" ref="BJ147">_xlfn.IFS(AU147&lt;0,"Separated",AU147&lt;=90,"High Risk",AU147&lt;=180,"Medium Risk",TRUE,"Retained")</f>
        <v>Retained</v>
      </c>
      <c r="BK147" t="str" cm="1">
        <f t="array" ref="BK147">_xlfn.IFS(V147=0,"No Combat",V147=1,"1 Tour",V147=2,"2 Tours",TRUE,"3+ Tours")</f>
        <v>2 Tours</v>
      </c>
      <c r="BL147" t="str">
        <f t="shared" si="10"/>
        <v>Standard</v>
      </c>
      <c r="BM147" t="str">
        <f t="shared" si="11"/>
        <v>Not Ready</v>
      </c>
      <c r="BN147" s="3">
        <f t="shared" si="12"/>
        <v>7.2545188080117243E-2</v>
      </c>
      <c r="BO147">
        <f t="shared" si="13"/>
        <v>333.4</v>
      </c>
    </row>
    <row r="148" spans="1:67" x14ac:dyDescent="0.25">
      <c r="A148" t="s">
        <v>434</v>
      </c>
      <c r="B148" t="s">
        <v>190</v>
      </c>
      <c r="C148" t="s">
        <v>79</v>
      </c>
      <c r="D148" t="s">
        <v>51</v>
      </c>
      <c r="E148">
        <v>38</v>
      </c>
      <c r="F148" t="s">
        <v>322</v>
      </c>
      <c r="G148" t="s">
        <v>142</v>
      </c>
      <c r="H148" t="s">
        <v>143</v>
      </c>
      <c r="I148" t="s">
        <v>83</v>
      </c>
      <c r="J148" t="s">
        <v>84</v>
      </c>
      <c r="K148" t="s">
        <v>85</v>
      </c>
      <c r="L148" t="s">
        <v>174</v>
      </c>
      <c r="M148" t="s">
        <v>147</v>
      </c>
      <c r="N148" t="s">
        <v>88</v>
      </c>
      <c r="O148" t="s">
        <v>61</v>
      </c>
      <c r="P148" s="1">
        <v>44852</v>
      </c>
      <c r="Q148">
        <v>1.6</v>
      </c>
      <c r="R148" t="s">
        <v>75</v>
      </c>
      <c r="S148" t="s">
        <v>63</v>
      </c>
      <c r="T148" t="s">
        <v>64</v>
      </c>
      <c r="U148">
        <v>0</v>
      </c>
      <c r="V148">
        <v>0</v>
      </c>
      <c r="W148" s="2">
        <v>5473</v>
      </c>
      <c r="X148" s="2">
        <v>1312</v>
      </c>
      <c r="Y148" s="2">
        <v>422</v>
      </c>
      <c r="Z148" s="2">
        <v>7207</v>
      </c>
      <c r="AA148">
        <v>414</v>
      </c>
      <c r="AB148" t="s">
        <v>65</v>
      </c>
      <c r="AC148">
        <v>20.7</v>
      </c>
      <c r="AD148">
        <v>56</v>
      </c>
      <c r="AE148">
        <v>60</v>
      </c>
      <c r="AF148" t="s">
        <v>112</v>
      </c>
      <c r="AG148">
        <v>40</v>
      </c>
      <c r="AH148" t="s">
        <v>94</v>
      </c>
      <c r="AI148" t="s">
        <v>114</v>
      </c>
      <c r="AJ148" t="s">
        <v>72</v>
      </c>
      <c r="AK148" t="s">
        <v>70</v>
      </c>
      <c r="AL148" t="s">
        <v>71</v>
      </c>
      <c r="AM148" t="s">
        <v>70</v>
      </c>
      <c r="AN148" t="s">
        <v>243</v>
      </c>
      <c r="AO148" t="s">
        <v>287</v>
      </c>
      <c r="AP148" t="s">
        <v>116</v>
      </c>
      <c r="AQ148" t="s">
        <v>136</v>
      </c>
      <c r="AR148" s="1">
        <v>45619</v>
      </c>
      <c r="AS148" t="s">
        <v>75</v>
      </c>
      <c r="AT148" t="s">
        <v>70</v>
      </c>
      <c r="AU148">
        <v>1694</v>
      </c>
      <c r="AV148" t="s">
        <v>76</v>
      </c>
      <c r="AW148" s="3">
        <v>86484</v>
      </c>
      <c r="AX148" t="s">
        <v>803</v>
      </c>
      <c r="AY148" t="s">
        <v>809</v>
      </c>
      <c r="AZ148" t="s">
        <v>76</v>
      </c>
      <c r="BA148" t="s">
        <v>800</v>
      </c>
      <c r="BB148" t="s">
        <v>801</v>
      </c>
      <c r="BC148" t="s">
        <v>802</v>
      </c>
      <c r="BD148" s="3">
        <v>5.7444151519356182E-2</v>
      </c>
      <c r="BE148">
        <v>504.4</v>
      </c>
      <c r="BG148" s="2">
        <f t="shared" si="9"/>
        <v>86484</v>
      </c>
      <c r="BH148" t="str" cm="1">
        <f t="array" ref="BH148">_xlfn.IFS(Q148&lt;5,"0-5 Years",Q148&lt;10,"5-10 Years",Q148&lt;15,"10-15 Years",TRUE,"15+ Years")</f>
        <v>0-5 Years</v>
      </c>
      <c r="BI148" t="str" cm="1">
        <f t="array" ref="BI148">_xlfn.IFS(AA148&gt;=540,"A",AA148&gt;=480,"B",AA148&gt;=420,"C",AA148&gt;=360,"D",TRUE,"F")</f>
        <v>D</v>
      </c>
      <c r="BJ148" t="str" cm="1">
        <f t="array" ref="BJ148">_xlfn.IFS(AU148&lt;0,"Separated",AU148&lt;=90,"High Risk",AU148&lt;=180,"Medium Risk",TRUE,"Retained")</f>
        <v>Retained</v>
      </c>
      <c r="BK148" t="str" cm="1">
        <f t="array" ref="BK148">_xlfn.IFS(V148=0,"No Combat",V148=1,"1 Tour",V148=2,"2 Tours",TRUE,"3+ Tours")</f>
        <v>No Combat</v>
      </c>
      <c r="BL148" t="str">
        <f t="shared" si="10"/>
        <v>Standard</v>
      </c>
      <c r="BM148" t="str">
        <f t="shared" si="11"/>
        <v>Not Ready</v>
      </c>
      <c r="BN148" s="3">
        <f t="shared" si="12"/>
        <v>5.7444151519356182E-2</v>
      </c>
      <c r="BO148">
        <f t="shared" si="13"/>
        <v>504.4</v>
      </c>
    </row>
    <row r="149" spans="1:67" x14ac:dyDescent="0.25">
      <c r="A149" t="s">
        <v>435</v>
      </c>
      <c r="B149" t="s">
        <v>120</v>
      </c>
      <c r="C149" t="s">
        <v>272</v>
      </c>
      <c r="D149" t="s">
        <v>51</v>
      </c>
      <c r="E149">
        <v>45</v>
      </c>
      <c r="F149" t="s">
        <v>80</v>
      </c>
      <c r="G149" t="s">
        <v>142</v>
      </c>
      <c r="H149" t="s">
        <v>143</v>
      </c>
      <c r="I149" t="s">
        <v>171</v>
      </c>
      <c r="J149" t="s">
        <v>172</v>
      </c>
      <c r="K149" t="s">
        <v>173</v>
      </c>
      <c r="L149" t="s">
        <v>126</v>
      </c>
      <c r="M149" t="s">
        <v>175</v>
      </c>
      <c r="N149" t="s">
        <v>265</v>
      </c>
      <c r="O149" t="s">
        <v>176</v>
      </c>
      <c r="P149" s="1">
        <v>38975</v>
      </c>
      <c r="Q149">
        <v>17.7</v>
      </c>
      <c r="R149" t="s">
        <v>129</v>
      </c>
      <c r="S149" t="s">
        <v>63</v>
      </c>
      <c r="T149" t="s">
        <v>64</v>
      </c>
      <c r="U149">
        <v>0</v>
      </c>
      <c r="V149">
        <v>0</v>
      </c>
      <c r="W149" s="2">
        <v>5473</v>
      </c>
      <c r="X149" s="2">
        <v>1165</v>
      </c>
      <c r="Y149" s="2">
        <v>422</v>
      </c>
      <c r="Z149" s="2">
        <v>7060</v>
      </c>
      <c r="AA149">
        <v>427</v>
      </c>
      <c r="AB149" t="s">
        <v>65</v>
      </c>
      <c r="AC149">
        <v>15.2</v>
      </c>
      <c r="AD149">
        <v>33</v>
      </c>
      <c r="AE149">
        <v>66</v>
      </c>
      <c r="AF149" t="s">
        <v>93</v>
      </c>
      <c r="AG149">
        <v>39</v>
      </c>
      <c r="AH149" t="s">
        <v>94</v>
      </c>
      <c r="AI149" t="s">
        <v>114</v>
      </c>
      <c r="AJ149" t="s">
        <v>188</v>
      </c>
      <c r="AK149" t="s">
        <v>70</v>
      </c>
      <c r="AL149" t="s">
        <v>70</v>
      </c>
      <c r="AM149" t="s">
        <v>70</v>
      </c>
      <c r="AN149" t="s">
        <v>72</v>
      </c>
      <c r="AO149" t="s">
        <v>72</v>
      </c>
      <c r="AP149" t="s">
        <v>73</v>
      </c>
      <c r="AQ149" t="s">
        <v>74</v>
      </c>
      <c r="AR149" s="1">
        <v>40763</v>
      </c>
      <c r="AS149" t="s">
        <v>118</v>
      </c>
      <c r="AT149" t="s">
        <v>71</v>
      </c>
      <c r="AU149">
        <v>958</v>
      </c>
      <c r="AV149" t="s">
        <v>76</v>
      </c>
      <c r="AW149" s="3">
        <v>84720</v>
      </c>
      <c r="AX149" t="s">
        <v>798</v>
      </c>
      <c r="AY149" t="s">
        <v>804</v>
      </c>
      <c r="AZ149" t="s">
        <v>76</v>
      </c>
      <c r="BA149" t="s">
        <v>800</v>
      </c>
      <c r="BB149" t="s">
        <v>801</v>
      </c>
      <c r="BC149" t="s">
        <v>802</v>
      </c>
      <c r="BD149" s="3">
        <v>6.0481586402266287E-2</v>
      </c>
      <c r="BE149">
        <v>505.4</v>
      </c>
      <c r="BG149" s="2">
        <f t="shared" si="9"/>
        <v>84720</v>
      </c>
      <c r="BH149" t="str" cm="1">
        <f t="array" ref="BH149">_xlfn.IFS(Q149&lt;5,"0-5 Years",Q149&lt;10,"5-10 Years",Q149&lt;15,"10-15 Years",TRUE,"15+ Years")</f>
        <v>15+ Years</v>
      </c>
      <c r="BI149" t="str" cm="1">
        <f t="array" ref="BI149">_xlfn.IFS(AA149&gt;=540,"A",AA149&gt;=480,"B",AA149&gt;=420,"C",AA149&gt;=360,"D",TRUE,"F")</f>
        <v>C</v>
      </c>
      <c r="BJ149" t="str" cm="1">
        <f t="array" ref="BJ149">_xlfn.IFS(AU149&lt;0,"Separated",AU149&lt;=90,"High Risk",AU149&lt;=180,"Medium Risk",TRUE,"Retained")</f>
        <v>Retained</v>
      </c>
      <c r="BK149" t="str" cm="1">
        <f t="array" ref="BK149">_xlfn.IFS(V149=0,"No Combat",V149=1,"1 Tour",V149=2,"2 Tours",TRUE,"3+ Tours")</f>
        <v>No Combat</v>
      </c>
      <c r="BL149" t="str">
        <f t="shared" si="10"/>
        <v>Standard</v>
      </c>
      <c r="BM149" t="str">
        <f t="shared" si="11"/>
        <v>Not Ready</v>
      </c>
      <c r="BN149" s="3">
        <f t="shared" si="12"/>
        <v>6.0481586402266287E-2</v>
      </c>
      <c r="BO149">
        <f t="shared" si="13"/>
        <v>505.4</v>
      </c>
    </row>
    <row r="150" spans="1:67" x14ac:dyDescent="0.25">
      <c r="A150" t="s">
        <v>436</v>
      </c>
      <c r="B150" t="s">
        <v>277</v>
      </c>
      <c r="C150" t="s">
        <v>140</v>
      </c>
      <c r="D150" t="s">
        <v>51</v>
      </c>
      <c r="E150">
        <v>43</v>
      </c>
      <c r="F150" t="s">
        <v>52</v>
      </c>
      <c r="G150" t="s">
        <v>193</v>
      </c>
      <c r="H150" t="s">
        <v>194</v>
      </c>
      <c r="I150" t="s">
        <v>158</v>
      </c>
      <c r="J150" t="s">
        <v>159</v>
      </c>
      <c r="K150" t="s">
        <v>160</v>
      </c>
      <c r="L150" t="s">
        <v>106</v>
      </c>
      <c r="M150" t="s">
        <v>249</v>
      </c>
      <c r="N150" t="s">
        <v>148</v>
      </c>
      <c r="O150" t="s">
        <v>89</v>
      </c>
      <c r="P150" s="1">
        <v>44613</v>
      </c>
      <c r="Q150">
        <v>2.2999999999999998</v>
      </c>
      <c r="R150" t="s">
        <v>75</v>
      </c>
      <c r="S150" t="s">
        <v>196</v>
      </c>
      <c r="T150" t="s">
        <v>197</v>
      </c>
      <c r="U150">
        <v>0</v>
      </c>
      <c r="V150">
        <v>0</v>
      </c>
      <c r="W150" s="2">
        <v>2259</v>
      </c>
      <c r="X150" s="2">
        <v>0</v>
      </c>
      <c r="Y150" s="2">
        <v>422</v>
      </c>
      <c r="Z150" s="2">
        <v>2681</v>
      </c>
      <c r="AA150">
        <v>451</v>
      </c>
      <c r="AB150" t="s">
        <v>65</v>
      </c>
      <c r="AC150">
        <v>19.7</v>
      </c>
      <c r="AD150">
        <v>43</v>
      </c>
      <c r="AE150">
        <v>69</v>
      </c>
      <c r="AF150" t="s">
        <v>132</v>
      </c>
      <c r="AG150">
        <v>34</v>
      </c>
      <c r="AH150" t="s">
        <v>67</v>
      </c>
      <c r="AI150" t="s">
        <v>95</v>
      </c>
      <c r="AJ150" t="s">
        <v>188</v>
      </c>
      <c r="AK150" t="s">
        <v>70</v>
      </c>
      <c r="AL150" t="s">
        <v>71</v>
      </c>
      <c r="AM150" t="s">
        <v>70</v>
      </c>
      <c r="AN150" t="s">
        <v>231</v>
      </c>
      <c r="AO150" t="s">
        <v>134</v>
      </c>
      <c r="AP150" t="s">
        <v>72</v>
      </c>
      <c r="AQ150" t="s">
        <v>117</v>
      </c>
      <c r="AR150" s="1">
        <v>44919</v>
      </c>
      <c r="AS150" t="s">
        <v>137</v>
      </c>
      <c r="AT150" t="s">
        <v>71</v>
      </c>
      <c r="AU150">
        <v>1372</v>
      </c>
      <c r="AV150" t="s">
        <v>76</v>
      </c>
      <c r="AW150" s="3">
        <v>32172</v>
      </c>
      <c r="AX150" t="s">
        <v>803</v>
      </c>
      <c r="AY150" t="s">
        <v>804</v>
      </c>
      <c r="AZ150" t="s">
        <v>76</v>
      </c>
      <c r="BA150" t="s">
        <v>800</v>
      </c>
      <c r="BB150" t="s">
        <v>801</v>
      </c>
      <c r="BC150" t="s">
        <v>802</v>
      </c>
      <c r="BD150" s="3">
        <v>0.16822081312942933</v>
      </c>
      <c r="BE150">
        <v>529.4</v>
      </c>
      <c r="BG150" s="2">
        <f t="shared" si="9"/>
        <v>32172</v>
      </c>
      <c r="BH150" t="str" cm="1">
        <f t="array" ref="BH150">_xlfn.IFS(Q150&lt;5,"0-5 Years",Q150&lt;10,"5-10 Years",Q150&lt;15,"10-15 Years",TRUE,"15+ Years")</f>
        <v>0-5 Years</v>
      </c>
      <c r="BI150" t="str" cm="1">
        <f t="array" ref="BI150">_xlfn.IFS(AA150&gt;=540,"A",AA150&gt;=480,"B",AA150&gt;=420,"C",AA150&gt;=360,"D",TRUE,"F")</f>
        <v>C</v>
      </c>
      <c r="BJ150" t="str" cm="1">
        <f t="array" ref="BJ150">_xlfn.IFS(AU150&lt;0,"Separated",AU150&lt;=90,"High Risk",AU150&lt;=180,"Medium Risk",TRUE,"Retained")</f>
        <v>Retained</v>
      </c>
      <c r="BK150" t="str" cm="1">
        <f t="array" ref="BK150">_xlfn.IFS(V150=0,"No Combat",V150=1,"1 Tour",V150=2,"2 Tours",TRUE,"3+ Tours")</f>
        <v>No Combat</v>
      </c>
      <c r="BL150" t="str">
        <f t="shared" si="10"/>
        <v>Standard</v>
      </c>
      <c r="BM150" t="str">
        <f t="shared" si="11"/>
        <v>Not Ready</v>
      </c>
      <c r="BN150" s="3">
        <f t="shared" si="12"/>
        <v>0.16822081312942933</v>
      </c>
      <c r="BO150">
        <f t="shared" si="13"/>
        <v>529.4</v>
      </c>
    </row>
    <row r="151" spans="1:67" x14ac:dyDescent="0.25">
      <c r="A151" t="s">
        <v>437</v>
      </c>
      <c r="B151" t="s">
        <v>267</v>
      </c>
      <c r="C151" t="s">
        <v>200</v>
      </c>
      <c r="D151" t="s">
        <v>51</v>
      </c>
      <c r="E151">
        <v>29</v>
      </c>
      <c r="F151" t="s">
        <v>291</v>
      </c>
      <c r="G151" t="s">
        <v>234</v>
      </c>
      <c r="H151" t="s">
        <v>235</v>
      </c>
      <c r="I151" t="s">
        <v>268</v>
      </c>
      <c r="J151" t="s">
        <v>269</v>
      </c>
      <c r="K151" t="s">
        <v>173</v>
      </c>
      <c r="L151" t="s">
        <v>106</v>
      </c>
      <c r="M151" t="s">
        <v>107</v>
      </c>
      <c r="N151" t="s">
        <v>162</v>
      </c>
      <c r="O151" t="s">
        <v>61</v>
      </c>
      <c r="P151" s="1">
        <v>39178</v>
      </c>
      <c r="Q151">
        <v>17.2</v>
      </c>
      <c r="R151" t="s">
        <v>75</v>
      </c>
      <c r="S151" t="s">
        <v>110</v>
      </c>
      <c r="T151" t="s">
        <v>111</v>
      </c>
      <c r="U151">
        <v>11</v>
      </c>
      <c r="V151">
        <v>1</v>
      </c>
      <c r="W151" s="2">
        <v>1917</v>
      </c>
      <c r="X151" s="2">
        <v>2054</v>
      </c>
      <c r="Y151" s="2">
        <v>422</v>
      </c>
      <c r="Z151" s="2">
        <v>4393</v>
      </c>
      <c r="AA151">
        <v>427</v>
      </c>
      <c r="AB151" t="s">
        <v>65</v>
      </c>
      <c r="AC151">
        <v>14.1</v>
      </c>
      <c r="AD151">
        <v>36</v>
      </c>
      <c r="AE151">
        <v>45</v>
      </c>
      <c r="AF151" t="s">
        <v>132</v>
      </c>
      <c r="AG151">
        <v>35</v>
      </c>
      <c r="AH151" t="s">
        <v>67</v>
      </c>
      <c r="AI151" t="s">
        <v>68</v>
      </c>
      <c r="AJ151" t="s">
        <v>188</v>
      </c>
      <c r="AK151" t="s">
        <v>70</v>
      </c>
      <c r="AL151" t="s">
        <v>70</v>
      </c>
      <c r="AM151" t="s">
        <v>70</v>
      </c>
      <c r="AN151" t="s">
        <v>72</v>
      </c>
      <c r="AO151" t="s">
        <v>221</v>
      </c>
      <c r="AP151" t="s">
        <v>72</v>
      </c>
      <c r="AQ151" t="s">
        <v>74</v>
      </c>
      <c r="AR151" s="1">
        <v>40157</v>
      </c>
      <c r="AS151" t="s">
        <v>198</v>
      </c>
      <c r="AT151" t="s">
        <v>71</v>
      </c>
      <c r="AU151">
        <v>436</v>
      </c>
      <c r="AV151" t="s">
        <v>76</v>
      </c>
      <c r="AW151" s="3">
        <v>52716</v>
      </c>
      <c r="AX151" t="s">
        <v>798</v>
      </c>
      <c r="AY151" t="s">
        <v>804</v>
      </c>
      <c r="AZ151" t="s">
        <v>76</v>
      </c>
      <c r="BA151" t="s">
        <v>807</v>
      </c>
      <c r="BB151" t="s">
        <v>801</v>
      </c>
      <c r="BC151" t="s">
        <v>802</v>
      </c>
      <c r="BD151" s="3">
        <v>9.7200091053949458E-2</v>
      </c>
      <c r="BE151">
        <v>497.4</v>
      </c>
      <c r="BG151" s="2">
        <f t="shared" si="9"/>
        <v>52716</v>
      </c>
      <c r="BH151" t="str" cm="1">
        <f t="array" ref="BH151">_xlfn.IFS(Q151&lt;5,"0-5 Years",Q151&lt;10,"5-10 Years",Q151&lt;15,"10-15 Years",TRUE,"15+ Years")</f>
        <v>15+ Years</v>
      </c>
      <c r="BI151" t="str" cm="1">
        <f t="array" ref="BI151">_xlfn.IFS(AA151&gt;=540,"A",AA151&gt;=480,"B",AA151&gt;=420,"C",AA151&gt;=360,"D",TRUE,"F")</f>
        <v>C</v>
      </c>
      <c r="BJ151" t="str" cm="1">
        <f t="array" ref="BJ151">_xlfn.IFS(AU151&lt;0,"Separated",AU151&lt;=90,"High Risk",AU151&lt;=180,"Medium Risk",TRUE,"Retained")</f>
        <v>Retained</v>
      </c>
      <c r="BK151" t="str" cm="1">
        <f t="array" ref="BK151">_xlfn.IFS(V151=0,"No Combat",V151=1,"1 Tour",V151=2,"2 Tours",TRUE,"3+ Tours")</f>
        <v>1 Tour</v>
      </c>
      <c r="BL151" t="str">
        <f t="shared" si="10"/>
        <v>Standard</v>
      </c>
      <c r="BM151" t="str">
        <f t="shared" si="11"/>
        <v>Not Ready</v>
      </c>
      <c r="BN151" s="3">
        <f t="shared" si="12"/>
        <v>9.7200091053949458E-2</v>
      </c>
      <c r="BO151">
        <f t="shared" si="13"/>
        <v>497.4</v>
      </c>
    </row>
    <row r="152" spans="1:67" x14ac:dyDescent="0.25">
      <c r="A152" t="s">
        <v>438</v>
      </c>
      <c r="B152" t="s">
        <v>120</v>
      </c>
      <c r="C152" t="s">
        <v>272</v>
      </c>
      <c r="D152" t="s">
        <v>51</v>
      </c>
      <c r="E152">
        <v>44</v>
      </c>
      <c r="F152" t="s">
        <v>80</v>
      </c>
      <c r="G152" t="s">
        <v>183</v>
      </c>
      <c r="H152" t="s">
        <v>184</v>
      </c>
      <c r="I152" t="s">
        <v>144</v>
      </c>
      <c r="J152" t="s">
        <v>145</v>
      </c>
      <c r="K152" t="s">
        <v>146</v>
      </c>
      <c r="L152" t="s">
        <v>126</v>
      </c>
      <c r="M152" t="s">
        <v>107</v>
      </c>
      <c r="N152" t="s">
        <v>108</v>
      </c>
      <c r="O152" t="s">
        <v>149</v>
      </c>
      <c r="P152" s="1">
        <v>42227</v>
      </c>
      <c r="Q152">
        <v>8.8000000000000007</v>
      </c>
      <c r="R152" t="s">
        <v>75</v>
      </c>
      <c r="S152" t="s">
        <v>196</v>
      </c>
      <c r="T152" t="s">
        <v>197</v>
      </c>
      <c r="U152">
        <v>0</v>
      </c>
      <c r="V152">
        <v>0</v>
      </c>
      <c r="W152" s="2">
        <v>5696</v>
      </c>
      <c r="X152" s="2">
        <v>0</v>
      </c>
      <c r="Y152" s="2">
        <v>266</v>
      </c>
      <c r="Z152" s="2">
        <v>5962</v>
      </c>
      <c r="AA152">
        <v>554</v>
      </c>
      <c r="AB152" t="s">
        <v>65</v>
      </c>
      <c r="AC152">
        <v>16.100000000000001</v>
      </c>
      <c r="AD152">
        <v>28</v>
      </c>
      <c r="AE152">
        <v>70</v>
      </c>
      <c r="AF152" t="s">
        <v>112</v>
      </c>
      <c r="AG152">
        <v>31</v>
      </c>
      <c r="AH152" t="s">
        <v>67</v>
      </c>
      <c r="AI152" t="s">
        <v>95</v>
      </c>
      <c r="AJ152" t="s">
        <v>72</v>
      </c>
      <c r="AK152" t="s">
        <v>70</v>
      </c>
      <c r="AL152" t="s">
        <v>71</v>
      </c>
      <c r="AM152" t="s">
        <v>70</v>
      </c>
      <c r="AN152" t="s">
        <v>243</v>
      </c>
      <c r="AO152" t="s">
        <v>134</v>
      </c>
      <c r="AP152" t="s">
        <v>72</v>
      </c>
      <c r="AQ152" t="s">
        <v>136</v>
      </c>
      <c r="AR152" s="1">
        <v>43069</v>
      </c>
      <c r="AS152" t="s">
        <v>137</v>
      </c>
      <c r="AT152" t="s">
        <v>71</v>
      </c>
      <c r="AU152">
        <v>978</v>
      </c>
      <c r="AV152" t="s">
        <v>76</v>
      </c>
      <c r="AW152" s="3">
        <v>71544</v>
      </c>
      <c r="AX152" t="s">
        <v>808</v>
      </c>
      <c r="AY152" t="s">
        <v>799</v>
      </c>
      <c r="AZ152" t="s">
        <v>76</v>
      </c>
      <c r="BA152" t="s">
        <v>800</v>
      </c>
      <c r="BB152" t="s">
        <v>801</v>
      </c>
      <c r="BC152" t="s">
        <v>802</v>
      </c>
      <c r="BD152" s="3">
        <v>9.2921838309292182E-2</v>
      </c>
      <c r="BE152">
        <v>626.4</v>
      </c>
      <c r="BG152" s="2">
        <f t="shared" si="9"/>
        <v>71544</v>
      </c>
      <c r="BH152" t="str" cm="1">
        <f t="array" ref="BH152">_xlfn.IFS(Q152&lt;5,"0-5 Years",Q152&lt;10,"5-10 Years",Q152&lt;15,"10-15 Years",TRUE,"15+ Years")</f>
        <v>5-10 Years</v>
      </c>
      <c r="BI152" t="str" cm="1">
        <f t="array" ref="BI152">_xlfn.IFS(AA152&gt;=540,"A",AA152&gt;=480,"B",AA152&gt;=420,"C",AA152&gt;=360,"D",TRUE,"F")</f>
        <v>A</v>
      </c>
      <c r="BJ152" t="str" cm="1">
        <f t="array" ref="BJ152">_xlfn.IFS(AU152&lt;0,"Separated",AU152&lt;=90,"High Risk",AU152&lt;=180,"Medium Risk",TRUE,"Retained")</f>
        <v>Retained</v>
      </c>
      <c r="BK152" t="str" cm="1">
        <f t="array" ref="BK152">_xlfn.IFS(V152=0,"No Combat",V152=1,"1 Tour",V152=2,"2 Tours",TRUE,"3+ Tours")</f>
        <v>No Combat</v>
      </c>
      <c r="BL152" t="str">
        <f t="shared" si="10"/>
        <v>Standard</v>
      </c>
      <c r="BM152" t="str">
        <f t="shared" si="11"/>
        <v>Not Ready</v>
      </c>
      <c r="BN152" s="3">
        <f t="shared" si="12"/>
        <v>9.2921838309292182E-2</v>
      </c>
      <c r="BO152">
        <f t="shared" si="13"/>
        <v>626.4</v>
      </c>
    </row>
    <row r="153" spans="1:67" x14ac:dyDescent="0.25">
      <c r="A153" t="s">
        <v>439</v>
      </c>
      <c r="B153" t="s">
        <v>282</v>
      </c>
      <c r="C153" t="s">
        <v>272</v>
      </c>
      <c r="D153" t="s">
        <v>51</v>
      </c>
      <c r="E153">
        <v>45</v>
      </c>
      <c r="F153" t="s">
        <v>123</v>
      </c>
      <c r="G153" t="s">
        <v>234</v>
      </c>
      <c r="H153" t="s">
        <v>235</v>
      </c>
      <c r="I153" t="s">
        <v>253</v>
      </c>
      <c r="J153" t="s">
        <v>254</v>
      </c>
      <c r="K153" t="s">
        <v>255</v>
      </c>
      <c r="L153" t="s">
        <v>174</v>
      </c>
      <c r="M153" t="s">
        <v>161</v>
      </c>
      <c r="N153" t="s">
        <v>128</v>
      </c>
      <c r="O153" t="s">
        <v>61</v>
      </c>
      <c r="P153" s="1">
        <v>39982</v>
      </c>
      <c r="Q153">
        <v>15</v>
      </c>
      <c r="R153" t="s">
        <v>75</v>
      </c>
      <c r="S153" t="s">
        <v>63</v>
      </c>
      <c r="T153" t="s">
        <v>64</v>
      </c>
      <c r="U153">
        <v>0</v>
      </c>
      <c r="V153">
        <v>0</v>
      </c>
      <c r="W153" s="2">
        <v>1917</v>
      </c>
      <c r="X153" s="2">
        <v>0</v>
      </c>
      <c r="Y153" s="2">
        <v>422</v>
      </c>
      <c r="Z153" s="2">
        <v>2339</v>
      </c>
      <c r="AA153">
        <v>456</v>
      </c>
      <c r="AB153" t="s">
        <v>65</v>
      </c>
      <c r="AC153">
        <v>20.8</v>
      </c>
      <c r="AD153">
        <v>38</v>
      </c>
      <c r="AE153">
        <v>52</v>
      </c>
      <c r="AF153" t="s">
        <v>132</v>
      </c>
      <c r="AG153">
        <v>40</v>
      </c>
      <c r="AH153" t="s">
        <v>94</v>
      </c>
      <c r="AI153" t="s">
        <v>68</v>
      </c>
      <c r="AJ153" t="s">
        <v>96</v>
      </c>
      <c r="AK153" t="s">
        <v>70</v>
      </c>
      <c r="AL153" t="s">
        <v>70</v>
      </c>
      <c r="AM153" t="s">
        <v>70</v>
      </c>
      <c r="AN153" t="s">
        <v>115</v>
      </c>
      <c r="AO153" t="s">
        <v>72</v>
      </c>
      <c r="AP153" t="s">
        <v>72</v>
      </c>
      <c r="AQ153" t="s">
        <v>136</v>
      </c>
      <c r="AR153" s="1">
        <v>43129</v>
      </c>
      <c r="AS153" t="s">
        <v>198</v>
      </c>
      <c r="AT153" t="s">
        <v>71</v>
      </c>
      <c r="AU153">
        <v>-208</v>
      </c>
      <c r="AV153" t="s">
        <v>179</v>
      </c>
      <c r="AW153" s="3">
        <v>28068</v>
      </c>
      <c r="AX153" t="s">
        <v>798</v>
      </c>
      <c r="AY153" t="s">
        <v>804</v>
      </c>
      <c r="AZ153" t="s">
        <v>810</v>
      </c>
      <c r="BA153" t="s">
        <v>800</v>
      </c>
      <c r="BB153" t="s">
        <v>801</v>
      </c>
      <c r="BC153" t="s">
        <v>802</v>
      </c>
      <c r="BD153" s="3">
        <v>0.19495510902094912</v>
      </c>
      <c r="BE153">
        <v>536.4</v>
      </c>
      <c r="BG153" s="2">
        <f t="shared" si="9"/>
        <v>28068</v>
      </c>
      <c r="BH153" t="str" cm="1">
        <f t="array" ref="BH153">_xlfn.IFS(Q153&lt;5,"0-5 Years",Q153&lt;10,"5-10 Years",Q153&lt;15,"10-15 Years",TRUE,"15+ Years")</f>
        <v>15+ Years</v>
      </c>
      <c r="BI153" t="str" cm="1">
        <f t="array" ref="BI153">_xlfn.IFS(AA153&gt;=540,"A",AA153&gt;=480,"B",AA153&gt;=420,"C",AA153&gt;=360,"D",TRUE,"F")</f>
        <v>C</v>
      </c>
      <c r="BJ153" t="str" cm="1">
        <f t="array" ref="BJ153">_xlfn.IFS(AU153&lt;0,"Separated",AU153&lt;=90,"High Risk",AU153&lt;=180,"Medium Risk",TRUE,"Retained")</f>
        <v>Separated</v>
      </c>
      <c r="BK153" t="str" cm="1">
        <f t="array" ref="BK153">_xlfn.IFS(V153=0,"No Combat",V153=1,"1 Tour",V153=2,"2 Tours",TRUE,"3+ Tours")</f>
        <v>No Combat</v>
      </c>
      <c r="BL153" t="str">
        <f t="shared" si="10"/>
        <v>Standard</v>
      </c>
      <c r="BM153" t="str">
        <f t="shared" si="11"/>
        <v>Not Ready</v>
      </c>
      <c r="BN153" s="3">
        <f t="shared" si="12"/>
        <v>0.19495510902094912</v>
      </c>
      <c r="BO153">
        <f t="shared" si="13"/>
        <v>536.4</v>
      </c>
    </row>
    <row r="154" spans="1:67" x14ac:dyDescent="0.25">
      <c r="A154" t="s">
        <v>440</v>
      </c>
      <c r="B154" t="s">
        <v>267</v>
      </c>
      <c r="C154" t="s">
        <v>264</v>
      </c>
      <c r="D154" t="s">
        <v>51</v>
      </c>
      <c r="E154">
        <v>24</v>
      </c>
      <c r="F154" t="s">
        <v>123</v>
      </c>
      <c r="G154" t="s">
        <v>53</v>
      </c>
      <c r="H154" t="s">
        <v>54</v>
      </c>
      <c r="I154" t="s">
        <v>83</v>
      </c>
      <c r="J154" t="s">
        <v>84</v>
      </c>
      <c r="K154" t="s">
        <v>85</v>
      </c>
      <c r="L154" t="s">
        <v>86</v>
      </c>
      <c r="M154" t="s">
        <v>175</v>
      </c>
      <c r="N154" t="s">
        <v>88</v>
      </c>
      <c r="O154" t="s">
        <v>176</v>
      </c>
      <c r="P154" s="1">
        <v>43312</v>
      </c>
      <c r="Q154">
        <v>5.8</v>
      </c>
      <c r="R154" t="s">
        <v>62</v>
      </c>
      <c r="S154" t="s">
        <v>219</v>
      </c>
      <c r="T154" t="s">
        <v>220</v>
      </c>
      <c r="U154">
        <v>0</v>
      </c>
      <c r="V154">
        <v>0</v>
      </c>
      <c r="W154" s="2">
        <v>4739</v>
      </c>
      <c r="X154" s="2">
        <v>1609</v>
      </c>
      <c r="Y154" s="2">
        <v>422</v>
      </c>
      <c r="Z154" s="2">
        <v>6770</v>
      </c>
      <c r="AA154">
        <v>590</v>
      </c>
      <c r="AB154" t="s">
        <v>65</v>
      </c>
      <c r="AC154">
        <v>20</v>
      </c>
      <c r="AD154">
        <v>69</v>
      </c>
      <c r="AE154">
        <v>53</v>
      </c>
      <c r="AF154" t="s">
        <v>132</v>
      </c>
      <c r="AG154">
        <v>29</v>
      </c>
      <c r="AH154" t="s">
        <v>113</v>
      </c>
      <c r="AI154" t="s">
        <v>95</v>
      </c>
      <c r="AJ154" t="s">
        <v>188</v>
      </c>
      <c r="AK154" t="s">
        <v>70</v>
      </c>
      <c r="AL154" t="s">
        <v>70</v>
      </c>
      <c r="AM154" t="s">
        <v>71</v>
      </c>
      <c r="AN154" t="s">
        <v>72</v>
      </c>
      <c r="AO154" t="s">
        <v>178</v>
      </c>
      <c r="AP154" t="s">
        <v>72</v>
      </c>
      <c r="AQ154" t="s">
        <v>136</v>
      </c>
      <c r="AR154" s="1">
        <v>45039</v>
      </c>
      <c r="AS154" t="s">
        <v>137</v>
      </c>
      <c r="AT154" t="s">
        <v>71</v>
      </c>
      <c r="AU154">
        <v>1746</v>
      </c>
      <c r="AV154" t="s">
        <v>76</v>
      </c>
      <c r="AW154" s="3">
        <v>81240</v>
      </c>
      <c r="AX154" t="s">
        <v>808</v>
      </c>
      <c r="AY154" t="s">
        <v>799</v>
      </c>
      <c r="AZ154" t="s">
        <v>76</v>
      </c>
      <c r="BA154" t="s">
        <v>800</v>
      </c>
      <c r="BB154" t="s">
        <v>801</v>
      </c>
      <c r="BC154" t="s">
        <v>802</v>
      </c>
      <c r="BD154" s="3">
        <v>8.7149187592319058E-2</v>
      </c>
      <c r="BE154">
        <v>668.4</v>
      </c>
      <c r="BG154" s="2">
        <f t="shared" si="9"/>
        <v>81240</v>
      </c>
      <c r="BH154" t="str" cm="1">
        <f t="array" ref="BH154">_xlfn.IFS(Q154&lt;5,"0-5 Years",Q154&lt;10,"5-10 Years",Q154&lt;15,"10-15 Years",TRUE,"15+ Years")</f>
        <v>5-10 Years</v>
      </c>
      <c r="BI154" t="str" cm="1">
        <f t="array" ref="BI154">_xlfn.IFS(AA154&gt;=540,"A",AA154&gt;=480,"B",AA154&gt;=420,"C",AA154&gt;=360,"D",TRUE,"F")</f>
        <v>A</v>
      </c>
      <c r="BJ154" t="str" cm="1">
        <f t="array" ref="BJ154">_xlfn.IFS(AU154&lt;0,"Separated",AU154&lt;=90,"High Risk",AU154&lt;=180,"Medium Risk",TRUE,"Retained")</f>
        <v>Retained</v>
      </c>
      <c r="BK154" t="str" cm="1">
        <f t="array" ref="BK154">_xlfn.IFS(V154=0,"No Combat",V154=1,"1 Tour",V154=2,"2 Tours",TRUE,"3+ Tours")</f>
        <v>No Combat</v>
      </c>
      <c r="BL154" t="str">
        <f t="shared" si="10"/>
        <v>Standard</v>
      </c>
      <c r="BM154" t="str">
        <f t="shared" si="11"/>
        <v>Not Ready</v>
      </c>
      <c r="BN154" s="3">
        <f t="shared" si="12"/>
        <v>8.7149187592319058E-2</v>
      </c>
      <c r="BO154">
        <f t="shared" si="13"/>
        <v>668.4</v>
      </c>
    </row>
    <row r="155" spans="1:67" x14ac:dyDescent="0.25">
      <c r="A155" t="s">
        <v>441</v>
      </c>
      <c r="B155" t="s">
        <v>78</v>
      </c>
      <c r="C155" t="s">
        <v>50</v>
      </c>
      <c r="D155" t="s">
        <v>51</v>
      </c>
      <c r="E155">
        <v>26</v>
      </c>
      <c r="F155" t="s">
        <v>168</v>
      </c>
      <c r="G155" t="s">
        <v>193</v>
      </c>
      <c r="H155" t="s">
        <v>194</v>
      </c>
      <c r="I155" t="s">
        <v>171</v>
      </c>
      <c r="J155" t="s">
        <v>172</v>
      </c>
      <c r="K155" t="s">
        <v>173</v>
      </c>
      <c r="L155" t="s">
        <v>86</v>
      </c>
      <c r="M155" t="s">
        <v>87</v>
      </c>
      <c r="N155" t="s">
        <v>108</v>
      </c>
      <c r="O155" t="s">
        <v>89</v>
      </c>
      <c r="P155" s="1">
        <v>43717</v>
      </c>
      <c r="Q155">
        <v>4.7</v>
      </c>
      <c r="R155" t="s">
        <v>90</v>
      </c>
      <c r="S155" t="s">
        <v>91</v>
      </c>
      <c r="T155" t="s">
        <v>92</v>
      </c>
      <c r="U155">
        <v>9</v>
      </c>
      <c r="V155">
        <v>1</v>
      </c>
      <c r="W155" s="2">
        <v>2259</v>
      </c>
      <c r="X155" s="2">
        <v>0</v>
      </c>
      <c r="Y155" s="2">
        <v>422</v>
      </c>
      <c r="Z155" s="2">
        <v>2681</v>
      </c>
      <c r="AA155">
        <v>354</v>
      </c>
      <c r="AB155" t="s">
        <v>151</v>
      </c>
      <c r="AC155">
        <v>18.8</v>
      </c>
      <c r="AD155">
        <v>48</v>
      </c>
      <c r="AE155">
        <v>70</v>
      </c>
      <c r="AF155" t="s">
        <v>93</v>
      </c>
      <c r="AG155">
        <v>32</v>
      </c>
      <c r="AH155" t="s">
        <v>67</v>
      </c>
      <c r="AI155" t="s">
        <v>95</v>
      </c>
      <c r="AJ155" t="s">
        <v>96</v>
      </c>
      <c r="AK155" t="s">
        <v>70</v>
      </c>
      <c r="AL155" t="s">
        <v>70</v>
      </c>
      <c r="AM155" t="s">
        <v>70</v>
      </c>
      <c r="AN155" t="s">
        <v>133</v>
      </c>
      <c r="AO155" t="s">
        <v>178</v>
      </c>
      <c r="AP155" t="s">
        <v>72</v>
      </c>
      <c r="AQ155" t="s">
        <v>117</v>
      </c>
      <c r="AR155" s="1">
        <v>44191</v>
      </c>
      <c r="AS155" t="s">
        <v>118</v>
      </c>
      <c r="AT155" t="s">
        <v>71</v>
      </c>
      <c r="AU155">
        <v>1370</v>
      </c>
      <c r="AV155" t="s">
        <v>76</v>
      </c>
      <c r="AW155" s="3">
        <v>32172</v>
      </c>
      <c r="AX155" t="s">
        <v>803</v>
      </c>
      <c r="AY155" t="s">
        <v>122</v>
      </c>
      <c r="AZ155" t="s">
        <v>76</v>
      </c>
      <c r="BA155" t="s">
        <v>807</v>
      </c>
      <c r="BB155" t="s">
        <v>801</v>
      </c>
      <c r="BC155" t="s">
        <v>802</v>
      </c>
      <c r="BD155" s="3">
        <v>0.1320402834763148</v>
      </c>
      <c r="BE155">
        <v>418.4</v>
      </c>
      <c r="BG155" s="2">
        <f t="shared" si="9"/>
        <v>32172</v>
      </c>
      <c r="BH155" t="str" cm="1">
        <f t="array" ref="BH155">_xlfn.IFS(Q155&lt;5,"0-5 Years",Q155&lt;10,"5-10 Years",Q155&lt;15,"10-15 Years",TRUE,"15+ Years")</f>
        <v>0-5 Years</v>
      </c>
      <c r="BI155" t="str" cm="1">
        <f t="array" ref="BI155">_xlfn.IFS(AA155&gt;=540,"A",AA155&gt;=480,"B",AA155&gt;=420,"C",AA155&gt;=360,"D",TRUE,"F")</f>
        <v>F</v>
      </c>
      <c r="BJ155" t="str" cm="1">
        <f t="array" ref="BJ155">_xlfn.IFS(AU155&lt;0,"Separated",AU155&lt;=90,"High Risk",AU155&lt;=180,"Medium Risk",TRUE,"Retained")</f>
        <v>Retained</v>
      </c>
      <c r="BK155" t="str" cm="1">
        <f t="array" ref="BK155">_xlfn.IFS(V155=0,"No Combat",V155=1,"1 Tour",V155=2,"2 Tours",TRUE,"3+ Tours")</f>
        <v>1 Tour</v>
      </c>
      <c r="BL155" t="str">
        <f t="shared" si="10"/>
        <v>Standard</v>
      </c>
      <c r="BM155" t="str">
        <f t="shared" si="11"/>
        <v>Not Ready</v>
      </c>
      <c r="BN155" s="3">
        <f t="shared" si="12"/>
        <v>0.1320402834763148</v>
      </c>
      <c r="BO155">
        <f t="shared" si="13"/>
        <v>418.4</v>
      </c>
    </row>
    <row r="156" spans="1:67" x14ac:dyDescent="0.25">
      <c r="A156" t="s">
        <v>442</v>
      </c>
      <c r="B156" t="s">
        <v>139</v>
      </c>
      <c r="C156" t="s">
        <v>246</v>
      </c>
      <c r="D156" t="s">
        <v>122</v>
      </c>
      <c r="E156">
        <v>42</v>
      </c>
      <c r="F156" t="s">
        <v>52</v>
      </c>
      <c r="G156" t="s">
        <v>142</v>
      </c>
      <c r="H156" t="s">
        <v>143</v>
      </c>
      <c r="I156" t="s">
        <v>236</v>
      </c>
      <c r="J156" t="s">
        <v>237</v>
      </c>
      <c r="K156" t="s">
        <v>238</v>
      </c>
      <c r="L156" t="s">
        <v>86</v>
      </c>
      <c r="M156" t="s">
        <v>249</v>
      </c>
      <c r="N156" t="s">
        <v>148</v>
      </c>
      <c r="O156" t="s">
        <v>149</v>
      </c>
      <c r="P156" s="1">
        <v>39086</v>
      </c>
      <c r="Q156">
        <v>17.399999999999999</v>
      </c>
      <c r="R156" t="s">
        <v>129</v>
      </c>
      <c r="S156" t="s">
        <v>91</v>
      </c>
      <c r="T156" t="s">
        <v>92</v>
      </c>
      <c r="U156">
        <v>9</v>
      </c>
      <c r="V156">
        <v>1</v>
      </c>
      <c r="W156" s="2">
        <v>5473</v>
      </c>
      <c r="X156" s="2">
        <v>1549</v>
      </c>
      <c r="Y156" s="2">
        <v>422</v>
      </c>
      <c r="Z156" s="2">
        <v>7444</v>
      </c>
      <c r="AA156">
        <v>290</v>
      </c>
      <c r="AB156" t="s">
        <v>151</v>
      </c>
      <c r="AC156">
        <v>14.7</v>
      </c>
      <c r="AD156">
        <v>39</v>
      </c>
      <c r="AE156">
        <v>30</v>
      </c>
      <c r="AF156" t="s">
        <v>93</v>
      </c>
      <c r="AG156">
        <v>27</v>
      </c>
      <c r="AH156" t="s">
        <v>113</v>
      </c>
      <c r="AI156" t="s">
        <v>68</v>
      </c>
      <c r="AJ156" t="s">
        <v>69</v>
      </c>
      <c r="AK156" t="s">
        <v>70</v>
      </c>
      <c r="AL156" t="s">
        <v>70</v>
      </c>
      <c r="AM156" t="s">
        <v>71</v>
      </c>
      <c r="AN156" t="s">
        <v>115</v>
      </c>
      <c r="AO156" t="s">
        <v>134</v>
      </c>
      <c r="AP156" t="s">
        <v>72</v>
      </c>
      <c r="AQ156" t="s">
        <v>136</v>
      </c>
      <c r="AR156" s="1">
        <v>42143</v>
      </c>
      <c r="AS156" t="s">
        <v>118</v>
      </c>
      <c r="AT156" t="s">
        <v>71</v>
      </c>
      <c r="AU156">
        <v>272</v>
      </c>
      <c r="AV156" t="s">
        <v>76</v>
      </c>
      <c r="AW156" s="3">
        <v>89328</v>
      </c>
      <c r="AX156" t="s">
        <v>798</v>
      </c>
      <c r="AY156" t="s">
        <v>122</v>
      </c>
      <c r="AZ156" t="s">
        <v>76</v>
      </c>
      <c r="BA156" t="s">
        <v>807</v>
      </c>
      <c r="BB156" t="s">
        <v>801</v>
      </c>
      <c r="BC156" t="s">
        <v>802</v>
      </c>
      <c r="BD156" s="3">
        <v>3.8957549704459971E-2</v>
      </c>
      <c r="BE156">
        <v>364.4</v>
      </c>
      <c r="BG156" s="2">
        <f t="shared" si="9"/>
        <v>89328</v>
      </c>
      <c r="BH156" t="str" cm="1">
        <f t="array" ref="BH156">_xlfn.IFS(Q156&lt;5,"0-5 Years",Q156&lt;10,"5-10 Years",Q156&lt;15,"10-15 Years",TRUE,"15+ Years")</f>
        <v>15+ Years</v>
      </c>
      <c r="BI156" t="str" cm="1">
        <f t="array" ref="BI156">_xlfn.IFS(AA156&gt;=540,"A",AA156&gt;=480,"B",AA156&gt;=420,"C",AA156&gt;=360,"D",TRUE,"F")</f>
        <v>F</v>
      </c>
      <c r="BJ156" t="str" cm="1">
        <f t="array" ref="BJ156">_xlfn.IFS(AU156&lt;0,"Separated",AU156&lt;=90,"High Risk",AU156&lt;=180,"Medium Risk",TRUE,"Retained")</f>
        <v>Retained</v>
      </c>
      <c r="BK156" t="str" cm="1">
        <f t="array" ref="BK156">_xlfn.IFS(V156=0,"No Combat",V156=1,"1 Tour",V156=2,"2 Tours",TRUE,"3+ Tours")</f>
        <v>1 Tour</v>
      </c>
      <c r="BL156" t="str">
        <f t="shared" si="10"/>
        <v>Standard</v>
      </c>
      <c r="BM156" t="str">
        <f t="shared" si="11"/>
        <v>Not Ready</v>
      </c>
      <c r="BN156" s="3">
        <f t="shared" si="12"/>
        <v>3.8957549704459971E-2</v>
      </c>
      <c r="BO156">
        <f t="shared" si="13"/>
        <v>364.4</v>
      </c>
    </row>
    <row r="157" spans="1:67" x14ac:dyDescent="0.25">
      <c r="A157" t="s">
        <v>443</v>
      </c>
      <c r="B157" t="s">
        <v>166</v>
      </c>
      <c r="C157" t="s">
        <v>246</v>
      </c>
      <c r="D157" t="s">
        <v>122</v>
      </c>
      <c r="E157">
        <v>21</v>
      </c>
      <c r="F157" t="s">
        <v>278</v>
      </c>
      <c r="G157" t="s">
        <v>156</v>
      </c>
      <c r="H157" t="s">
        <v>157</v>
      </c>
      <c r="I157" t="s">
        <v>55</v>
      </c>
      <c r="J157" t="s">
        <v>56</v>
      </c>
      <c r="K157" t="s">
        <v>57</v>
      </c>
      <c r="L157" t="s">
        <v>58</v>
      </c>
      <c r="M157" t="s">
        <v>59</v>
      </c>
      <c r="N157" t="s">
        <v>265</v>
      </c>
      <c r="O157" t="s">
        <v>109</v>
      </c>
      <c r="P157" s="1">
        <v>41452</v>
      </c>
      <c r="Q157">
        <v>10.9</v>
      </c>
      <c r="R157" t="s">
        <v>62</v>
      </c>
      <c r="S157" t="s">
        <v>130</v>
      </c>
      <c r="T157" t="s">
        <v>131</v>
      </c>
      <c r="U157">
        <v>8</v>
      </c>
      <c r="V157">
        <v>1</v>
      </c>
      <c r="W157" s="2">
        <v>4836</v>
      </c>
      <c r="X157" s="2">
        <v>962</v>
      </c>
      <c r="Y157" s="2">
        <v>266</v>
      </c>
      <c r="Z157" s="2">
        <v>6064</v>
      </c>
      <c r="AA157">
        <v>429</v>
      </c>
      <c r="AB157" t="s">
        <v>65</v>
      </c>
      <c r="AC157">
        <v>17.8</v>
      </c>
      <c r="AD157">
        <v>53</v>
      </c>
      <c r="AE157">
        <v>78</v>
      </c>
      <c r="AF157" t="s">
        <v>112</v>
      </c>
      <c r="AG157">
        <v>36</v>
      </c>
      <c r="AH157" t="s">
        <v>94</v>
      </c>
      <c r="AI157" t="s">
        <v>152</v>
      </c>
      <c r="AJ157" t="s">
        <v>72</v>
      </c>
      <c r="AK157" t="s">
        <v>70</v>
      </c>
      <c r="AL157" t="s">
        <v>71</v>
      </c>
      <c r="AM157" t="s">
        <v>70</v>
      </c>
      <c r="AN157" t="s">
        <v>72</v>
      </c>
      <c r="AO157" t="s">
        <v>72</v>
      </c>
      <c r="AP157" t="s">
        <v>134</v>
      </c>
      <c r="AQ157" t="s">
        <v>74</v>
      </c>
      <c r="AR157" s="1">
        <v>45305</v>
      </c>
      <c r="AS157" t="s">
        <v>198</v>
      </c>
      <c r="AT157" t="s">
        <v>71</v>
      </c>
      <c r="AU157">
        <v>269</v>
      </c>
      <c r="AV157" t="s">
        <v>76</v>
      </c>
      <c r="AW157" s="3">
        <v>72768</v>
      </c>
      <c r="AX157" t="s">
        <v>805</v>
      </c>
      <c r="AY157" t="s">
        <v>804</v>
      </c>
      <c r="AZ157" t="s">
        <v>76</v>
      </c>
      <c r="BA157" t="s">
        <v>807</v>
      </c>
      <c r="BB157" t="s">
        <v>801</v>
      </c>
      <c r="BC157" t="s">
        <v>802</v>
      </c>
      <c r="BD157" s="3">
        <v>7.0745382585751984E-2</v>
      </c>
      <c r="BE157">
        <v>511.4</v>
      </c>
      <c r="BG157" s="2">
        <f t="shared" si="9"/>
        <v>72768</v>
      </c>
      <c r="BH157" t="str" cm="1">
        <f t="array" ref="BH157">_xlfn.IFS(Q157&lt;5,"0-5 Years",Q157&lt;10,"5-10 Years",Q157&lt;15,"10-15 Years",TRUE,"15+ Years")</f>
        <v>10-15 Years</v>
      </c>
      <c r="BI157" t="str" cm="1">
        <f t="array" ref="BI157">_xlfn.IFS(AA157&gt;=540,"A",AA157&gt;=480,"B",AA157&gt;=420,"C",AA157&gt;=360,"D",TRUE,"F")</f>
        <v>C</v>
      </c>
      <c r="BJ157" t="str" cm="1">
        <f t="array" ref="BJ157">_xlfn.IFS(AU157&lt;0,"Separated",AU157&lt;=90,"High Risk",AU157&lt;=180,"Medium Risk",TRUE,"Retained")</f>
        <v>Retained</v>
      </c>
      <c r="BK157" t="str" cm="1">
        <f t="array" ref="BK157">_xlfn.IFS(V157=0,"No Combat",V157=1,"1 Tour",V157=2,"2 Tours",TRUE,"3+ Tours")</f>
        <v>1 Tour</v>
      </c>
      <c r="BL157" t="str">
        <f t="shared" si="10"/>
        <v>Standard</v>
      </c>
      <c r="BM157" t="str">
        <f t="shared" si="11"/>
        <v>Not Ready</v>
      </c>
      <c r="BN157" s="3">
        <f t="shared" si="12"/>
        <v>7.0745382585751984E-2</v>
      </c>
      <c r="BO157">
        <f t="shared" si="13"/>
        <v>511.4</v>
      </c>
    </row>
    <row r="158" spans="1:67" x14ac:dyDescent="0.25">
      <c r="A158" t="s">
        <v>444</v>
      </c>
      <c r="B158" t="s">
        <v>377</v>
      </c>
      <c r="C158" t="s">
        <v>50</v>
      </c>
      <c r="D158" t="s">
        <v>51</v>
      </c>
      <c r="E158">
        <v>19</v>
      </c>
      <c r="F158" t="s">
        <v>80</v>
      </c>
      <c r="G158" t="s">
        <v>298</v>
      </c>
      <c r="H158" t="s">
        <v>299</v>
      </c>
      <c r="I158" t="s">
        <v>103</v>
      </c>
      <c r="J158" t="s">
        <v>104</v>
      </c>
      <c r="K158" t="s">
        <v>105</v>
      </c>
      <c r="L158" t="s">
        <v>174</v>
      </c>
      <c r="M158" t="s">
        <v>275</v>
      </c>
      <c r="N158" t="s">
        <v>60</v>
      </c>
      <c r="O158" t="s">
        <v>176</v>
      </c>
      <c r="P158" s="1">
        <v>40558</v>
      </c>
      <c r="Q158">
        <v>13.4</v>
      </c>
      <c r="R158" t="s">
        <v>75</v>
      </c>
      <c r="S158" t="s">
        <v>130</v>
      </c>
      <c r="T158" t="s">
        <v>131</v>
      </c>
      <c r="U158">
        <v>14</v>
      </c>
      <c r="V158">
        <v>2</v>
      </c>
      <c r="W158" s="2">
        <v>2149</v>
      </c>
      <c r="X158" s="2">
        <v>0</v>
      </c>
      <c r="Y158" s="2">
        <v>422</v>
      </c>
      <c r="Z158" s="2">
        <v>2571</v>
      </c>
      <c r="AA158">
        <v>401</v>
      </c>
      <c r="AB158" t="s">
        <v>65</v>
      </c>
      <c r="AC158">
        <v>13.3</v>
      </c>
      <c r="AD158">
        <v>20</v>
      </c>
      <c r="AE158">
        <v>61</v>
      </c>
      <c r="AF158" t="s">
        <v>112</v>
      </c>
      <c r="AG158">
        <v>29</v>
      </c>
      <c r="AH158" t="s">
        <v>113</v>
      </c>
      <c r="AI158" t="s">
        <v>95</v>
      </c>
      <c r="AJ158" t="s">
        <v>72</v>
      </c>
      <c r="AK158" t="s">
        <v>70</v>
      </c>
      <c r="AL158" t="s">
        <v>71</v>
      </c>
      <c r="AM158" t="s">
        <v>70</v>
      </c>
      <c r="AN158" t="s">
        <v>202</v>
      </c>
      <c r="AO158" t="s">
        <v>134</v>
      </c>
      <c r="AP158" t="s">
        <v>287</v>
      </c>
      <c r="AQ158" t="s">
        <v>117</v>
      </c>
      <c r="AR158" s="1">
        <v>42118</v>
      </c>
      <c r="AS158" t="s">
        <v>137</v>
      </c>
      <c r="AT158" t="s">
        <v>71</v>
      </c>
      <c r="AU158">
        <v>524</v>
      </c>
      <c r="AV158" t="s">
        <v>76</v>
      </c>
      <c r="AW158" s="3">
        <v>30852</v>
      </c>
      <c r="AX158" t="s">
        <v>805</v>
      </c>
      <c r="AY158" t="s">
        <v>809</v>
      </c>
      <c r="AZ158" t="s">
        <v>76</v>
      </c>
      <c r="BA158" t="s">
        <v>811</v>
      </c>
      <c r="BB158" t="s">
        <v>801</v>
      </c>
      <c r="BC158" t="s">
        <v>802</v>
      </c>
      <c r="BD158" s="3">
        <v>0.1559704395176974</v>
      </c>
      <c r="BE158">
        <v>469.4</v>
      </c>
      <c r="BG158" s="2">
        <f t="shared" si="9"/>
        <v>30852</v>
      </c>
      <c r="BH158" t="str" cm="1">
        <f t="array" ref="BH158">_xlfn.IFS(Q158&lt;5,"0-5 Years",Q158&lt;10,"5-10 Years",Q158&lt;15,"10-15 Years",TRUE,"15+ Years")</f>
        <v>10-15 Years</v>
      </c>
      <c r="BI158" t="str" cm="1">
        <f t="array" ref="BI158">_xlfn.IFS(AA158&gt;=540,"A",AA158&gt;=480,"B",AA158&gt;=420,"C",AA158&gt;=360,"D",TRUE,"F")</f>
        <v>D</v>
      </c>
      <c r="BJ158" t="str" cm="1">
        <f t="array" ref="BJ158">_xlfn.IFS(AU158&lt;0,"Separated",AU158&lt;=90,"High Risk",AU158&lt;=180,"Medium Risk",TRUE,"Retained")</f>
        <v>Retained</v>
      </c>
      <c r="BK158" t="str" cm="1">
        <f t="array" ref="BK158">_xlfn.IFS(V158=0,"No Combat",V158=1,"1 Tour",V158=2,"2 Tours",TRUE,"3+ Tours")</f>
        <v>2 Tours</v>
      </c>
      <c r="BL158" t="str">
        <f t="shared" si="10"/>
        <v>Standard</v>
      </c>
      <c r="BM158" t="str">
        <f t="shared" si="11"/>
        <v>Not Ready</v>
      </c>
      <c r="BN158" s="3">
        <f t="shared" si="12"/>
        <v>0.1559704395176974</v>
      </c>
      <c r="BO158">
        <f t="shared" si="13"/>
        <v>469.4</v>
      </c>
    </row>
    <row r="159" spans="1:67" x14ac:dyDescent="0.25">
      <c r="A159" t="s">
        <v>445</v>
      </c>
      <c r="B159" t="s">
        <v>346</v>
      </c>
      <c r="C159" t="s">
        <v>313</v>
      </c>
      <c r="D159" t="s">
        <v>122</v>
      </c>
      <c r="E159">
        <v>38</v>
      </c>
      <c r="F159" t="s">
        <v>224</v>
      </c>
      <c r="G159" t="s">
        <v>81</v>
      </c>
      <c r="H159" t="s">
        <v>82</v>
      </c>
      <c r="I159" t="s">
        <v>292</v>
      </c>
      <c r="J159" t="s">
        <v>293</v>
      </c>
      <c r="K159" t="s">
        <v>294</v>
      </c>
      <c r="L159" t="s">
        <v>106</v>
      </c>
      <c r="M159" t="s">
        <v>107</v>
      </c>
      <c r="N159" t="s">
        <v>162</v>
      </c>
      <c r="O159" t="s">
        <v>109</v>
      </c>
      <c r="P159" s="1">
        <v>40377</v>
      </c>
      <c r="Q159">
        <v>13.9</v>
      </c>
      <c r="R159" t="s">
        <v>62</v>
      </c>
      <c r="S159" t="s">
        <v>219</v>
      </c>
      <c r="T159" t="s">
        <v>220</v>
      </c>
      <c r="U159">
        <v>0</v>
      </c>
      <c r="V159">
        <v>0</v>
      </c>
      <c r="W159" s="2">
        <v>2504</v>
      </c>
      <c r="X159" s="2">
        <v>0</v>
      </c>
      <c r="Y159" s="2">
        <v>422</v>
      </c>
      <c r="Z159" s="2">
        <v>2926</v>
      </c>
      <c r="AA159">
        <v>556</v>
      </c>
      <c r="AB159" t="s">
        <v>65</v>
      </c>
      <c r="AC159">
        <v>16.399999999999999</v>
      </c>
      <c r="AD159">
        <v>69</v>
      </c>
      <c r="AE159">
        <v>36</v>
      </c>
      <c r="AF159" t="s">
        <v>93</v>
      </c>
      <c r="AG159">
        <v>31</v>
      </c>
      <c r="AH159" t="s">
        <v>67</v>
      </c>
      <c r="AI159" t="s">
        <v>114</v>
      </c>
      <c r="AJ159" t="s">
        <v>72</v>
      </c>
      <c r="AK159" t="s">
        <v>71</v>
      </c>
      <c r="AL159" t="s">
        <v>70</v>
      </c>
      <c r="AM159" t="s">
        <v>70</v>
      </c>
      <c r="AN159" t="s">
        <v>133</v>
      </c>
      <c r="AO159" t="s">
        <v>227</v>
      </c>
      <c r="AP159" t="s">
        <v>134</v>
      </c>
      <c r="AQ159" t="s">
        <v>117</v>
      </c>
      <c r="AR159" s="1">
        <v>41963</v>
      </c>
      <c r="AS159" t="s">
        <v>75</v>
      </c>
      <c r="AT159" t="s">
        <v>71</v>
      </c>
      <c r="AU159">
        <v>-38</v>
      </c>
      <c r="AV159" t="s">
        <v>179</v>
      </c>
      <c r="AW159" s="3">
        <v>35112</v>
      </c>
      <c r="AX159" t="s">
        <v>805</v>
      </c>
      <c r="AY159" t="s">
        <v>799</v>
      </c>
      <c r="AZ159" t="s">
        <v>810</v>
      </c>
      <c r="BA159" t="s">
        <v>800</v>
      </c>
      <c r="BB159" t="s">
        <v>801</v>
      </c>
      <c r="BC159" t="s">
        <v>802</v>
      </c>
      <c r="BD159" s="3">
        <v>0.19002050580997951</v>
      </c>
      <c r="BE159">
        <v>628.4</v>
      </c>
      <c r="BG159" s="2">
        <f t="shared" si="9"/>
        <v>35112</v>
      </c>
      <c r="BH159" t="str" cm="1">
        <f t="array" ref="BH159">_xlfn.IFS(Q159&lt;5,"0-5 Years",Q159&lt;10,"5-10 Years",Q159&lt;15,"10-15 Years",TRUE,"15+ Years")</f>
        <v>10-15 Years</v>
      </c>
      <c r="BI159" t="str" cm="1">
        <f t="array" ref="BI159">_xlfn.IFS(AA159&gt;=540,"A",AA159&gt;=480,"B",AA159&gt;=420,"C",AA159&gt;=360,"D",TRUE,"F")</f>
        <v>A</v>
      </c>
      <c r="BJ159" t="str" cm="1">
        <f t="array" ref="BJ159">_xlfn.IFS(AU159&lt;0,"Separated",AU159&lt;=90,"High Risk",AU159&lt;=180,"Medium Risk",TRUE,"Retained")</f>
        <v>Separated</v>
      </c>
      <c r="BK159" t="str" cm="1">
        <f t="array" ref="BK159">_xlfn.IFS(V159=0,"No Combat",V159=1,"1 Tour",V159=2,"2 Tours",TRUE,"3+ Tours")</f>
        <v>No Combat</v>
      </c>
      <c r="BL159" t="str">
        <f t="shared" si="10"/>
        <v>Standard</v>
      </c>
      <c r="BM159" t="str">
        <f t="shared" si="11"/>
        <v>Not Ready</v>
      </c>
      <c r="BN159" s="3">
        <f t="shared" si="12"/>
        <v>0.19002050580997951</v>
      </c>
      <c r="BO159">
        <f t="shared" si="13"/>
        <v>628.4</v>
      </c>
    </row>
    <row r="160" spans="1:67" x14ac:dyDescent="0.25">
      <c r="A160" t="s">
        <v>446</v>
      </c>
      <c r="B160" t="s">
        <v>267</v>
      </c>
      <c r="C160" t="s">
        <v>257</v>
      </c>
      <c r="D160" t="s">
        <v>51</v>
      </c>
      <c r="E160">
        <v>40</v>
      </c>
      <c r="F160" t="s">
        <v>168</v>
      </c>
      <c r="G160" t="s">
        <v>234</v>
      </c>
      <c r="H160" t="s">
        <v>235</v>
      </c>
      <c r="I160" t="s">
        <v>273</v>
      </c>
      <c r="J160" t="s">
        <v>274</v>
      </c>
      <c r="K160" t="s">
        <v>57</v>
      </c>
      <c r="L160" t="s">
        <v>86</v>
      </c>
      <c r="M160" t="s">
        <v>87</v>
      </c>
      <c r="N160" t="s">
        <v>60</v>
      </c>
      <c r="O160" t="s">
        <v>109</v>
      </c>
      <c r="P160" s="1">
        <v>44817</v>
      </c>
      <c r="Q160">
        <v>1.7</v>
      </c>
      <c r="R160" t="s">
        <v>90</v>
      </c>
      <c r="S160" t="s">
        <v>130</v>
      </c>
      <c r="T160" t="s">
        <v>131</v>
      </c>
      <c r="U160">
        <v>0</v>
      </c>
      <c r="V160">
        <v>0</v>
      </c>
      <c r="W160" s="2">
        <v>1917</v>
      </c>
      <c r="X160" s="2">
        <v>886</v>
      </c>
      <c r="Y160" s="2">
        <v>422</v>
      </c>
      <c r="Z160" s="2">
        <v>3225</v>
      </c>
      <c r="AA160">
        <v>335</v>
      </c>
      <c r="AB160" t="s">
        <v>151</v>
      </c>
      <c r="AC160">
        <v>18.399999999999999</v>
      </c>
      <c r="AD160">
        <v>29</v>
      </c>
      <c r="AE160">
        <v>53</v>
      </c>
      <c r="AF160" t="s">
        <v>93</v>
      </c>
      <c r="AG160">
        <v>21</v>
      </c>
      <c r="AH160" t="s">
        <v>113</v>
      </c>
      <c r="AI160" t="s">
        <v>177</v>
      </c>
      <c r="AJ160" t="s">
        <v>72</v>
      </c>
      <c r="AK160" t="s">
        <v>71</v>
      </c>
      <c r="AL160" t="s">
        <v>70</v>
      </c>
      <c r="AM160" t="s">
        <v>70</v>
      </c>
      <c r="AN160" t="s">
        <v>243</v>
      </c>
      <c r="AO160" t="s">
        <v>287</v>
      </c>
      <c r="AP160" t="s">
        <v>72</v>
      </c>
      <c r="AQ160" t="s">
        <v>117</v>
      </c>
      <c r="AR160" s="1">
        <v>45273</v>
      </c>
      <c r="AS160" t="s">
        <v>118</v>
      </c>
      <c r="AT160" t="s">
        <v>70</v>
      </c>
      <c r="AU160">
        <v>1296</v>
      </c>
      <c r="AV160" t="s">
        <v>76</v>
      </c>
      <c r="AW160" s="3">
        <v>38700</v>
      </c>
      <c r="AX160" t="s">
        <v>803</v>
      </c>
      <c r="AY160" t="s">
        <v>122</v>
      </c>
      <c r="AZ160" t="s">
        <v>76</v>
      </c>
      <c r="BA160" t="s">
        <v>800</v>
      </c>
      <c r="BB160" t="s">
        <v>801</v>
      </c>
      <c r="BC160" t="s">
        <v>802</v>
      </c>
      <c r="BD160" s="3">
        <v>0.10387596899224806</v>
      </c>
      <c r="BE160">
        <v>387.4</v>
      </c>
      <c r="BG160" s="2">
        <f t="shared" si="9"/>
        <v>38700</v>
      </c>
      <c r="BH160" t="str" cm="1">
        <f t="array" ref="BH160">_xlfn.IFS(Q160&lt;5,"0-5 Years",Q160&lt;10,"5-10 Years",Q160&lt;15,"10-15 Years",TRUE,"15+ Years")</f>
        <v>0-5 Years</v>
      </c>
      <c r="BI160" t="str" cm="1">
        <f t="array" ref="BI160">_xlfn.IFS(AA160&gt;=540,"A",AA160&gt;=480,"B",AA160&gt;=420,"C",AA160&gt;=360,"D",TRUE,"F")</f>
        <v>F</v>
      </c>
      <c r="BJ160" t="str" cm="1">
        <f t="array" ref="BJ160">_xlfn.IFS(AU160&lt;0,"Separated",AU160&lt;=90,"High Risk",AU160&lt;=180,"Medium Risk",TRUE,"Retained")</f>
        <v>Retained</v>
      </c>
      <c r="BK160" t="str" cm="1">
        <f t="array" ref="BK160">_xlfn.IFS(V160=0,"No Combat",V160=1,"1 Tour",V160=2,"2 Tours",TRUE,"3+ Tours")</f>
        <v>No Combat</v>
      </c>
      <c r="BL160" t="str">
        <f t="shared" si="10"/>
        <v>Standard</v>
      </c>
      <c r="BM160" t="str">
        <f t="shared" si="11"/>
        <v>Not Ready</v>
      </c>
      <c r="BN160" s="3">
        <f t="shared" si="12"/>
        <v>0.10387596899224806</v>
      </c>
      <c r="BO160">
        <f t="shared" si="13"/>
        <v>387.4</v>
      </c>
    </row>
    <row r="161" spans="1:67" x14ac:dyDescent="0.25">
      <c r="A161" t="s">
        <v>447</v>
      </c>
      <c r="B161" t="s">
        <v>78</v>
      </c>
      <c r="C161" t="s">
        <v>50</v>
      </c>
      <c r="D161" t="s">
        <v>51</v>
      </c>
      <c r="E161">
        <v>35</v>
      </c>
      <c r="F161" t="s">
        <v>248</v>
      </c>
      <c r="G161" t="s">
        <v>301</v>
      </c>
      <c r="H161" t="s">
        <v>302</v>
      </c>
      <c r="I161" t="s">
        <v>260</v>
      </c>
      <c r="J161" t="s">
        <v>261</v>
      </c>
      <c r="K161" t="s">
        <v>173</v>
      </c>
      <c r="L161" t="s">
        <v>58</v>
      </c>
      <c r="M161" t="s">
        <v>207</v>
      </c>
      <c r="N161" t="s">
        <v>60</v>
      </c>
      <c r="O161" t="s">
        <v>109</v>
      </c>
      <c r="P161" s="1">
        <v>44141</v>
      </c>
      <c r="Q161">
        <v>3.6</v>
      </c>
      <c r="R161" t="s">
        <v>150</v>
      </c>
      <c r="S161" t="s">
        <v>91</v>
      </c>
      <c r="T161" t="s">
        <v>92</v>
      </c>
      <c r="U161">
        <v>9</v>
      </c>
      <c r="V161">
        <v>1</v>
      </c>
      <c r="W161" s="2">
        <v>4188</v>
      </c>
      <c r="X161" s="2">
        <v>1911</v>
      </c>
      <c r="Y161" s="2">
        <v>266</v>
      </c>
      <c r="Z161" s="2">
        <v>6365</v>
      </c>
      <c r="AA161">
        <v>468</v>
      </c>
      <c r="AB161" t="s">
        <v>65</v>
      </c>
      <c r="AC161">
        <v>14.1</v>
      </c>
      <c r="AD161">
        <v>31</v>
      </c>
      <c r="AE161">
        <v>64</v>
      </c>
      <c r="AF161" t="s">
        <v>112</v>
      </c>
      <c r="AG161">
        <v>39</v>
      </c>
      <c r="AH161" t="s">
        <v>94</v>
      </c>
      <c r="AI161" t="s">
        <v>95</v>
      </c>
      <c r="AJ161" t="s">
        <v>188</v>
      </c>
      <c r="AK161" t="s">
        <v>70</v>
      </c>
      <c r="AL161" t="s">
        <v>70</v>
      </c>
      <c r="AM161" t="s">
        <v>70</v>
      </c>
      <c r="AN161" t="s">
        <v>115</v>
      </c>
      <c r="AO161" t="s">
        <v>287</v>
      </c>
      <c r="AP161" t="s">
        <v>72</v>
      </c>
      <c r="AQ161" t="s">
        <v>98</v>
      </c>
      <c r="AR161" s="1">
        <v>44607</v>
      </c>
      <c r="AS161" t="s">
        <v>137</v>
      </c>
      <c r="AT161" t="s">
        <v>71</v>
      </c>
      <c r="AU161">
        <v>259</v>
      </c>
      <c r="AV161" t="s">
        <v>76</v>
      </c>
      <c r="AW161" s="3">
        <v>76380</v>
      </c>
      <c r="AX161" t="s">
        <v>803</v>
      </c>
      <c r="AY161" t="s">
        <v>804</v>
      </c>
      <c r="AZ161" t="s">
        <v>76</v>
      </c>
      <c r="BA161" t="s">
        <v>807</v>
      </c>
      <c r="BB161" t="s">
        <v>801</v>
      </c>
      <c r="BC161" t="s">
        <v>802</v>
      </c>
      <c r="BD161" s="3">
        <v>7.3527101335428127E-2</v>
      </c>
      <c r="BE161">
        <v>546.4</v>
      </c>
      <c r="BG161" s="2">
        <f t="shared" si="9"/>
        <v>76380</v>
      </c>
      <c r="BH161" t="str" cm="1">
        <f t="array" ref="BH161">_xlfn.IFS(Q161&lt;5,"0-5 Years",Q161&lt;10,"5-10 Years",Q161&lt;15,"10-15 Years",TRUE,"15+ Years")</f>
        <v>0-5 Years</v>
      </c>
      <c r="BI161" t="str" cm="1">
        <f t="array" ref="BI161">_xlfn.IFS(AA161&gt;=540,"A",AA161&gt;=480,"B",AA161&gt;=420,"C",AA161&gt;=360,"D",TRUE,"F")</f>
        <v>C</v>
      </c>
      <c r="BJ161" t="str" cm="1">
        <f t="array" ref="BJ161">_xlfn.IFS(AU161&lt;0,"Separated",AU161&lt;=90,"High Risk",AU161&lt;=180,"Medium Risk",TRUE,"Retained")</f>
        <v>Retained</v>
      </c>
      <c r="BK161" t="str" cm="1">
        <f t="array" ref="BK161">_xlfn.IFS(V161=0,"No Combat",V161=1,"1 Tour",V161=2,"2 Tours",TRUE,"3+ Tours")</f>
        <v>1 Tour</v>
      </c>
      <c r="BL161" t="str">
        <f t="shared" si="10"/>
        <v>Standard</v>
      </c>
      <c r="BM161" t="str">
        <f t="shared" si="11"/>
        <v>Not Ready</v>
      </c>
      <c r="BN161" s="3">
        <f t="shared" si="12"/>
        <v>7.3527101335428127E-2</v>
      </c>
      <c r="BO161">
        <f t="shared" si="13"/>
        <v>546.4</v>
      </c>
    </row>
    <row r="162" spans="1:67" x14ac:dyDescent="0.25">
      <c r="A162" t="s">
        <v>448</v>
      </c>
      <c r="B162" t="s">
        <v>100</v>
      </c>
      <c r="C162" t="s">
        <v>332</v>
      </c>
      <c r="D162" t="s">
        <v>51</v>
      </c>
      <c r="E162">
        <v>24</v>
      </c>
      <c r="F162" t="s">
        <v>311</v>
      </c>
      <c r="G162" t="s">
        <v>53</v>
      </c>
      <c r="H162" t="s">
        <v>54</v>
      </c>
      <c r="I162" t="s">
        <v>83</v>
      </c>
      <c r="J162" t="s">
        <v>84</v>
      </c>
      <c r="K162" t="s">
        <v>85</v>
      </c>
      <c r="L162" t="s">
        <v>106</v>
      </c>
      <c r="M162" t="s">
        <v>127</v>
      </c>
      <c r="N162" t="s">
        <v>265</v>
      </c>
      <c r="O162" t="s">
        <v>61</v>
      </c>
      <c r="P162" s="1">
        <v>41527</v>
      </c>
      <c r="Q162">
        <v>10.7</v>
      </c>
      <c r="R162" t="s">
        <v>62</v>
      </c>
      <c r="S162" t="s">
        <v>130</v>
      </c>
      <c r="T162" t="s">
        <v>131</v>
      </c>
      <c r="U162">
        <v>15</v>
      </c>
      <c r="V162">
        <v>2</v>
      </c>
      <c r="W162" s="2">
        <v>4739</v>
      </c>
      <c r="X162" s="2">
        <v>0</v>
      </c>
      <c r="Y162" s="2">
        <v>422</v>
      </c>
      <c r="Z162" s="2">
        <v>5161</v>
      </c>
      <c r="AA162">
        <v>454</v>
      </c>
      <c r="AB162" t="s">
        <v>65</v>
      </c>
      <c r="AC162">
        <v>17.7</v>
      </c>
      <c r="AD162">
        <v>40</v>
      </c>
      <c r="AE162">
        <v>56</v>
      </c>
      <c r="AF162" t="s">
        <v>66</v>
      </c>
      <c r="AG162">
        <v>19</v>
      </c>
      <c r="AH162" t="s">
        <v>113</v>
      </c>
      <c r="AI162" t="s">
        <v>177</v>
      </c>
      <c r="AJ162" t="s">
        <v>72</v>
      </c>
      <c r="AK162" t="s">
        <v>70</v>
      </c>
      <c r="AL162" t="s">
        <v>71</v>
      </c>
      <c r="AM162" t="s">
        <v>70</v>
      </c>
      <c r="AN162" t="s">
        <v>115</v>
      </c>
      <c r="AO162" t="s">
        <v>203</v>
      </c>
      <c r="AP162" t="s">
        <v>135</v>
      </c>
      <c r="AQ162" t="s">
        <v>98</v>
      </c>
      <c r="AR162" s="1">
        <v>43371</v>
      </c>
      <c r="AS162" t="s">
        <v>198</v>
      </c>
      <c r="AT162" t="s">
        <v>71</v>
      </c>
      <c r="AU162">
        <v>-299</v>
      </c>
      <c r="AV162" t="s">
        <v>179</v>
      </c>
      <c r="AW162" s="3">
        <v>61932</v>
      </c>
      <c r="AX162" t="s">
        <v>805</v>
      </c>
      <c r="AY162" t="s">
        <v>804</v>
      </c>
      <c r="AZ162" t="s">
        <v>810</v>
      </c>
      <c r="BA162" t="s">
        <v>811</v>
      </c>
      <c r="BB162" t="s">
        <v>801</v>
      </c>
      <c r="BC162" t="s">
        <v>802</v>
      </c>
      <c r="BD162" s="3">
        <v>8.7967448168959503E-2</v>
      </c>
      <c r="BE162">
        <v>502.4</v>
      </c>
      <c r="BG162" s="2">
        <f t="shared" si="9"/>
        <v>61932</v>
      </c>
      <c r="BH162" t="str" cm="1">
        <f t="array" ref="BH162">_xlfn.IFS(Q162&lt;5,"0-5 Years",Q162&lt;10,"5-10 Years",Q162&lt;15,"10-15 Years",TRUE,"15+ Years")</f>
        <v>10-15 Years</v>
      </c>
      <c r="BI162" t="str" cm="1">
        <f t="array" ref="BI162">_xlfn.IFS(AA162&gt;=540,"A",AA162&gt;=480,"B",AA162&gt;=420,"C",AA162&gt;=360,"D",TRUE,"F")</f>
        <v>C</v>
      </c>
      <c r="BJ162" t="str" cm="1">
        <f t="array" ref="BJ162">_xlfn.IFS(AU162&lt;0,"Separated",AU162&lt;=90,"High Risk",AU162&lt;=180,"Medium Risk",TRUE,"Retained")</f>
        <v>Separated</v>
      </c>
      <c r="BK162" t="str" cm="1">
        <f t="array" ref="BK162">_xlfn.IFS(V162=0,"No Combat",V162=1,"1 Tour",V162=2,"2 Tours",TRUE,"3+ Tours")</f>
        <v>2 Tours</v>
      </c>
      <c r="BL162" t="str">
        <f t="shared" si="10"/>
        <v>Standard</v>
      </c>
      <c r="BM162" t="str">
        <f t="shared" si="11"/>
        <v>Not Ready</v>
      </c>
      <c r="BN162" s="3">
        <f t="shared" si="12"/>
        <v>8.7967448168959503E-2</v>
      </c>
      <c r="BO162">
        <f t="shared" si="13"/>
        <v>502.4</v>
      </c>
    </row>
    <row r="163" spans="1:67" x14ac:dyDescent="0.25">
      <c r="A163" t="s">
        <v>449</v>
      </c>
      <c r="B163" t="s">
        <v>100</v>
      </c>
      <c r="C163" t="s">
        <v>182</v>
      </c>
      <c r="D163" t="s">
        <v>51</v>
      </c>
      <c r="E163">
        <v>21</v>
      </c>
      <c r="F163" t="s">
        <v>311</v>
      </c>
      <c r="G163" t="s">
        <v>193</v>
      </c>
      <c r="H163" t="s">
        <v>194</v>
      </c>
      <c r="I163" t="s">
        <v>268</v>
      </c>
      <c r="J163" t="s">
        <v>269</v>
      </c>
      <c r="K163" t="s">
        <v>173</v>
      </c>
      <c r="L163" t="s">
        <v>58</v>
      </c>
      <c r="M163" t="s">
        <v>175</v>
      </c>
      <c r="N163" t="s">
        <v>162</v>
      </c>
      <c r="O163" t="s">
        <v>89</v>
      </c>
      <c r="P163" s="1">
        <v>42187</v>
      </c>
      <c r="Q163">
        <v>8.9</v>
      </c>
      <c r="R163" t="s">
        <v>90</v>
      </c>
      <c r="S163" t="s">
        <v>196</v>
      </c>
      <c r="T163" t="s">
        <v>197</v>
      </c>
      <c r="U163">
        <v>0</v>
      </c>
      <c r="V163">
        <v>0</v>
      </c>
      <c r="W163" s="2">
        <v>2259</v>
      </c>
      <c r="X163" s="2">
        <v>0</v>
      </c>
      <c r="Y163" s="2">
        <v>422</v>
      </c>
      <c r="Z163" s="2">
        <v>2681</v>
      </c>
      <c r="AA163">
        <v>478</v>
      </c>
      <c r="AB163" t="s">
        <v>65</v>
      </c>
      <c r="AC163">
        <v>15.6</v>
      </c>
      <c r="AD163">
        <v>67</v>
      </c>
      <c r="AE163">
        <v>56</v>
      </c>
      <c r="AF163" t="s">
        <v>66</v>
      </c>
      <c r="AG163">
        <v>35</v>
      </c>
      <c r="AH163" t="s">
        <v>67</v>
      </c>
      <c r="AI163" t="s">
        <v>114</v>
      </c>
      <c r="AJ163" t="s">
        <v>96</v>
      </c>
      <c r="AK163" t="s">
        <v>71</v>
      </c>
      <c r="AL163" t="s">
        <v>71</v>
      </c>
      <c r="AM163" t="s">
        <v>70</v>
      </c>
      <c r="AN163" t="s">
        <v>72</v>
      </c>
      <c r="AO163" t="s">
        <v>134</v>
      </c>
      <c r="AP163" t="s">
        <v>72</v>
      </c>
      <c r="AQ163" t="s">
        <v>136</v>
      </c>
      <c r="AR163" s="1">
        <v>44160</v>
      </c>
      <c r="AS163" t="s">
        <v>198</v>
      </c>
      <c r="AT163" t="s">
        <v>71</v>
      </c>
      <c r="AU163">
        <v>518</v>
      </c>
      <c r="AV163" t="s">
        <v>76</v>
      </c>
      <c r="AW163" s="3">
        <v>32172</v>
      </c>
      <c r="AX163" t="s">
        <v>808</v>
      </c>
      <c r="AY163" t="s">
        <v>804</v>
      </c>
      <c r="AZ163" t="s">
        <v>76</v>
      </c>
      <c r="BA163" t="s">
        <v>800</v>
      </c>
      <c r="BB163" t="s">
        <v>801</v>
      </c>
      <c r="BC163" t="s">
        <v>802</v>
      </c>
      <c r="BD163" s="3">
        <v>0.1782916822081313</v>
      </c>
      <c r="BE163">
        <v>568.4</v>
      </c>
      <c r="BG163" s="2">
        <f t="shared" si="9"/>
        <v>32172</v>
      </c>
      <c r="BH163" t="str" cm="1">
        <f t="array" ref="BH163">_xlfn.IFS(Q163&lt;5,"0-5 Years",Q163&lt;10,"5-10 Years",Q163&lt;15,"10-15 Years",TRUE,"15+ Years")</f>
        <v>5-10 Years</v>
      </c>
      <c r="BI163" t="str" cm="1">
        <f t="array" ref="BI163">_xlfn.IFS(AA163&gt;=540,"A",AA163&gt;=480,"B",AA163&gt;=420,"C",AA163&gt;=360,"D",TRUE,"F")</f>
        <v>C</v>
      </c>
      <c r="BJ163" t="str" cm="1">
        <f t="array" ref="BJ163">_xlfn.IFS(AU163&lt;0,"Separated",AU163&lt;=90,"High Risk",AU163&lt;=180,"Medium Risk",TRUE,"Retained")</f>
        <v>Retained</v>
      </c>
      <c r="BK163" t="str" cm="1">
        <f t="array" ref="BK163">_xlfn.IFS(V163=0,"No Combat",V163=1,"1 Tour",V163=2,"2 Tours",TRUE,"3+ Tours")</f>
        <v>No Combat</v>
      </c>
      <c r="BL163" t="str">
        <f t="shared" si="10"/>
        <v>Standard</v>
      </c>
      <c r="BM163" t="str">
        <f t="shared" si="11"/>
        <v>Not Ready</v>
      </c>
      <c r="BN163" s="3">
        <f t="shared" si="12"/>
        <v>0.1782916822081313</v>
      </c>
      <c r="BO163">
        <f t="shared" si="13"/>
        <v>568.4</v>
      </c>
    </row>
    <row r="164" spans="1:67" x14ac:dyDescent="0.25">
      <c r="A164" t="s">
        <v>450</v>
      </c>
      <c r="B164" t="s">
        <v>277</v>
      </c>
      <c r="C164" t="s">
        <v>257</v>
      </c>
      <c r="D164" t="s">
        <v>51</v>
      </c>
      <c r="E164">
        <v>36</v>
      </c>
      <c r="F164" t="s">
        <v>168</v>
      </c>
      <c r="G164" t="s">
        <v>301</v>
      </c>
      <c r="H164" t="s">
        <v>302</v>
      </c>
      <c r="I164" t="s">
        <v>158</v>
      </c>
      <c r="J164" t="s">
        <v>159</v>
      </c>
      <c r="K164" t="s">
        <v>160</v>
      </c>
      <c r="L164" t="s">
        <v>126</v>
      </c>
      <c r="M164" t="s">
        <v>59</v>
      </c>
      <c r="N164" t="s">
        <v>265</v>
      </c>
      <c r="O164" t="s">
        <v>109</v>
      </c>
      <c r="P164" s="1">
        <v>39205</v>
      </c>
      <c r="Q164">
        <v>17.100000000000001</v>
      </c>
      <c r="R164" t="s">
        <v>75</v>
      </c>
      <c r="S164" t="s">
        <v>130</v>
      </c>
      <c r="T164" t="s">
        <v>131</v>
      </c>
      <c r="U164">
        <v>5</v>
      </c>
      <c r="V164">
        <v>0</v>
      </c>
      <c r="W164" s="2">
        <v>4188</v>
      </c>
      <c r="X164" s="2">
        <v>1926</v>
      </c>
      <c r="Y164" s="2">
        <v>266</v>
      </c>
      <c r="Z164" s="2">
        <v>6380</v>
      </c>
      <c r="AA164">
        <v>563</v>
      </c>
      <c r="AB164" t="s">
        <v>65</v>
      </c>
      <c r="AC164">
        <v>16.8</v>
      </c>
      <c r="AD164">
        <v>62</v>
      </c>
      <c r="AE164">
        <v>40</v>
      </c>
      <c r="AF164" t="s">
        <v>132</v>
      </c>
      <c r="AG164">
        <v>27</v>
      </c>
      <c r="AH164" t="s">
        <v>113</v>
      </c>
      <c r="AI164" t="s">
        <v>114</v>
      </c>
      <c r="AJ164" t="s">
        <v>69</v>
      </c>
      <c r="AK164" t="s">
        <v>70</v>
      </c>
      <c r="AL164" t="s">
        <v>70</v>
      </c>
      <c r="AM164" t="s">
        <v>70</v>
      </c>
      <c r="AN164" t="s">
        <v>133</v>
      </c>
      <c r="AO164" t="s">
        <v>221</v>
      </c>
      <c r="AP164" t="s">
        <v>221</v>
      </c>
      <c r="AQ164" t="s">
        <v>117</v>
      </c>
      <c r="AR164" s="1">
        <v>41164</v>
      </c>
      <c r="AS164" t="s">
        <v>198</v>
      </c>
      <c r="AT164" t="s">
        <v>71</v>
      </c>
      <c r="AU164">
        <v>974</v>
      </c>
      <c r="AV164" t="s">
        <v>76</v>
      </c>
      <c r="AW164" s="3">
        <v>76560</v>
      </c>
      <c r="AX164" t="s">
        <v>798</v>
      </c>
      <c r="AY164" t="s">
        <v>799</v>
      </c>
      <c r="AZ164" t="s">
        <v>76</v>
      </c>
      <c r="BA164" t="s">
        <v>800</v>
      </c>
      <c r="BB164" t="s">
        <v>801</v>
      </c>
      <c r="BC164" t="s">
        <v>802</v>
      </c>
      <c r="BD164" s="3">
        <v>8.8244514106583072E-2</v>
      </c>
      <c r="BE164">
        <v>617.4</v>
      </c>
      <c r="BG164" s="2">
        <f t="shared" si="9"/>
        <v>76560</v>
      </c>
      <c r="BH164" t="str" cm="1">
        <f t="array" ref="BH164">_xlfn.IFS(Q164&lt;5,"0-5 Years",Q164&lt;10,"5-10 Years",Q164&lt;15,"10-15 Years",TRUE,"15+ Years")</f>
        <v>15+ Years</v>
      </c>
      <c r="BI164" t="str" cm="1">
        <f t="array" ref="BI164">_xlfn.IFS(AA164&gt;=540,"A",AA164&gt;=480,"B",AA164&gt;=420,"C",AA164&gt;=360,"D",TRUE,"F")</f>
        <v>A</v>
      </c>
      <c r="BJ164" t="str" cm="1">
        <f t="array" ref="BJ164">_xlfn.IFS(AU164&lt;0,"Separated",AU164&lt;=90,"High Risk",AU164&lt;=180,"Medium Risk",TRUE,"Retained")</f>
        <v>Retained</v>
      </c>
      <c r="BK164" t="str" cm="1">
        <f t="array" ref="BK164">_xlfn.IFS(V164=0,"No Combat",V164=1,"1 Tour",V164=2,"2 Tours",TRUE,"3+ Tours")</f>
        <v>No Combat</v>
      </c>
      <c r="BL164" t="str">
        <f t="shared" si="10"/>
        <v>Standard</v>
      </c>
      <c r="BM164" t="str">
        <f t="shared" si="11"/>
        <v>Not Ready</v>
      </c>
      <c r="BN164" s="3">
        <f t="shared" si="12"/>
        <v>8.8244514106583072E-2</v>
      </c>
      <c r="BO164">
        <f t="shared" si="13"/>
        <v>617.4</v>
      </c>
    </row>
    <row r="165" spans="1:67" x14ac:dyDescent="0.25">
      <c r="A165" t="s">
        <v>451</v>
      </c>
      <c r="B165" t="s">
        <v>78</v>
      </c>
      <c r="C165" t="s">
        <v>230</v>
      </c>
      <c r="D165" t="s">
        <v>122</v>
      </c>
      <c r="E165">
        <v>22</v>
      </c>
      <c r="F165" t="s">
        <v>80</v>
      </c>
      <c r="G165" t="s">
        <v>234</v>
      </c>
      <c r="H165" t="s">
        <v>235</v>
      </c>
      <c r="I165" t="s">
        <v>260</v>
      </c>
      <c r="J165" t="s">
        <v>261</v>
      </c>
      <c r="K165" t="s">
        <v>173</v>
      </c>
      <c r="L165" t="s">
        <v>174</v>
      </c>
      <c r="M165" t="s">
        <v>207</v>
      </c>
      <c r="N165" t="s">
        <v>148</v>
      </c>
      <c r="O165" t="s">
        <v>89</v>
      </c>
      <c r="P165" s="1">
        <v>42593</v>
      </c>
      <c r="Q165">
        <v>7.8</v>
      </c>
      <c r="R165" t="s">
        <v>150</v>
      </c>
      <c r="S165" t="s">
        <v>130</v>
      </c>
      <c r="T165" t="s">
        <v>131</v>
      </c>
      <c r="U165">
        <v>9</v>
      </c>
      <c r="V165">
        <v>1</v>
      </c>
      <c r="W165" s="2">
        <v>1917</v>
      </c>
      <c r="X165" s="2">
        <v>813</v>
      </c>
      <c r="Y165" s="2">
        <v>422</v>
      </c>
      <c r="Z165" s="2">
        <v>3152</v>
      </c>
      <c r="AA165">
        <v>301</v>
      </c>
      <c r="AB165" t="s">
        <v>151</v>
      </c>
      <c r="AC165">
        <v>20.9</v>
      </c>
      <c r="AD165">
        <v>33</v>
      </c>
      <c r="AE165">
        <v>50</v>
      </c>
      <c r="AF165" t="s">
        <v>112</v>
      </c>
      <c r="AG165">
        <v>33</v>
      </c>
      <c r="AH165" t="s">
        <v>67</v>
      </c>
      <c r="AI165" t="s">
        <v>68</v>
      </c>
      <c r="AJ165" t="s">
        <v>72</v>
      </c>
      <c r="AK165" t="s">
        <v>70</v>
      </c>
      <c r="AL165" t="s">
        <v>70</v>
      </c>
      <c r="AM165" t="s">
        <v>70</v>
      </c>
      <c r="AN165" t="s">
        <v>72</v>
      </c>
      <c r="AO165" t="s">
        <v>203</v>
      </c>
      <c r="AP165" t="s">
        <v>116</v>
      </c>
      <c r="AQ165" t="s">
        <v>98</v>
      </c>
      <c r="AR165" s="1">
        <v>43600</v>
      </c>
      <c r="AS165" t="s">
        <v>118</v>
      </c>
      <c r="AT165" t="s">
        <v>71</v>
      </c>
      <c r="AU165">
        <v>-124</v>
      </c>
      <c r="AV165" t="s">
        <v>179</v>
      </c>
      <c r="AW165" s="3">
        <v>37824</v>
      </c>
      <c r="AX165" t="s">
        <v>808</v>
      </c>
      <c r="AY165" t="s">
        <v>122</v>
      </c>
      <c r="AZ165" t="s">
        <v>810</v>
      </c>
      <c r="BA165" t="s">
        <v>807</v>
      </c>
      <c r="BB165" t="s">
        <v>801</v>
      </c>
      <c r="BC165" t="s">
        <v>802</v>
      </c>
      <c r="BD165" s="3">
        <v>9.5494923857868022E-2</v>
      </c>
      <c r="BE165">
        <v>367.4</v>
      </c>
      <c r="BG165" s="2">
        <f t="shared" si="9"/>
        <v>37824</v>
      </c>
      <c r="BH165" t="str" cm="1">
        <f t="array" ref="BH165">_xlfn.IFS(Q165&lt;5,"0-5 Years",Q165&lt;10,"5-10 Years",Q165&lt;15,"10-15 Years",TRUE,"15+ Years")</f>
        <v>5-10 Years</v>
      </c>
      <c r="BI165" t="str" cm="1">
        <f t="array" ref="BI165">_xlfn.IFS(AA165&gt;=540,"A",AA165&gt;=480,"B",AA165&gt;=420,"C",AA165&gt;=360,"D",TRUE,"F")</f>
        <v>F</v>
      </c>
      <c r="BJ165" t="str" cm="1">
        <f t="array" ref="BJ165">_xlfn.IFS(AU165&lt;0,"Separated",AU165&lt;=90,"High Risk",AU165&lt;=180,"Medium Risk",TRUE,"Retained")</f>
        <v>Separated</v>
      </c>
      <c r="BK165" t="str" cm="1">
        <f t="array" ref="BK165">_xlfn.IFS(V165=0,"No Combat",V165=1,"1 Tour",V165=2,"2 Tours",TRUE,"3+ Tours")</f>
        <v>1 Tour</v>
      </c>
      <c r="BL165" t="str">
        <f t="shared" si="10"/>
        <v>Standard</v>
      </c>
      <c r="BM165" t="str">
        <f t="shared" si="11"/>
        <v>Not Ready</v>
      </c>
      <c r="BN165" s="3">
        <f t="shared" si="12"/>
        <v>9.5494923857868022E-2</v>
      </c>
      <c r="BO165">
        <f t="shared" si="13"/>
        <v>367.4</v>
      </c>
    </row>
    <row r="166" spans="1:67" x14ac:dyDescent="0.25">
      <c r="A166" t="s">
        <v>452</v>
      </c>
      <c r="B166" t="s">
        <v>263</v>
      </c>
      <c r="C166" t="s">
        <v>330</v>
      </c>
      <c r="D166" t="s">
        <v>122</v>
      </c>
      <c r="E166">
        <v>41</v>
      </c>
      <c r="F166" t="s">
        <v>305</v>
      </c>
      <c r="G166" t="s">
        <v>193</v>
      </c>
      <c r="H166" t="s">
        <v>194</v>
      </c>
      <c r="I166" t="s">
        <v>260</v>
      </c>
      <c r="J166" t="s">
        <v>261</v>
      </c>
      <c r="K166" t="s">
        <v>173</v>
      </c>
      <c r="L166" t="s">
        <v>86</v>
      </c>
      <c r="M166" t="s">
        <v>249</v>
      </c>
      <c r="N166" t="s">
        <v>108</v>
      </c>
      <c r="O166" t="s">
        <v>109</v>
      </c>
      <c r="P166" s="1">
        <v>44002</v>
      </c>
      <c r="Q166">
        <v>3.9</v>
      </c>
      <c r="R166" t="s">
        <v>195</v>
      </c>
      <c r="S166" t="s">
        <v>219</v>
      </c>
      <c r="T166" t="s">
        <v>220</v>
      </c>
      <c r="U166">
        <v>0</v>
      </c>
      <c r="V166">
        <v>0</v>
      </c>
      <c r="W166" s="2">
        <v>2259</v>
      </c>
      <c r="X166" s="2">
        <v>0</v>
      </c>
      <c r="Y166" s="2">
        <v>422</v>
      </c>
      <c r="Z166" s="2">
        <v>2681</v>
      </c>
      <c r="AA166">
        <v>585</v>
      </c>
      <c r="AB166" t="s">
        <v>65</v>
      </c>
      <c r="AC166">
        <v>17.600000000000001</v>
      </c>
      <c r="AD166">
        <v>39</v>
      </c>
      <c r="AE166">
        <v>32</v>
      </c>
      <c r="AF166" t="s">
        <v>132</v>
      </c>
      <c r="AG166">
        <v>18</v>
      </c>
      <c r="AH166" t="s">
        <v>113</v>
      </c>
      <c r="AI166" t="s">
        <v>177</v>
      </c>
      <c r="AJ166" t="s">
        <v>69</v>
      </c>
      <c r="AK166" t="s">
        <v>70</v>
      </c>
      <c r="AL166" t="s">
        <v>71</v>
      </c>
      <c r="AM166" t="s">
        <v>70</v>
      </c>
      <c r="AN166" t="s">
        <v>72</v>
      </c>
      <c r="AO166" t="s">
        <v>72</v>
      </c>
      <c r="AP166" t="s">
        <v>72</v>
      </c>
      <c r="AQ166" t="s">
        <v>117</v>
      </c>
      <c r="AR166" s="1">
        <v>44904</v>
      </c>
      <c r="AS166" t="s">
        <v>198</v>
      </c>
      <c r="AT166" t="s">
        <v>71</v>
      </c>
      <c r="AU166">
        <v>-332</v>
      </c>
      <c r="AV166" t="s">
        <v>179</v>
      </c>
      <c r="AW166" s="3">
        <v>32172</v>
      </c>
      <c r="AX166" t="s">
        <v>803</v>
      </c>
      <c r="AY166" t="s">
        <v>799</v>
      </c>
      <c r="AZ166" t="s">
        <v>810</v>
      </c>
      <c r="BA166" t="s">
        <v>800</v>
      </c>
      <c r="BB166" t="s">
        <v>801</v>
      </c>
      <c r="BC166" t="s">
        <v>802</v>
      </c>
      <c r="BD166" s="3">
        <v>0.21820216337187617</v>
      </c>
      <c r="BE166">
        <v>631.4</v>
      </c>
      <c r="BG166" s="2">
        <f t="shared" si="9"/>
        <v>32172</v>
      </c>
      <c r="BH166" t="str" cm="1">
        <f t="array" ref="BH166">_xlfn.IFS(Q166&lt;5,"0-5 Years",Q166&lt;10,"5-10 Years",Q166&lt;15,"10-15 Years",TRUE,"15+ Years")</f>
        <v>0-5 Years</v>
      </c>
      <c r="BI166" t="str" cm="1">
        <f t="array" ref="BI166">_xlfn.IFS(AA166&gt;=540,"A",AA166&gt;=480,"B",AA166&gt;=420,"C",AA166&gt;=360,"D",TRUE,"F")</f>
        <v>A</v>
      </c>
      <c r="BJ166" t="str" cm="1">
        <f t="array" ref="BJ166">_xlfn.IFS(AU166&lt;0,"Separated",AU166&lt;=90,"High Risk",AU166&lt;=180,"Medium Risk",TRUE,"Retained")</f>
        <v>Separated</v>
      </c>
      <c r="BK166" t="str" cm="1">
        <f t="array" ref="BK166">_xlfn.IFS(V166=0,"No Combat",V166=1,"1 Tour",V166=2,"2 Tours",TRUE,"3+ Tours")</f>
        <v>No Combat</v>
      </c>
      <c r="BL166" t="str">
        <f t="shared" si="10"/>
        <v>Standard</v>
      </c>
      <c r="BM166" t="str">
        <f t="shared" si="11"/>
        <v>Not Ready</v>
      </c>
      <c r="BN166" s="3">
        <f t="shared" si="12"/>
        <v>0.21820216337187617</v>
      </c>
      <c r="BO166">
        <f t="shared" si="13"/>
        <v>631.4</v>
      </c>
    </row>
    <row r="167" spans="1:67" x14ac:dyDescent="0.25">
      <c r="A167" t="s">
        <v>453</v>
      </c>
      <c r="B167" t="s">
        <v>267</v>
      </c>
      <c r="C167" t="s">
        <v>233</v>
      </c>
      <c r="D167" t="s">
        <v>51</v>
      </c>
      <c r="E167">
        <v>34</v>
      </c>
      <c r="F167" t="s">
        <v>52</v>
      </c>
      <c r="G167" t="s">
        <v>53</v>
      </c>
      <c r="H167" t="s">
        <v>54</v>
      </c>
      <c r="I167" t="s">
        <v>273</v>
      </c>
      <c r="J167" t="s">
        <v>274</v>
      </c>
      <c r="K167" t="s">
        <v>57</v>
      </c>
      <c r="L167" t="s">
        <v>174</v>
      </c>
      <c r="M167" t="s">
        <v>175</v>
      </c>
      <c r="N167" t="s">
        <v>265</v>
      </c>
      <c r="O167" t="s">
        <v>109</v>
      </c>
      <c r="P167" s="1">
        <v>42003</v>
      </c>
      <c r="Q167">
        <v>9.4</v>
      </c>
      <c r="R167" t="s">
        <v>208</v>
      </c>
      <c r="S167" t="s">
        <v>196</v>
      </c>
      <c r="T167" t="s">
        <v>197</v>
      </c>
      <c r="U167">
        <v>0</v>
      </c>
      <c r="V167">
        <v>0</v>
      </c>
      <c r="W167" s="2">
        <v>4739</v>
      </c>
      <c r="X167" s="2">
        <v>0</v>
      </c>
      <c r="Y167" s="2">
        <v>422</v>
      </c>
      <c r="Z167" s="2">
        <v>5161</v>
      </c>
      <c r="AA167">
        <v>491</v>
      </c>
      <c r="AB167" t="s">
        <v>65</v>
      </c>
      <c r="AC167">
        <v>14.4</v>
      </c>
      <c r="AD167">
        <v>38</v>
      </c>
      <c r="AE167">
        <v>80</v>
      </c>
      <c r="AF167" t="s">
        <v>93</v>
      </c>
      <c r="AG167">
        <v>20</v>
      </c>
      <c r="AH167" t="s">
        <v>113</v>
      </c>
      <c r="AI167" t="s">
        <v>114</v>
      </c>
      <c r="AJ167" t="s">
        <v>69</v>
      </c>
      <c r="AK167" t="s">
        <v>70</v>
      </c>
      <c r="AL167" t="s">
        <v>71</v>
      </c>
      <c r="AM167" t="s">
        <v>70</v>
      </c>
      <c r="AN167" t="s">
        <v>202</v>
      </c>
      <c r="AO167" t="s">
        <v>221</v>
      </c>
      <c r="AP167" t="s">
        <v>72</v>
      </c>
      <c r="AQ167" t="s">
        <v>136</v>
      </c>
      <c r="AR167" s="1">
        <v>43638</v>
      </c>
      <c r="AS167" t="s">
        <v>118</v>
      </c>
      <c r="AT167" t="s">
        <v>71</v>
      </c>
      <c r="AU167">
        <v>1119</v>
      </c>
      <c r="AV167" t="s">
        <v>76</v>
      </c>
      <c r="AW167" s="3">
        <v>61932</v>
      </c>
      <c r="AX167" t="s">
        <v>808</v>
      </c>
      <c r="AY167" t="s">
        <v>806</v>
      </c>
      <c r="AZ167" t="s">
        <v>76</v>
      </c>
      <c r="BA167" t="s">
        <v>800</v>
      </c>
      <c r="BB167" t="s">
        <v>801</v>
      </c>
      <c r="BC167" t="s">
        <v>802</v>
      </c>
      <c r="BD167" s="3">
        <v>9.5136601433830653E-2</v>
      </c>
      <c r="BE167">
        <v>541.4</v>
      </c>
      <c r="BG167" s="2">
        <f t="shared" si="9"/>
        <v>61932</v>
      </c>
      <c r="BH167" t="str" cm="1">
        <f t="array" ref="BH167">_xlfn.IFS(Q167&lt;5,"0-5 Years",Q167&lt;10,"5-10 Years",Q167&lt;15,"10-15 Years",TRUE,"15+ Years")</f>
        <v>5-10 Years</v>
      </c>
      <c r="BI167" t="str" cm="1">
        <f t="array" ref="BI167">_xlfn.IFS(AA167&gt;=540,"A",AA167&gt;=480,"B",AA167&gt;=420,"C",AA167&gt;=360,"D",TRUE,"F")</f>
        <v>B</v>
      </c>
      <c r="BJ167" t="str" cm="1">
        <f t="array" ref="BJ167">_xlfn.IFS(AU167&lt;0,"Separated",AU167&lt;=90,"High Risk",AU167&lt;=180,"Medium Risk",TRUE,"Retained")</f>
        <v>Retained</v>
      </c>
      <c r="BK167" t="str" cm="1">
        <f t="array" ref="BK167">_xlfn.IFS(V167=0,"No Combat",V167=1,"1 Tour",V167=2,"2 Tours",TRUE,"3+ Tours")</f>
        <v>No Combat</v>
      </c>
      <c r="BL167" t="str">
        <f t="shared" si="10"/>
        <v>Standard</v>
      </c>
      <c r="BM167" t="str">
        <f t="shared" si="11"/>
        <v>Not Ready</v>
      </c>
      <c r="BN167" s="3">
        <f t="shared" si="12"/>
        <v>9.5136601433830653E-2</v>
      </c>
      <c r="BO167">
        <f t="shared" si="13"/>
        <v>541.4</v>
      </c>
    </row>
    <row r="168" spans="1:67" x14ac:dyDescent="0.25">
      <c r="A168" t="s">
        <v>454</v>
      </c>
      <c r="B168" t="s">
        <v>120</v>
      </c>
      <c r="C168" t="s">
        <v>182</v>
      </c>
      <c r="D168" t="s">
        <v>51</v>
      </c>
      <c r="E168">
        <v>44</v>
      </c>
      <c r="F168" t="s">
        <v>322</v>
      </c>
      <c r="G168" t="s">
        <v>193</v>
      </c>
      <c r="H168" t="s">
        <v>194</v>
      </c>
      <c r="I168" t="s">
        <v>217</v>
      </c>
      <c r="J168" t="s">
        <v>218</v>
      </c>
      <c r="K168" t="s">
        <v>146</v>
      </c>
      <c r="L168" t="s">
        <v>126</v>
      </c>
      <c r="M168" t="s">
        <v>161</v>
      </c>
      <c r="N168" t="s">
        <v>265</v>
      </c>
      <c r="O168" t="s">
        <v>61</v>
      </c>
      <c r="P168" s="1">
        <v>39086</v>
      </c>
      <c r="Q168">
        <v>17.399999999999999</v>
      </c>
      <c r="R168" t="s">
        <v>208</v>
      </c>
      <c r="S168" t="s">
        <v>163</v>
      </c>
      <c r="T168" t="s">
        <v>164</v>
      </c>
      <c r="U168">
        <v>13</v>
      </c>
      <c r="V168">
        <v>2</v>
      </c>
      <c r="W168" s="2">
        <v>2259</v>
      </c>
      <c r="X168" s="2">
        <v>1667</v>
      </c>
      <c r="Y168" s="2">
        <v>422</v>
      </c>
      <c r="Z168" s="2">
        <v>4348</v>
      </c>
      <c r="AA168">
        <v>594</v>
      </c>
      <c r="AB168" t="s">
        <v>65</v>
      </c>
      <c r="AC168">
        <v>15.5</v>
      </c>
      <c r="AD168">
        <v>40</v>
      </c>
      <c r="AE168">
        <v>52</v>
      </c>
      <c r="AF168" t="s">
        <v>66</v>
      </c>
      <c r="AG168">
        <v>40</v>
      </c>
      <c r="AH168" t="s">
        <v>94</v>
      </c>
      <c r="AI168" t="s">
        <v>114</v>
      </c>
      <c r="AJ168" t="s">
        <v>69</v>
      </c>
      <c r="AK168" t="s">
        <v>70</v>
      </c>
      <c r="AL168" t="s">
        <v>70</v>
      </c>
      <c r="AM168" t="s">
        <v>71</v>
      </c>
      <c r="AN168" t="s">
        <v>72</v>
      </c>
      <c r="AO168" t="s">
        <v>134</v>
      </c>
      <c r="AP168" t="s">
        <v>72</v>
      </c>
      <c r="AQ168" t="s">
        <v>117</v>
      </c>
      <c r="AR168" s="1">
        <v>45050</v>
      </c>
      <c r="AS168" t="s">
        <v>75</v>
      </c>
      <c r="AT168" t="s">
        <v>71</v>
      </c>
      <c r="AU168">
        <v>-149</v>
      </c>
      <c r="AV168" t="s">
        <v>179</v>
      </c>
      <c r="AW168" s="3">
        <v>52176</v>
      </c>
      <c r="AX168" t="s">
        <v>798</v>
      </c>
      <c r="AY168" t="s">
        <v>799</v>
      </c>
      <c r="AZ168" t="s">
        <v>810</v>
      </c>
      <c r="BA168" t="s">
        <v>811</v>
      </c>
      <c r="BB168" t="s">
        <v>801</v>
      </c>
      <c r="BC168" t="s">
        <v>802</v>
      </c>
      <c r="BD168" s="3">
        <v>0.13661453541858326</v>
      </c>
      <c r="BE168">
        <v>694.4</v>
      </c>
      <c r="BG168" s="2">
        <f t="shared" si="9"/>
        <v>52176</v>
      </c>
      <c r="BH168" t="str" cm="1">
        <f t="array" ref="BH168">_xlfn.IFS(Q168&lt;5,"0-5 Years",Q168&lt;10,"5-10 Years",Q168&lt;15,"10-15 Years",TRUE,"15+ Years")</f>
        <v>15+ Years</v>
      </c>
      <c r="BI168" t="str" cm="1">
        <f t="array" ref="BI168">_xlfn.IFS(AA168&gt;=540,"A",AA168&gt;=480,"B",AA168&gt;=420,"C",AA168&gt;=360,"D",TRUE,"F")</f>
        <v>A</v>
      </c>
      <c r="BJ168" t="str" cm="1">
        <f t="array" ref="BJ168">_xlfn.IFS(AU168&lt;0,"Separated",AU168&lt;=90,"High Risk",AU168&lt;=180,"Medium Risk",TRUE,"Retained")</f>
        <v>Separated</v>
      </c>
      <c r="BK168" t="str" cm="1">
        <f t="array" ref="BK168">_xlfn.IFS(V168=0,"No Combat",V168=1,"1 Tour",V168=2,"2 Tours",TRUE,"3+ Tours")</f>
        <v>2 Tours</v>
      </c>
      <c r="BL168" t="str">
        <f t="shared" si="10"/>
        <v>Standard</v>
      </c>
      <c r="BM168" t="str">
        <f t="shared" si="11"/>
        <v>Not Ready</v>
      </c>
      <c r="BN168" s="3">
        <f t="shared" si="12"/>
        <v>0.13661453541858326</v>
      </c>
      <c r="BO168">
        <f t="shared" si="13"/>
        <v>694.4</v>
      </c>
    </row>
    <row r="169" spans="1:67" x14ac:dyDescent="0.25">
      <c r="A169" t="s">
        <v>455</v>
      </c>
      <c r="B169" t="s">
        <v>120</v>
      </c>
      <c r="C169" t="s">
        <v>191</v>
      </c>
      <c r="D169" t="s">
        <v>51</v>
      </c>
      <c r="E169">
        <v>27</v>
      </c>
      <c r="F169" t="s">
        <v>211</v>
      </c>
      <c r="G169" t="s">
        <v>124</v>
      </c>
      <c r="H169" t="s">
        <v>125</v>
      </c>
      <c r="I169" t="s">
        <v>144</v>
      </c>
      <c r="J169" t="s">
        <v>145</v>
      </c>
      <c r="K169" t="s">
        <v>146</v>
      </c>
      <c r="L169" t="s">
        <v>86</v>
      </c>
      <c r="M169" t="s">
        <v>296</v>
      </c>
      <c r="N169" t="s">
        <v>88</v>
      </c>
      <c r="O169" t="s">
        <v>89</v>
      </c>
      <c r="P169" s="1">
        <v>40852</v>
      </c>
      <c r="Q169">
        <v>12.6</v>
      </c>
      <c r="R169" t="s">
        <v>75</v>
      </c>
      <c r="S169" t="s">
        <v>91</v>
      </c>
      <c r="T169" t="s">
        <v>92</v>
      </c>
      <c r="U169">
        <v>15</v>
      </c>
      <c r="V169">
        <v>2</v>
      </c>
      <c r="W169" s="2">
        <v>2730</v>
      </c>
      <c r="X169" s="2">
        <v>846</v>
      </c>
      <c r="Y169" s="2">
        <v>422</v>
      </c>
      <c r="Z169" s="2">
        <v>3998</v>
      </c>
      <c r="AA169">
        <v>394</v>
      </c>
      <c r="AB169" t="s">
        <v>65</v>
      </c>
      <c r="AC169">
        <v>14.3</v>
      </c>
      <c r="AD169">
        <v>54</v>
      </c>
      <c r="AE169">
        <v>43</v>
      </c>
      <c r="AF169" t="s">
        <v>112</v>
      </c>
      <c r="AG169">
        <v>33</v>
      </c>
      <c r="AH169" t="s">
        <v>67</v>
      </c>
      <c r="AI169" t="s">
        <v>152</v>
      </c>
      <c r="AJ169" t="s">
        <v>72</v>
      </c>
      <c r="AK169" t="s">
        <v>70</v>
      </c>
      <c r="AL169" t="s">
        <v>71</v>
      </c>
      <c r="AM169" t="s">
        <v>71</v>
      </c>
      <c r="AN169" t="s">
        <v>72</v>
      </c>
      <c r="AO169" t="s">
        <v>287</v>
      </c>
      <c r="AP169" t="s">
        <v>178</v>
      </c>
      <c r="AQ169" t="s">
        <v>136</v>
      </c>
      <c r="AR169" s="1">
        <v>40612</v>
      </c>
      <c r="AS169" t="s">
        <v>75</v>
      </c>
      <c r="AT169" t="s">
        <v>71</v>
      </c>
      <c r="AU169">
        <v>-228</v>
      </c>
      <c r="AV169" t="s">
        <v>179</v>
      </c>
      <c r="AW169" s="3">
        <v>47976</v>
      </c>
      <c r="AX169" t="s">
        <v>805</v>
      </c>
      <c r="AY169" t="s">
        <v>809</v>
      </c>
      <c r="AZ169" t="s">
        <v>810</v>
      </c>
      <c r="BA169" t="s">
        <v>811</v>
      </c>
      <c r="BB169" t="s">
        <v>801</v>
      </c>
      <c r="BC169" t="s">
        <v>802</v>
      </c>
      <c r="BD169" s="3">
        <v>9.8549274637318662E-2</v>
      </c>
      <c r="BE169">
        <v>490.4</v>
      </c>
      <c r="BG169" s="2">
        <f t="shared" si="9"/>
        <v>47976</v>
      </c>
      <c r="BH169" t="str" cm="1">
        <f t="array" ref="BH169">_xlfn.IFS(Q169&lt;5,"0-5 Years",Q169&lt;10,"5-10 Years",Q169&lt;15,"10-15 Years",TRUE,"15+ Years")</f>
        <v>10-15 Years</v>
      </c>
      <c r="BI169" t="str" cm="1">
        <f t="array" ref="BI169">_xlfn.IFS(AA169&gt;=540,"A",AA169&gt;=480,"B",AA169&gt;=420,"C",AA169&gt;=360,"D",TRUE,"F")</f>
        <v>D</v>
      </c>
      <c r="BJ169" t="str" cm="1">
        <f t="array" ref="BJ169">_xlfn.IFS(AU169&lt;0,"Separated",AU169&lt;=90,"High Risk",AU169&lt;=180,"Medium Risk",TRUE,"Retained")</f>
        <v>Separated</v>
      </c>
      <c r="BK169" t="str" cm="1">
        <f t="array" ref="BK169">_xlfn.IFS(V169=0,"No Combat",V169=1,"1 Tour",V169=2,"2 Tours",TRUE,"3+ Tours")</f>
        <v>2 Tours</v>
      </c>
      <c r="BL169" t="str">
        <f t="shared" si="10"/>
        <v>Standard</v>
      </c>
      <c r="BM169" t="str">
        <f t="shared" si="11"/>
        <v>Not Ready</v>
      </c>
      <c r="BN169" s="3">
        <f t="shared" si="12"/>
        <v>9.8549274637318662E-2</v>
      </c>
      <c r="BO169">
        <f t="shared" si="13"/>
        <v>490.4</v>
      </c>
    </row>
    <row r="170" spans="1:67" x14ac:dyDescent="0.25">
      <c r="A170" t="s">
        <v>456</v>
      </c>
      <c r="B170" t="s">
        <v>49</v>
      </c>
      <c r="C170" t="s">
        <v>240</v>
      </c>
      <c r="D170" t="s">
        <v>122</v>
      </c>
      <c r="E170">
        <v>30</v>
      </c>
      <c r="F170" t="s">
        <v>123</v>
      </c>
      <c r="G170" t="s">
        <v>301</v>
      </c>
      <c r="H170" t="s">
        <v>302</v>
      </c>
      <c r="I170" t="s">
        <v>144</v>
      </c>
      <c r="J170" t="s">
        <v>145</v>
      </c>
      <c r="K170" t="s">
        <v>146</v>
      </c>
      <c r="L170" t="s">
        <v>174</v>
      </c>
      <c r="M170" t="s">
        <v>296</v>
      </c>
      <c r="N170" t="s">
        <v>88</v>
      </c>
      <c r="O170" t="s">
        <v>109</v>
      </c>
      <c r="P170" s="1">
        <v>40246</v>
      </c>
      <c r="Q170">
        <v>14.2</v>
      </c>
      <c r="R170" t="s">
        <v>150</v>
      </c>
      <c r="S170" t="s">
        <v>91</v>
      </c>
      <c r="T170" t="s">
        <v>92</v>
      </c>
      <c r="U170">
        <v>3</v>
      </c>
      <c r="V170">
        <v>0</v>
      </c>
      <c r="W170" s="2">
        <v>4188</v>
      </c>
      <c r="X170" s="2">
        <v>1446</v>
      </c>
      <c r="Y170" s="2">
        <v>266</v>
      </c>
      <c r="Z170" s="2">
        <v>5900</v>
      </c>
      <c r="AA170">
        <v>385</v>
      </c>
      <c r="AB170" t="s">
        <v>65</v>
      </c>
      <c r="AC170">
        <v>19.899999999999999</v>
      </c>
      <c r="AD170">
        <v>54</v>
      </c>
      <c r="AE170">
        <v>35</v>
      </c>
      <c r="AF170" t="s">
        <v>93</v>
      </c>
      <c r="AG170">
        <v>32</v>
      </c>
      <c r="AH170" t="s">
        <v>67</v>
      </c>
      <c r="AI170" t="s">
        <v>177</v>
      </c>
      <c r="AJ170" t="s">
        <v>188</v>
      </c>
      <c r="AK170" t="s">
        <v>70</v>
      </c>
      <c r="AL170" t="s">
        <v>70</v>
      </c>
      <c r="AM170" t="s">
        <v>70</v>
      </c>
      <c r="AN170" t="s">
        <v>243</v>
      </c>
      <c r="AO170" t="s">
        <v>287</v>
      </c>
      <c r="AP170" t="s">
        <v>72</v>
      </c>
      <c r="AQ170" t="s">
        <v>136</v>
      </c>
      <c r="AR170" s="1">
        <v>45300</v>
      </c>
      <c r="AS170" t="s">
        <v>75</v>
      </c>
      <c r="AT170" t="s">
        <v>71</v>
      </c>
      <c r="AU170">
        <v>738</v>
      </c>
      <c r="AV170" t="s">
        <v>76</v>
      </c>
      <c r="AW170" s="3">
        <v>70800</v>
      </c>
      <c r="AX170" t="s">
        <v>805</v>
      </c>
      <c r="AY170" t="s">
        <v>809</v>
      </c>
      <c r="AZ170" t="s">
        <v>76</v>
      </c>
      <c r="BA170" t="s">
        <v>800</v>
      </c>
      <c r="BB170" t="s">
        <v>801</v>
      </c>
      <c r="BC170" t="s">
        <v>802</v>
      </c>
      <c r="BD170" s="3">
        <v>6.5254237288135591E-2</v>
      </c>
      <c r="BE170">
        <v>449.4</v>
      </c>
      <c r="BG170" s="2">
        <f t="shared" si="9"/>
        <v>70800</v>
      </c>
      <c r="BH170" t="str" cm="1">
        <f t="array" ref="BH170">_xlfn.IFS(Q170&lt;5,"0-5 Years",Q170&lt;10,"5-10 Years",Q170&lt;15,"10-15 Years",TRUE,"15+ Years")</f>
        <v>10-15 Years</v>
      </c>
      <c r="BI170" t="str" cm="1">
        <f t="array" ref="BI170">_xlfn.IFS(AA170&gt;=540,"A",AA170&gt;=480,"B",AA170&gt;=420,"C",AA170&gt;=360,"D",TRUE,"F")</f>
        <v>D</v>
      </c>
      <c r="BJ170" t="str" cm="1">
        <f t="array" ref="BJ170">_xlfn.IFS(AU170&lt;0,"Separated",AU170&lt;=90,"High Risk",AU170&lt;=180,"Medium Risk",TRUE,"Retained")</f>
        <v>Retained</v>
      </c>
      <c r="BK170" t="str" cm="1">
        <f t="array" ref="BK170">_xlfn.IFS(V170=0,"No Combat",V170=1,"1 Tour",V170=2,"2 Tours",TRUE,"3+ Tours")</f>
        <v>No Combat</v>
      </c>
      <c r="BL170" t="str">
        <f t="shared" si="10"/>
        <v>Standard</v>
      </c>
      <c r="BM170" t="str">
        <f t="shared" si="11"/>
        <v>Not Ready</v>
      </c>
      <c r="BN170" s="3">
        <f t="shared" si="12"/>
        <v>6.5254237288135591E-2</v>
      </c>
      <c r="BO170">
        <f t="shared" si="13"/>
        <v>449.4</v>
      </c>
    </row>
    <row r="171" spans="1:67" x14ac:dyDescent="0.25">
      <c r="A171" t="s">
        <v>457</v>
      </c>
      <c r="B171" t="s">
        <v>205</v>
      </c>
      <c r="C171" t="s">
        <v>272</v>
      </c>
      <c r="D171" t="s">
        <v>51</v>
      </c>
      <c r="E171">
        <v>24</v>
      </c>
      <c r="F171" t="s">
        <v>192</v>
      </c>
      <c r="G171" t="s">
        <v>242</v>
      </c>
      <c r="H171" t="s">
        <v>54</v>
      </c>
      <c r="I171" t="s">
        <v>236</v>
      </c>
      <c r="J171" t="s">
        <v>237</v>
      </c>
      <c r="K171" t="s">
        <v>238</v>
      </c>
      <c r="L171" t="s">
        <v>126</v>
      </c>
      <c r="M171" t="s">
        <v>296</v>
      </c>
      <c r="N171" t="s">
        <v>148</v>
      </c>
      <c r="O171" t="s">
        <v>176</v>
      </c>
      <c r="P171" s="1">
        <v>40200</v>
      </c>
      <c r="Q171">
        <v>14.4</v>
      </c>
      <c r="R171" t="s">
        <v>208</v>
      </c>
      <c r="S171" t="s">
        <v>130</v>
      </c>
      <c r="T171" t="s">
        <v>131</v>
      </c>
      <c r="U171">
        <v>10</v>
      </c>
      <c r="V171">
        <v>1</v>
      </c>
      <c r="W171" s="2">
        <v>4739</v>
      </c>
      <c r="X171" s="2">
        <v>0</v>
      </c>
      <c r="Y171" s="2">
        <v>422</v>
      </c>
      <c r="Z171" s="2">
        <v>5161</v>
      </c>
      <c r="AA171">
        <v>406</v>
      </c>
      <c r="AB171" t="s">
        <v>65</v>
      </c>
      <c r="AC171">
        <v>13.2</v>
      </c>
      <c r="AD171">
        <v>44</v>
      </c>
      <c r="AE171">
        <v>63</v>
      </c>
      <c r="AF171" t="s">
        <v>132</v>
      </c>
      <c r="AG171">
        <v>23</v>
      </c>
      <c r="AH171" t="s">
        <v>113</v>
      </c>
      <c r="AI171" t="s">
        <v>152</v>
      </c>
      <c r="AJ171" t="s">
        <v>96</v>
      </c>
      <c r="AK171" t="s">
        <v>70</v>
      </c>
      <c r="AL171" t="s">
        <v>70</v>
      </c>
      <c r="AM171" t="s">
        <v>70</v>
      </c>
      <c r="AN171" t="s">
        <v>243</v>
      </c>
      <c r="AO171" t="s">
        <v>116</v>
      </c>
      <c r="AP171" t="s">
        <v>72</v>
      </c>
      <c r="AQ171" t="s">
        <v>117</v>
      </c>
      <c r="AR171" s="1">
        <v>44470</v>
      </c>
      <c r="AS171" t="s">
        <v>118</v>
      </c>
      <c r="AT171" t="s">
        <v>71</v>
      </c>
      <c r="AU171">
        <v>53</v>
      </c>
      <c r="AV171" t="s">
        <v>179</v>
      </c>
      <c r="AW171" s="3">
        <v>61932</v>
      </c>
      <c r="AX171" t="s">
        <v>805</v>
      </c>
      <c r="AY171" t="s">
        <v>809</v>
      </c>
      <c r="AZ171" t="s">
        <v>813</v>
      </c>
      <c r="BA171" t="s">
        <v>807</v>
      </c>
      <c r="BB171" t="s">
        <v>801</v>
      </c>
      <c r="BC171" t="s">
        <v>802</v>
      </c>
      <c r="BD171" s="3">
        <v>7.8666925014532069E-2</v>
      </c>
      <c r="BE171">
        <v>452.4</v>
      </c>
      <c r="BG171" s="2">
        <f t="shared" si="9"/>
        <v>61932</v>
      </c>
      <c r="BH171" t="str" cm="1">
        <f t="array" ref="BH171">_xlfn.IFS(Q171&lt;5,"0-5 Years",Q171&lt;10,"5-10 Years",Q171&lt;15,"10-15 Years",TRUE,"15+ Years")</f>
        <v>10-15 Years</v>
      </c>
      <c r="BI171" t="str" cm="1">
        <f t="array" ref="BI171">_xlfn.IFS(AA171&gt;=540,"A",AA171&gt;=480,"B",AA171&gt;=420,"C",AA171&gt;=360,"D",TRUE,"F")</f>
        <v>D</v>
      </c>
      <c r="BJ171" t="str" cm="1">
        <f t="array" ref="BJ171">_xlfn.IFS(AU171&lt;0,"Separated",AU171&lt;=90,"High Risk",AU171&lt;=180,"Medium Risk",TRUE,"Retained")</f>
        <v>High Risk</v>
      </c>
      <c r="BK171" t="str" cm="1">
        <f t="array" ref="BK171">_xlfn.IFS(V171=0,"No Combat",V171=1,"1 Tour",V171=2,"2 Tours",TRUE,"3+ Tours")</f>
        <v>1 Tour</v>
      </c>
      <c r="BL171" t="str">
        <f t="shared" si="10"/>
        <v>Standard</v>
      </c>
      <c r="BM171" t="str">
        <f t="shared" si="11"/>
        <v>Not Ready</v>
      </c>
      <c r="BN171" s="3">
        <f t="shared" si="12"/>
        <v>7.8666925014532069E-2</v>
      </c>
      <c r="BO171">
        <f t="shared" si="13"/>
        <v>452.4</v>
      </c>
    </row>
    <row r="172" spans="1:67" x14ac:dyDescent="0.25">
      <c r="A172" t="s">
        <v>458</v>
      </c>
      <c r="B172" t="s">
        <v>377</v>
      </c>
      <c r="C172" t="s">
        <v>394</v>
      </c>
      <c r="D172" t="s">
        <v>122</v>
      </c>
      <c r="E172">
        <v>18</v>
      </c>
      <c r="F172" t="s">
        <v>305</v>
      </c>
      <c r="G172" t="s">
        <v>101</v>
      </c>
      <c r="H172" t="s">
        <v>102</v>
      </c>
      <c r="I172" t="s">
        <v>83</v>
      </c>
      <c r="J172" t="s">
        <v>84</v>
      </c>
      <c r="K172" t="s">
        <v>85</v>
      </c>
      <c r="L172" t="s">
        <v>174</v>
      </c>
      <c r="M172" t="s">
        <v>147</v>
      </c>
      <c r="N172" t="s">
        <v>148</v>
      </c>
      <c r="O172" t="s">
        <v>89</v>
      </c>
      <c r="P172" s="1">
        <v>39861</v>
      </c>
      <c r="Q172">
        <v>15.3</v>
      </c>
      <c r="R172" t="s">
        <v>90</v>
      </c>
      <c r="S172" t="s">
        <v>110</v>
      </c>
      <c r="T172" t="s">
        <v>111</v>
      </c>
      <c r="U172">
        <v>4</v>
      </c>
      <c r="V172">
        <v>0</v>
      </c>
      <c r="W172" s="2">
        <v>2980</v>
      </c>
      <c r="X172" s="2">
        <v>860</v>
      </c>
      <c r="Y172" s="2">
        <v>422</v>
      </c>
      <c r="Z172" s="2">
        <v>4262</v>
      </c>
      <c r="AA172">
        <v>445</v>
      </c>
      <c r="AB172" t="s">
        <v>65</v>
      </c>
      <c r="AC172">
        <v>20</v>
      </c>
      <c r="AD172">
        <v>46</v>
      </c>
      <c r="AE172">
        <v>56</v>
      </c>
      <c r="AF172" t="s">
        <v>132</v>
      </c>
      <c r="AG172">
        <v>39</v>
      </c>
      <c r="AH172" t="s">
        <v>94</v>
      </c>
      <c r="AI172" t="s">
        <v>152</v>
      </c>
      <c r="AJ172" t="s">
        <v>188</v>
      </c>
      <c r="AK172" t="s">
        <v>71</v>
      </c>
      <c r="AL172" t="s">
        <v>71</v>
      </c>
      <c r="AM172" t="s">
        <v>70</v>
      </c>
      <c r="AN172" t="s">
        <v>115</v>
      </c>
      <c r="AO172" t="s">
        <v>72</v>
      </c>
      <c r="AP172" t="s">
        <v>134</v>
      </c>
      <c r="AQ172" t="s">
        <v>98</v>
      </c>
      <c r="AR172" s="1">
        <v>41705</v>
      </c>
      <c r="AS172" t="s">
        <v>75</v>
      </c>
      <c r="AT172" t="s">
        <v>71</v>
      </c>
      <c r="AU172">
        <v>451</v>
      </c>
      <c r="AV172" t="s">
        <v>76</v>
      </c>
      <c r="AW172" s="3">
        <v>51144</v>
      </c>
      <c r="AX172" t="s">
        <v>798</v>
      </c>
      <c r="AY172" t="s">
        <v>804</v>
      </c>
      <c r="AZ172" t="s">
        <v>76</v>
      </c>
      <c r="BA172" t="s">
        <v>800</v>
      </c>
      <c r="BB172" t="s">
        <v>801</v>
      </c>
      <c r="BC172" t="s">
        <v>802</v>
      </c>
      <c r="BD172" s="3">
        <v>0.10441107461285781</v>
      </c>
      <c r="BE172">
        <v>543.4</v>
      </c>
      <c r="BG172" s="2">
        <f t="shared" si="9"/>
        <v>51144</v>
      </c>
      <c r="BH172" t="str" cm="1">
        <f t="array" ref="BH172">_xlfn.IFS(Q172&lt;5,"0-5 Years",Q172&lt;10,"5-10 Years",Q172&lt;15,"10-15 Years",TRUE,"15+ Years")</f>
        <v>15+ Years</v>
      </c>
      <c r="BI172" t="str" cm="1">
        <f t="array" ref="BI172">_xlfn.IFS(AA172&gt;=540,"A",AA172&gt;=480,"B",AA172&gt;=420,"C",AA172&gt;=360,"D",TRUE,"F")</f>
        <v>C</v>
      </c>
      <c r="BJ172" t="str" cm="1">
        <f t="array" ref="BJ172">_xlfn.IFS(AU172&lt;0,"Separated",AU172&lt;=90,"High Risk",AU172&lt;=180,"Medium Risk",TRUE,"Retained")</f>
        <v>Retained</v>
      </c>
      <c r="BK172" t="str" cm="1">
        <f t="array" ref="BK172">_xlfn.IFS(V172=0,"No Combat",V172=1,"1 Tour",V172=2,"2 Tours",TRUE,"3+ Tours")</f>
        <v>No Combat</v>
      </c>
      <c r="BL172" t="str">
        <f t="shared" si="10"/>
        <v>Standard</v>
      </c>
      <c r="BM172" t="str">
        <f t="shared" si="11"/>
        <v>Not Ready</v>
      </c>
      <c r="BN172" s="3">
        <f t="shared" si="12"/>
        <v>0.10441107461285781</v>
      </c>
      <c r="BO172">
        <f t="shared" si="13"/>
        <v>543.4</v>
      </c>
    </row>
    <row r="173" spans="1:67" x14ac:dyDescent="0.25">
      <c r="A173" t="s">
        <v>459</v>
      </c>
      <c r="B173" t="s">
        <v>282</v>
      </c>
      <c r="C173" t="s">
        <v>50</v>
      </c>
      <c r="D173" t="s">
        <v>51</v>
      </c>
      <c r="E173">
        <v>41</v>
      </c>
      <c r="F173" t="s">
        <v>211</v>
      </c>
      <c r="G173" t="s">
        <v>193</v>
      </c>
      <c r="H173" t="s">
        <v>194</v>
      </c>
      <c r="I173" t="s">
        <v>260</v>
      </c>
      <c r="J173" t="s">
        <v>261</v>
      </c>
      <c r="K173" t="s">
        <v>173</v>
      </c>
      <c r="L173" t="s">
        <v>126</v>
      </c>
      <c r="M173" t="s">
        <v>275</v>
      </c>
      <c r="N173" t="s">
        <v>148</v>
      </c>
      <c r="O173" t="s">
        <v>61</v>
      </c>
      <c r="P173" s="1">
        <v>42193</v>
      </c>
      <c r="Q173">
        <v>8.9</v>
      </c>
      <c r="R173" t="s">
        <v>90</v>
      </c>
      <c r="S173" t="s">
        <v>219</v>
      </c>
      <c r="T173" t="s">
        <v>220</v>
      </c>
      <c r="U173">
        <v>0</v>
      </c>
      <c r="V173">
        <v>0</v>
      </c>
      <c r="W173" s="2">
        <v>2259</v>
      </c>
      <c r="X173" s="2">
        <v>2130</v>
      </c>
      <c r="Y173" s="2">
        <v>422</v>
      </c>
      <c r="Z173" s="2">
        <v>4811</v>
      </c>
      <c r="AA173">
        <v>532</v>
      </c>
      <c r="AB173" t="s">
        <v>65</v>
      </c>
      <c r="AC173">
        <v>14.1</v>
      </c>
      <c r="AD173">
        <v>44</v>
      </c>
      <c r="AE173">
        <v>61</v>
      </c>
      <c r="AF173" t="s">
        <v>93</v>
      </c>
      <c r="AG173">
        <v>21</v>
      </c>
      <c r="AH173" t="s">
        <v>113</v>
      </c>
      <c r="AI173" t="s">
        <v>114</v>
      </c>
      <c r="AJ173" t="s">
        <v>72</v>
      </c>
      <c r="AK173" t="s">
        <v>70</v>
      </c>
      <c r="AL173" t="s">
        <v>70</v>
      </c>
      <c r="AM173" t="s">
        <v>70</v>
      </c>
      <c r="AN173" t="s">
        <v>72</v>
      </c>
      <c r="AO173" t="s">
        <v>73</v>
      </c>
      <c r="AP173" t="s">
        <v>72</v>
      </c>
      <c r="AQ173" t="s">
        <v>74</v>
      </c>
      <c r="AR173" s="1">
        <v>43804</v>
      </c>
      <c r="AS173" t="s">
        <v>137</v>
      </c>
      <c r="AT173" t="s">
        <v>71</v>
      </c>
      <c r="AU173">
        <v>1506</v>
      </c>
      <c r="AV173" t="s">
        <v>76</v>
      </c>
      <c r="AW173" s="3">
        <v>57732</v>
      </c>
      <c r="AX173" t="s">
        <v>808</v>
      </c>
      <c r="AY173" t="s">
        <v>806</v>
      </c>
      <c r="AZ173" t="s">
        <v>76</v>
      </c>
      <c r="BA173" t="s">
        <v>800</v>
      </c>
      <c r="BB173" t="s">
        <v>801</v>
      </c>
      <c r="BC173" t="s">
        <v>802</v>
      </c>
      <c r="BD173" s="3">
        <v>0.11057992101434214</v>
      </c>
      <c r="BE173">
        <v>574.4</v>
      </c>
      <c r="BG173" s="2">
        <f t="shared" si="9"/>
        <v>57732</v>
      </c>
      <c r="BH173" t="str" cm="1">
        <f t="array" ref="BH173">_xlfn.IFS(Q173&lt;5,"0-5 Years",Q173&lt;10,"5-10 Years",Q173&lt;15,"10-15 Years",TRUE,"15+ Years")</f>
        <v>5-10 Years</v>
      </c>
      <c r="BI173" t="str" cm="1">
        <f t="array" ref="BI173">_xlfn.IFS(AA173&gt;=540,"A",AA173&gt;=480,"B",AA173&gt;=420,"C",AA173&gt;=360,"D",TRUE,"F")</f>
        <v>B</v>
      </c>
      <c r="BJ173" t="str" cm="1">
        <f t="array" ref="BJ173">_xlfn.IFS(AU173&lt;0,"Separated",AU173&lt;=90,"High Risk",AU173&lt;=180,"Medium Risk",TRUE,"Retained")</f>
        <v>Retained</v>
      </c>
      <c r="BK173" t="str" cm="1">
        <f t="array" ref="BK173">_xlfn.IFS(V173=0,"No Combat",V173=1,"1 Tour",V173=2,"2 Tours",TRUE,"3+ Tours")</f>
        <v>No Combat</v>
      </c>
      <c r="BL173" t="str">
        <f t="shared" si="10"/>
        <v>Standard</v>
      </c>
      <c r="BM173" t="str">
        <f t="shared" si="11"/>
        <v>Not Ready</v>
      </c>
      <c r="BN173" s="3">
        <f t="shared" si="12"/>
        <v>0.11057992101434214</v>
      </c>
      <c r="BO173">
        <f t="shared" si="13"/>
        <v>574.4</v>
      </c>
    </row>
    <row r="174" spans="1:67" x14ac:dyDescent="0.25">
      <c r="A174" t="s">
        <v>460</v>
      </c>
      <c r="B174" t="s">
        <v>120</v>
      </c>
      <c r="C174" t="s">
        <v>200</v>
      </c>
      <c r="D174" t="s">
        <v>51</v>
      </c>
      <c r="E174">
        <v>32</v>
      </c>
      <c r="F174" t="s">
        <v>291</v>
      </c>
      <c r="G174" t="s">
        <v>183</v>
      </c>
      <c r="H174" t="s">
        <v>184</v>
      </c>
      <c r="I174" t="s">
        <v>253</v>
      </c>
      <c r="J174" t="s">
        <v>254</v>
      </c>
      <c r="K174" t="s">
        <v>255</v>
      </c>
      <c r="L174" t="s">
        <v>174</v>
      </c>
      <c r="M174" t="s">
        <v>87</v>
      </c>
      <c r="N174" t="s">
        <v>265</v>
      </c>
      <c r="O174" t="s">
        <v>109</v>
      </c>
      <c r="P174" s="1">
        <v>44252</v>
      </c>
      <c r="Q174">
        <v>3.3</v>
      </c>
      <c r="R174" t="s">
        <v>208</v>
      </c>
      <c r="S174" t="s">
        <v>110</v>
      </c>
      <c r="T174" t="s">
        <v>111</v>
      </c>
      <c r="U174">
        <v>12</v>
      </c>
      <c r="V174">
        <v>2</v>
      </c>
      <c r="W174" s="2">
        <v>5696</v>
      </c>
      <c r="X174" s="2">
        <v>0</v>
      </c>
      <c r="Y174" s="2">
        <v>266</v>
      </c>
      <c r="Z174" s="2">
        <v>5962</v>
      </c>
      <c r="AA174">
        <v>311</v>
      </c>
      <c r="AB174" t="s">
        <v>151</v>
      </c>
      <c r="AC174">
        <v>16.899999999999999</v>
      </c>
      <c r="AD174">
        <v>48</v>
      </c>
      <c r="AE174">
        <v>59</v>
      </c>
      <c r="AF174" t="s">
        <v>93</v>
      </c>
      <c r="AG174">
        <v>32</v>
      </c>
      <c r="AH174" t="s">
        <v>67</v>
      </c>
      <c r="AI174" t="s">
        <v>68</v>
      </c>
      <c r="AJ174" t="s">
        <v>69</v>
      </c>
      <c r="AK174" t="s">
        <v>71</v>
      </c>
      <c r="AL174" t="s">
        <v>71</v>
      </c>
      <c r="AM174" t="s">
        <v>70</v>
      </c>
      <c r="AN174" t="s">
        <v>231</v>
      </c>
      <c r="AO174" t="s">
        <v>203</v>
      </c>
      <c r="AP174" t="s">
        <v>72</v>
      </c>
      <c r="AQ174" t="s">
        <v>136</v>
      </c>
      <c r="AR174" s="1">
        <v>44799</v>
      </c>
      <c r="AS174" t="s">
        <v>75</v>
      </c>
      <c r="AT174" t="s">
        <v>71</v>
      </c>
      <c r="AU174">
        <v>-277</v>
      </c>
      <c r="AV174" t="s">
        <v>179</v>
      </c>
      <c r="AW174" s="3">
        <v>71544</v>
      </c>
      <c r="AX174" t="s">
        <v>803</v>
      </c>
      <c r="AY174" t="s">
        <v>122</v>
      </c>
      <c r="AZ174" t="s">
        <v>810</v>
      </c>
      <c r="BA174" t="s">
        <v>811</v>
      </c>
      <c r="BB174" t="s">
        <v>801</v>
      </c>
      <c r="BC174" t="s">
        <v>802</v>
      </c>
      <c r="BD174" s="3">
        <v>5.216370345521637E-2</v>
      </c>
      <c r="BE174">
        <v>395.4</v>
      </c>
      <c r="BG174" s="2">
        <f t="shared" si="9"/>
        <v>71544</v>
      </c>
      <c r="BH174" t="str" cm="1">
        <f t="array" ref="BH174">_xlfn.IFS(Q174&lt;5,"0-5 Years",Q174&lt;10,"5-10 Years",Q174&lt;15,"10-15 Years",TRUE,"15+ Years")</f>
        <v>0-5 Years</v>
      </c>
      <c r="BI174" t="str" cm="1">
        <f t="array" ref="BI174">_xlfn.IFS(AA174&gt;=540,"A",AA174&gt;=480,"B",AA174&gt;=420,"C",AA174&gt;=360,"D",TRUE,"F")</f>
        <v>F</v>
      </c>
      <c r="BJ174" t="str" cm="1">
        <f t="array" ref="BJ174">_xlfn.IFS(AU174&lt;0,"Separated",AU174&lt;=90,"High Risk",AU174&lt;=180,"Medium Risk",TRUE,"Retained")</f>
        <v>Separated</v>
      </c>
      <c r="BK174" t="str" cm="1">
        <f t="array" ref="BK174">_xlfn.IFS(V174=0,"No Combat",V174=1,"1 Tour",V174=2,"2 Tours",TRUE,"3+ Tours")</f>
        <v>2 Tours</v>
      </c>
      <c r="BL174" t="str">
        <f t="shared" si="10"/>
        <v>Standard</v>
      </c>
      <c r="BM174" t="str">
        <f t="shared" si="11"/>
        <v>Not Ready</v>
      </c>
      <c r="BN174" s="3">
        <f t="shared" si="12"/>
        <v>5.216370345521637E-2</v>
      </c>
      <c r="BO174">
        <f t="shared" si="13"/>
        <v>395.4</v>
      </c>
    </row>
    <row r="175" spans="1:67" x14ac:dyDescent="0.25">
      <c r="A175" t="s">
        <v>461</v>
      </c>
      <c r="B175" t="s">
        <v>139</v>
      </c>
      <c r="C175" t="s">
        <v>200</v>
      </c>
      <c r="D175" t="s">
        <v>51</v>
      </c>
      <c r="E175">
        <v>40</v>
      </c>
      <c r="F175" t="s">
        <v>311</v>
      </c>
      <c r="G175" t="s">
        <v>279</v>
      </c>
      <c r="H175" t="s">
        <v>280</v>
      </c>
      <c r="I175" t="s">
        <v>171</v>
      </c>
      <c r="J175" t="s">
        <v>172</v>
      </c>
      <c r="K175" t="s">
        <v>173</v>
      </c>
      <c r="L175" t="s">
        <v>106</v>
      </c>
      <c r="M175" t="s">
        <v>147</v>
      </c>
      <c r="N175" t="s">
        <v>60</v>
      </c>
      <c r="O175" t="s">
        <v>149</v>
      </c>
      <c r="P175" s="1">
        <v>44732</v>
      </c>
      <c r="Q175">
        <v>1.9</v>
      </c>
      <c r="R175" t="s">
        <v>150</v>
      </c>
      <c r="S175" t="s">
        <v>63</v>
      </c>
      <c r="T175" t="s">
        <v>64</v>
      </c>
      <c r="U175">
        <v>0</v>
      </c>
      <c r="V175">
        <v>0</v>
      </c>
      <c r="W175" s="2">
        <v>6618</v>
      </c>
      <c r="X175" s="2">
        <v>0</v>
      </c>
      <c r="Y175" s="2">
        <v>266</v>
      </c>
      <c r="Z175" s="2">
        <v>6884</v>
      </c>
      <c r="AA175">
        <v>302</v>
      </c>
      <c r="AB175" t="s">
        <v>151</v>
      </c>
      <c r="AC175">
        <v>15.8</v>
      </c>
      <c r="AD175">
        <v>40</v>
      </c>
      <c r="AE175">
        <v>58</v>
      </c>
      <c r="AF175" t="s">
        <v>93</v>
      </c>
      <c r="AG175">
        <v>30</v>
      </c>
      <c r="AH175" t="s">
        <v>67</v>
      </c>
      <c r="AI175" t="s">
        <v>177</v>
      </c>
      <c r="AJ175" t="s">
        <v>96</v>
      </c>
      <c r="AK175" t="s">
        <v>70</v>
      </c>
      <c r="AL175" t="s">
        <v>70</v>
      </c>
      <c r="AM175" t="s">
        <v>70</v>
      </c>
      <c r="AN175" t="s">
        <v>133</v>
      </c>
      <c r="AO175" t="s">
        <v>116</v>
      </c>
      <c r="AP175" t="s">
        <v>73</v>
      </c>
      <c r="AQ175" t="s">
        <v>74</v>
      </c>
      <c r="AR175" s="1">
        <v>45305</v>
      </c>
      <c r="AS175" t="s">
        <v>137</v>
      </c>
      <c r="AT175" t="s">
        <v>70</v>
      </c>
      <c r="AU175">
        <v>-151</v>
      </c>
      <c r="AV175" t="s">
        <v>179</v>
      </c>
      <c r="AW175" s="3">
        <v>82608</v>
      </c>
      <c r="AX175" t="s">
        <v>803</v>
      </c>
      <c r="AY175" t="s">
        <v>122</v>
      </c>
      <c r="AZ175" t="s">
        <v>810</v>
      </c>
      <c r="BA175" t="s">
        <v>800</v>
      </c>
      <c r="BB175" t="s">
        <v>801</v>
      </c>
      <c r="BC175" t="s">
        <v>802</v>
      </c>
      <c r="BD175" s="3">
        <v>4.3869843114468329E-2</v>
      </c>
      <c r="BE175">
        <v>362.4</v>
      </c>
      <c r="BG175" s="2">
        <f t="shared" si="9"/>
        <v>82608</v>
      </c>
      <c r="BH175" t="str" cm="1">
        <f t="array" ref="BH175">_xlfn.IFS(Q175&lt;5,"0-5 Years",Q175&lt;10,"5-10 Years",Q175&lt;15,"10-15 Years",TRUE,"15+ Years")</f>
        <v>0-5 Years</v>
      </c>
      <c r="BI175" t="str" cm="1">
        <f t="array" ref="BI175">_xlfn.IFS(AA175&gt;=540,"A",AA175&gt;=480,"B",AA175&gt;=420,"C",AA175&gt;=360,"D",TRUE,"F")</f>
        <v>F</v>
      </c>
      <c r="BJ175" t="str" cm="1">
        <f t="array" ref="BJ175">_xlfn.IFS(AU175&lt;0,"Separated",AU175&lt;=90,"High Risk",AU175&lt;=180,"Medium Risk",TRUE,"Retained")</f>
        <v>Separated</v>
      </c>
      <c r="BK175" t="str" cm="1">
        <f t="array" ref="BK175">_xlfn.IFS(V175=0,"No Combat",V175=1,"1 Tour",V175=2,"2 Tours",TRUE,"3+ Tours")</f>
        <v>No Combat</v>
      </c>
      <c r="BL175" t="str">
        <f t="shared" si="10"/>
        <v>Standard</v>
      </c>
      <c r="BM175" t="str">
        <f t="shared" si="11"/>
        <v>Not Ready</v>
      </c>
      <c r="BN175" s="3">
        <f t="shared" si="12"/>
        <v>4.3869843114468329E-2</v>
      </c>
      <c r="BO175">
        <f t="shared" si="13"/>
        <v>362.4</v>
      </c>
    </row>
    <row r="176" spans="1:67" x14ac:dyDescent="0.25">
      <c r="A176" t="s">
        <v>462</v>
      </c>
      <c r="B176" t="s">
        <v>190</v>
      </c>
      <c r="C176" t="s">
        <v>396</v>
      </c>
      <c r="D176" t="s">
        <v>122</v>
      </c>
      <c r="E176">
        <v>18</v>
      </c>
      <c r="F176" t="s">
        <v>305</v>
      </c>
      <c r="G176" t="s">
        <v>101</v>
      </c>
      <c r="H176" t="s">
        <v>102</v>
      </c>
      <c r="I176" t="s">
        <v>253</v>
      </c>
      <c r="J176" t="s">
        <v>254</v>
      </c>
      <c r="K176" t="s">
        <v>255</v>
      </c>
      <c r="L176" t="s">
        <v>201</v>
      </c>
      <c r="M176" t="s">
        <v>212</v>
      </c>
      <c r="N176" t="s">
        <v>60</v>
      </c>
      <c r="O176" t="s">
        <v>149</v>
      </c>
      <c r="P176" s="1">
        <v>41098</v>
      </c>
      <c r="Q176">
        <v>11.9</v>
      </c>
      <c r="R176" t="s">
        <v>129</v>
      </c>
      <c r="S176" t="s">
        <v>63</v>
      </c>
      <c r="T176" t="s">
        <v>64</v>
      </c>
      <c r="U176">
        <v>0</v>
      </c>
      <c r="V176">
        <v>0</v>
      </c>
      <c r="W176" s="2">
        <v>2980</v>
      </c>
      <c r="X176" s="2">
        <v>0</v>
      </c>
      <c r="Y176" s="2">
        <v>422</v>
      </c>
      <c r="Z176" s="2">
        <v>3402</v>
      </c>
      <c r="AA176">
        <v>316</v>
      </c>
      <c r="AB176" t="s">
        <v>151</v>
      </c>
      <c r="AC176">
        <v>13.9</v>
      </c>
      <c r="AD176">
        <v>29</v>
      </c>
      <c r="AE176">
        <v>41</v>
      </c>
      <c r="AF176" t="s">
        <v>132</v>
      </c>
      <c r="AG176">
        <v>25</v>
      </c>
      <c r="AH176" t="s">
        <v>113</v>
      </c>
      <c r="AI176" t="s">
        <v>68</v>
      </c>
      <c r="AJ176" t="s">
        <v>188</v>
      </c>
      <c r="AK176" t="s">
        <v>71</v>
      </c>
      <c r="AL176" t="s">
        <v>71</v>
      </c>
      <c r="AM176" t="s">
        <v>70</v>
      </c>
      <c r="AN176" t="s">
        <v>231</v>
      </c>
      <c r="AO176" t="s">
        <v>134</v>
      </c>
      <c r="AP176" t="s">
        <v>287</v>
      </c>
      <c r="AQ176" t="s">
        <v>117</v>
      </c>
      <c r="AR176" s="1">
        <v>45361</v>
      </c>
      <c r="AS176" t="s">
        <v>137</v>
      </c>
      <c r="AT176" t="s">
        <v>71</v>
      </c>
      <c r="AU176">
        <v>-477</v>
      </c>
      <c r="AV176" t="s">
        <v>179</v>
      </c>
      <c r="AW176" s="3">
        <v>40824</v>
      </c>
      <c r="AX176" t="s">
        <v>805</v>
      </c>
      <c r="AY176" t="s">
        <v>122</v>
      </c>
      <c r="AZ176" t="s">
        <v>810</v>
      </c>
      <c r="BA176" t="s">
        <v>800</v>
      </c>
      <c r="BB176" t="s">
        <v>801</v>
      </c>
      <c r="BC176" t="s">
        <v>802</v>
      </c>
      <c r="BD176" s="3">
        <v>9.2886537330981775E-2</v>
      </c>
      <c r="BE176">
        <v>386.4</v>
      </c>
      <c r="BG176" s="2">
        <f t="shared" si="9"/>
        <v>40824</v>
      </c>
      <c r="BH176" t="str" cm="1">
        <f t="array" ref="BH176">_xlfn.IFS(Q176&lt;5,"0-5 Years",Q176&lt;10,"5-10 Years",Q176&lt;15,"10-15 Years",TRUE,"15+ Years")</f>
        <v>10-15 Years</v>
      </c>
      <c r="BI176" t="str" cm="1">
        <f t="array" ref="BI176">_xlfn.IFS(AA176&gt;=540,"A",AA176&gt;=480,"B",AA176&gt;=420,"C",AA176&gt;=360,"D",TRUE,"F")</f>
        <v>F</v>
      </c>
      <c r="BJ176" t="str" cm="1">
        <f t="array" ref="BJ176">_xlfn.IFS(AU176&lt;0,"Separated",AU176&lt;=90,"High Risk",AU176&lt;=180,"Medium Risk",TRUE,"Retained")</f>
        <v>Separated</v>
      </c>
      <c r="BK176" t="str" cm="1">
        <f t="array" ref="BK176">_xlfn.IFS(V176=0,"No Combat",V176=1,"1 Tour",V176=2,"2 Tours",TRUE,"3+ Tours")</f>
        <v>No Combat</v>
      </c>
      <c r="BL176" t="str">
        <f t="shared" si="10"/>
        <v>Standard</v>
      </c>
      <c r="BM176" t="str">
        <f t="shared" si="11"/>
        <v>Not Ready</v>
      </c>
      <c r="BN176" s="3">
        <f t="shared" si="12"/>
        <v>9.2886537330981775E-2</v>
      </c>
      <c r="BO176">
        <f t="shared" si="13"/>
        <v>386.4</v>
      </c>
    </row>
    <row r="177" spans="1:67" x14ac:dyDescent="0.25">
      <c r="A177" t="s">
        <v>463</v>
      </c>
      <c r="B177" t="s">
        <v>263</v>
      </c>
      <c r="C177" t="s">
        <v>353</v>
      </c>
      <c r="D177" t="s">
        <v>122</v>
      </c>
      <c r="E177">
        <v>19</v>
      </c>
      <c r="F177" t="s">
        <v>311</v>
      </c>
      <c r="G177" t="s">
        <v>285</v>
      </c>
      <c r="H177" t="s">
        <v>286</v>
      </c>
      <c r="I177" t="s">
        <v>185</v>
      </c>
      <c r="J177" t="s">
        <v>186</v>
      </c>
      <c r="K177" t="s">
        <v>187</v>
      </c>
      <c r="L177" t="s">
        <v>126</v>
      </c>
      <c r="M177" t="s">
        <v>249</v>
      </c>
      <c r="N177" t="s">
        <v>60</v>
      </c>
      <c r="O177" t="s">
        <v>61</v>
      </c>
      <c r="P177" s="1">
        <v>43269</v>
      </c>
      <c r="Q177">
        <v>6</v>
      </c>
      <c r="R177" t="s">
        <v>90</v>
      </c>
      <c r="S177" t="s">
        <v>163</v>
      </c>
      <c r="T177" t="s">
        <v>164</v>
      </c>
      <c r="U177">
        <v>7</v>
      </c>
      <c r="V177">
        <v>1</v>
      </c>
      <c r="W177" s="2">
        <v>7668</v>
      </c>
      <c r="X177" s="2">
        <v>1920</v>
      </c>
      <c r="Y177" s="2">
        <v>266</v>
      </c>
      <c r="Z177" s="2">
        <v>9854</v>
      </c>
      <c r="AA177">
        <v>315</v>
      </c>
      <c r="AB177" t="s">
        <v>151</v>
      </c>
      <c r="AC177">
        <v>17.8</v>
      </c>
      <c r="AD177">
        <v>55</v>
      </c>
      <c r="AE177">
        <v>43</v>
      </c>
      <c r="AF177" t="s">
        <v>93</v>
      </c>
      <c r="AG177">
        <v>20</v>
      </c>
      <c r="AH177" t="s">
        <v>113</v>
      </c>
      <c r="AI177" t="s">
        <v>95</v>
      </c>
      <c r="AJ177" t="s">
        <v>72</v>
      </c>
      <c r="AK177" t="s">
        <v>70</v>
      </c>
      <c r="AL177" t="s">
        <v>70</v>
      </c>
      <c r="AM177" t="s">
        <v>71</v>
      </c>
      <c r="AN177" t="s">
        <v>72</v>
      </c>
      <c r="AO177" t="s">
        <v>135</v>
      </c>
      <c r="AP177" t="s">
        <v>135</v>
      </c>
      <c r="AQ177" t="s">
        <v>98</v>
      </c>
      <c r="AR177" s="1">
        <v>44265</v>
      </c>
      <c r="AS177" t="s">
        <v>118</v>
      </c>
      <c r="AT177" t="s">
        <v>71</v>
      </c>
      <c r="AU177">
        <v>226</v>
      </c>
      <c r="AV177" t="s">
        <v>76</v>
      </c>
      <c r="AW177" s="3">
        <v>118248</v>
      </c>
      <c r="AX177" t="s">
        <v>808</v>
      </c>
      <c r="AY177" t="s">
        <v>122</v>
      </c>
      <c r="AZ177" t="s">
        <v>76</v>
      </c>
      <c r="BA177" t="s">
        <v>807</v>
      </c>
      <c r="BB177" t="s">
        <v>801</v>
      </c>
      <c r="BC177" t="s">
        <v>802</v>
      </c>
      <c r="BD177" s="3">
        <v>3.1966714024761519E-2</v>
      </c>
      <c r="BE177">
        <v>375.4</v>
      </c>
      <c r="BG177" s="2">
        <f t="shared" si="9"/>
        <v>118248</v>
      </c>
      <c r="BH177" t="str" cm="1">
        <f t="array" ref="BH177">_xlfn.IFS(Q177&lt;5,"0-5 Years",Q177&lt;10,"5-10 Years",Q177&lt;15,"10-15 Years",TRUE,"15+ Years")</f>
        <v>5-10 Years</v>
      </c>
      <c r="BI177" t="str" cm="1">
        <f t="array" ref="BI177">_xlfn.IFS(AA177&gt;=540,"A",AA177&gt;=480,"B",AA177&gt;=420,"C",AA177&gt;=360,"D",TRUE,"F")</f>
        <v>F</v>
      </c>
      <c r="BJ177" t="str" cm="1">
        <f t="array" ref="BJ177">_xlfn.IFS(AU177&lt;0,"Separated",AU177&lt;=90,"High Risk",AU177&lt;=180,"Medium Risk",TRUE,"Retained")</f>
        <v>Retained</v>
      </c>
      <c r="BK177" t="str" cm="1">
        <f t="array" ref="BK177">_xlfn.IFS(V177=0,"No Combat",V177=1,"1 Tour",V177=2,"2 Tours",TRUE,"3+ Tours")</f>
        <v>1 Tour</v>
      </c>
      <c r="BL177" t="str">
        <f t="shared" si="10"/>
        <v>Standard</v>
      </c>
      <c r="BM177" t="str">
        <f t="shared" si="11"/>
        <v>Not Ready</v>
      </c>
      <c r="BN177" s="3">
        <f t="shared" si="12"/>
        <v>3.1966714024761519E-2</v>
      </c>
      <c r="BO177">
        <f t="shared" si="13"/>
        <v>375.4</v>
      </c>
    </row>
    <row r="178" spans="1:67" x14ac:dyDescent="0.25">
      <c r="A178" t="s">
        <v>464</v>
      </c>
      <c r="B178" t="s">
        <v>251</v>
      </c>
      <c r="C178" t="s">
        <v>396</v>
      </c>
      <c r="D178" t="s">
        <v>122</v>
      </c>
      <c r="E178">
        <v>21</v>
      </c>
      <c r="F178" t="s">
        <v>241</v>
      </c>
      <c r="G178" t="s">
        <v>301</v>
      </c>
      <c r="H178" t="s">
        <v>302</v>
      </c>
      <c r="I178" t="s">
        <v>236</v>
      </c>
      <c r="J178" t="s">
        <v>237</v>
      </c>
      <c r="K178" t="s">
        <v>238</v>
      </c>
      <c r="L178" t="s">
        <v>174</v>
      </c>
      <c r="M178" t="s">
        <v>127</v>
      </c>
      <c r="N178" t="s">
        <v>128</v>
      </c>
      <c r="O178" t="s">
        <v>176</v>
      </c>
      <c r="P178" s="1">
        <v>40997</v>
      </c>
      <c r="Q178">
        <v>12.2</v>
      </c>
      <c r="R178" t="s">
        <v>208</v>
      </c>
      <c r="S178" t="s">
        <v>110</v>
      </c>
      <c r="T178" t="s">
        <v>111</v>
      </c>
      <c r="U178">
        <v>12</v>
      </c>
      <c r="V178">
        <v>2</v>
      </c>
      <c r="W178" s="2">
        <v>4188</v>
      </c>
      <c r="X178" s="2">
        <v>938</v>
      </c>
      <c r="Y178" s="2">
        <v>266</v>
      </c>
      <c r="Z178" s="2">
        <v>5392</v>
      </c>
      <c r="AA178">
        <v>531</v>
      </c>
      <c r="AB178" t="s">
        <v>65</v>
      </c>
      <c r="AC178">
        <v>19.7</v>
      </c>
      <c r="AD178">
        <v>24</v>
      </c>
      <c r="AE178">
        <v>48</v>
      </c>
      <c r="AF178" t="s">
        <v>93</v>
      </c>
      <c r="AG178">
        <v>19</v>
      </c>
      <c r="AH178" t="s">
        <v>113</v>
      </c>
      <c r="AI178" t="s">
        <v>152</v>
      </c>
      <c r="AJ178" t="s">
        <v>188</v>
      </c>
      <c r="AK178" t="s">
        <v>70</v>
      </c>
      <c r="AL178" t="s">
        <v>70</v>
      </c>
      <c r="AM178" t="s">
        <v>71</v>
      </c>
      <c r="AN178" t="s">
        <v>133</v>
      </c>
      <c r="AO178" t="s">
        <v>72</v>
      </c>
      <c r="AP178" t="s">
        <v>221</v>
      </c>
      <c r="AQ178" t="s">
        <v>74</v>
      </c>
      <c r="AR178" s="1">
        <v>43261</v>
      </c>
      <c r="AS178" t="s">
        <v>137</v>
      </c>
      <c r="AT178" t="s">
        <v>71</v>
      </c>
      <c r="AU178">
        <v>1249</v>
      </c>
      <c r="AV178" t="s">
        <v>76</v>
      </c>
      <c r="AW178" s="3">
        <v>64704</v>
      </c>
      <c r="AX178" t="s">
        <v>805</v>
      </c>
      <c r="AY178" t="s">
        <v>806</v>
      </c>
      <c r="AZ178" t="s">
        <v>76</v>
      </c>
      <c r="BA178" t="s">
        <v>811</v>
      </c>
      <c r="BB178" t="s">
        <v>801</v>
      </c>
      <c r="BC178" t="s">
        <v>802</v>
      </c>
      <c r="BD178" s="3">
        <v>9.8479228486646878E-2</v>
      </c>
      <c r="BE178">
        <v>589.4</v>
      </c>
      <c r="BG178" s="2">
        <f t="shared" si="9"/>
        <v>64704</v>
      </c>
      <c r="BH178" t="str" cm="1">
        <f t="array" ref="BH178">_xlfn.IFS(Q178&lt;5,"0-5 Years",Q178&lt;10,"5-10 Years",Q178&lt;15,"10-15 Years",TRUE,"15+ Years")</f>
        <v>10-15 Years</v>
      </c>
      <c r="BI178" t="str" cm="1">
        <f t="array" ref="BI178">_xlfn.IFS(AA178&gt;=540,"A",AA178&gt;=480,"B",AA178&gt;=420,"C",AA178&gt;=360,"D",TRUE,"F")</f>
        <v>B</v>
      </c>
      <c r="BJ178" t="str" cm="1">
        <f t="array" ref="BJ178">_xlfn.IFS(AU178&lt;0,"Separated",AU178&lt;=90,"High Risk",AU178&lt;=180,"Medium Risk",TRUE,"Retained")</f>
        <v>Retained</v>
      </c>
      <c r="BK178" t="str" cm="1">
        <f t="array" ref="BK178">_xlfn.IFS(V178=0,"No Combat",V178=1,"1 Tour",V178=2,"2 Tours",TRUE,"3+ Tours")</f>
        <v>2 Tours</v>
      </c>
      <c r="BL178" t="str">
        <f t="shared" si="10"/>
        <v>Standard</v>
      </c>
      <c r="BM178" t="str">
        <f t="shared" si="11"/>
        <v>Not Ready</v>
      </c>
      <c r="BN178" s="3">
        <f t="shared" si="12"/>
        <v>9.8479228486646878E-2</v>
      </c>
      <c r="BO178">
        <f t="shared" si="13"/>
        <v>589.4</v>
      </c>
    </row>
    <row r="179" spans="1:67" x14ac:dyDescent="0.25">
      <c r="A179" t="s">
        <v>465</v>
      </c>
      <c r="B179" t="s">
        <v>190</v>
      </c>
      <c r="C179" t="s">
        <v>272</v>
      </c>
      <c r="D179" t="s">
        <v>51</v>
      </c>
      <c r="E179">
        <v>31</v>
      </c>
      <c r="F179" t="s">
        <v>214</v>
      </c>
      <c r="G179" t="s">
        <v>301</v>
      </c>
      <c r="H179" t="s">
        <v>302</v>
      </c>
      <c r="I179" t="s">
        <v>236</v>
      </c>
      <c r="J179" t="s">
        <v>237</v>
      </c>
      <c r="K179" t="s">
        <v>238</v>
      </c>
      <c r="L179" t="s">
        <v>58</v>
      </c>
      <c r="M179" t="s">
        <v>87</v>
      </c>
      <c r="N179" t="s">
        <v>148</v>
      </c>
      <c r="O179" t="s">
        <v>109</v>
      </c>
      <c r="P179" s="1">
        <v>42610</v>
      </c>
      <c r="Q179">
        <v>7.8</v>
      </c>
      <c r="R179" t="s">
        <v>129</v>
      </c>
      <c r="S179" t="s">
        <v>219</v>
      </c>
      <c r="T179" t="s">
        <v>220</v>
      </c>
      <c r="U179">
        <v>0</v>
      </c>
      <c r="V179">
        <v>0</v>
      </c>
      <c r="W179" s="2">
        <v>4188</v>
      </c>
      <c r="X179" s="2">
        <v>2094</v>
      </c>
      <c r="Y179" s="2">
        <v>266</v>
      </c>
      <c r="Z179" s="2">
        <v>6548</v>
      </c>
      <c r="AA179">
        <v>409</v>
      </c>
      <c r="AB179" t="s">
        <v>65</v>
      </c>
      <c r="AC179">
        <v>16.7</v>
      </c>
      <c r="AD179">
        <v>31</v>
      </c>
      <c r="AE179">
        <v>69</v>
      </c>
      <c r="AF179" t="s">
        <v>112</v>
      </c>
      <c r="AG179">
        <v>22</v>
      </c>
      <c r="AH179" t="s">
        <v>113</v>
      </c>
      <c r="AI179" t="s">
        <v>68</v>
      </c>
      <c r="AJ179" t="s">
        <v>72</v>
      </c>
      <c r="AK179" t="s">
        <v>70</v>
      </c>
      <c r="AL179" t="s">
        <v>70</v>
      </c>
      <c r="AM179" t="s">
        <v>70</v>
      </c>
      <c r="AN179" t="s">
        <v>133</v>
      </c>
      <c r="AO179" t="s">
        <v>135</v>
      </c>
      <c r="AP179" t="s">
        <v>72</v>
      </c>
      <c r="AQ179" t="s">
        <v>74</v>
      </c>
      <c r="AR179" s="1">
        <v>43239</v>
      </c>
      <c r="AS179" t="s">
        <v>75</v>
      </c>
      <c r="AT179" t="s">
        <v>71</v>
      </c>
      <c r="AU179">
        <v>-454</v>
      </c>
      <c r="AV179" t="s">
        <v>179</v>
      </c>
      <c r="AW179" s="3">
        <v>78576</v>
      </c>
      <c r="AX179" t="s">
        <v>808</v>
      </c>
      <c r="AY179" t="s">
        <v>809</v>
      </c>
      <c r="AZ179" t="s">
        <v>810</v>
      </c>
      <c r="BA179" t="s">
        <v>800</v>
      </c>
      <c r="BB179" t="s">
        <v>801</v>
      </c>
      <c r="BC179" t="s">
        <v>802</v>
      </c>
      <c r="BD179" s="3">
        <v>6.2461820403176542E-2</v>
      </c>
      <c r="BE179">
        <v>453.4</v>
      </c>
      <c r="BG179" s="2">
        <f t="shared" si="9"/>
        <v>78576</v>
      </c>
      <c r="BH179" t="str" cm="1">
        <f t="array" ref="BH179">_xlfn.IFS(Q179&lt;5,"0-5 Years",Q179&lt;10,"5-10 Years",Q179&lt;15,"10-15 Years",TRUE,"15+ Years")</f>
        <v>5-10 Years</v>
      </c>
      <c r="BI179" t="str" cm="1">
        <f t="array" ref="BI179">_xlfn.IFS(AA179&gt;=540,"A",AA179&gt;=480,"B",AA179&gt;=420,"C",AA179&gt;=360,"D",TRUE,"F")</f>
        <v>D</v>
      </c>
      <c r="BJ179" t="str" cm="1">
        <f t="array" ref="BJ179">_xlfn.IFS(AU179&lt;0,"Separated",AU179&lt;=90,"High Risk",AU179&lt;=180,"Medium Risk",TRUE,"Retained")</f>
        <v>Separated</v>
      </c>
      <c r="BK179" t="str" cm="1">
        <f t="array" ref="BK179">_xlfn.IFS(V179=0,"No Combat",V179=1,"1 Tour",V179=2,"2 Tours",TRUE,"3+ Tours")</f>
        <v>No Combat</v>
      </c>
      <c r="BL179" t="str">
        <f t="shared" si="10"/>
        <v>Standard</v>
      </c>
      <c r="BM179" t="str">
        <f t="shared" si="11"/>
        <v>Not Ready</v>
      </c>
      <c r="BN179" s="3">
        <f t="shared" si="12"/>
        <v>6.2461820403176542E-2</v>
      </c>
      <c r="BO179">
        <f t="shared" si="13"/>
        <v>453.4</v>
      </c>
    </row>
    <row r="180" spans="1:67" x14ac:dyDescent="0.25">
      <c r="A180" t="s">
        <v>466</v>
      </c>
      <c r="B180" t="s">
        <v>49</v>
      </c>
      <c r="C180" t="s">
        <v>252</v>
      </c>
      <c r="D180" t="s">
        <v>51</v>
      </c>
      <c r="E180">
        <v>38</v>
      </c>
      <c r="F180" t="s">
        <v>278</v>
      </c>
      <c r="G180" t="s">
        <v>193</v>
      </c>
      <c r="H180" t="s">
        <v>194</v>
      </c>
      <c r="I180" t="s">
        <v>217</v>
      </c>
      <c r="J180" t="s">
        <v>218</v>
      </c>
      <c r="K180" t="s">
        <v>146</v>
      </c>
      <c r="L180" t="s">
        <v>86</v>
      </c>
      <c r="M180" t="s">
        <v>147</v>
      </c>
      <c r="N180" t="s">
        <v>148</v>
      </c>
      <c r="O180" t="s">
        <v>176</v>
      </c>
      <c r="P180" s="1">
        <v>44636</v>
      </c>
      <c r="Q180">
        <v>2.2000000000000002</v>
      </c>
      <c r="R180" t="s">
        <v>75</v>
      </c>
      <c r="S180" t="s">
        <v>163</v>
      </c>
      <c r="T180" t="s">
        <v>164</v>
      </c>
      <c r="U180">
        <v>3</v>
      </c>
      <c r="V180">
        <v>0</v>
      </c>
      <c r="W180" s="2">
        <v>2259</v>
      </c>
      <c r="X180" s="2">
        <v>1482</v>
      </c>
      <c r="Y180" s="2">
        <v>422</v>
      </c>
      <c r="Z180" s="2">
        <v>4163</v>
      </c>
      <c r="AA180">
        <v>304</v>
      </c>
      <c r="AB180" t="s">
        <v>151</v>
      </c>
      <c r="AC180">
        <v>15.9</v>
      </c>
      <c r="AD180">
        <v>56</v>
      </c>
      <c r="AE180">
        <v>69</v>
      </c>
      <c r="AF180" t="s">
        <v>93</v>
      </c>
      <c r="AG180">
        <v>22</v>
      </c>
      <c r="AH180" t="s">
        <v>113</v>
      </c>
      <c r="AI180" t="s">
        <v>152</v>
      </c>
      <c r="AJ180" t="s">
        <v>72</v>
      </c>
      <c r="AK180" t="s">
        <v>70</v>
      </c>
      <c r="AL180" t="s">
        <v>70</v>
      </c>
      <c r="AM180" t="s">
        <v>70</v>
      </c>
      <c r="AN180" t="s">
        <v>231</v>
      </c>
      <c r="AO180" t="s">
        <v>221</v>
      </c>
      <c r="AP180" t="s">
        <v>72</v>
      </c>
      <c r="AQ180" t="s">
        <v>74</v>
      </c>
      <c r="AR180" s="1">
        <v>44676</v>
      </c>
      <c r="AS180" t="s">
        <v>75</v>
      </c>
      <c r="AT180" t="s">
        <v>71</v>
      </c>
      <c r="AU180">
        <v>1634</v>
      </c>
      <c r="AV180" t="s">
        <v>76</v>
      </c>
      <c r="AW180" s="3">
        <v>49956</v>
      </c>
      <c r="AX180" t="s">
        <v>803</v>
      </c>
      <c r="AY180" t="s">
        <v>122</v>
      </c>
      <c r="AZ180" t="s">
        <v>76</v>
      </c>
      <c r="BA180" t="s">
        <v>800</v>
      </c>
      <c r="BB180" t="s">
        <v>801</v>
      </c>
      <c r="BC180" t="s">
        <v>802</v>
      </c>
      <c r="BD180" s="3">
        <v>7.302426134998799E-2</v>
      </c>
      <c r="BE180">
        <v>348.4</v>
      </c>
      <c r="BG180" s="2">
        <f t="shared" si="9"/>
        <v>49956</v>
      </c>
      <c r="BH180" t="str" cm="1">
        <f t="array" ref="BH180">_xlfn.IFS(Q180&lt;5,"0-5 Years",Q180&lt;10,"5-10 Years",Q180&lt;15,"10-15 Years",TRUE,"15+ Years")</f>
        <v>0-5 Years</v>
      </c>
      <c r="BI180" t="str" cm="1">
        <f t="array" ref="BI180">_xlfn.IFS(AA180&gt;=540,"A",AA180&gt;=480,"B",AA180&gt;=420,"C",AA180&gt;=360,"D",TRUE,"F")</f>
        <v>F</v>
      </c>
      <c r="BJ180" t="str" cm="1">
        <f t="array" ref="BJ180">_xlfn.IFS(AU180&lt;0,"Separated",AU180&lt;=90,"High Risk",AU180&lt;=180,"Medium Risk",TRUE,"Retained")</f>
        <v>Retained</v>
      </c>
      <c r="BK180" t="str" cm="1">
        <f t="array" ref="BK180">_xlfn.IFS(V180=0,"No Combat",V180=1,"1 Tour",V180=2,"2 Tours",TRUE,"3+ Tours")</f>
        <v>No Combat</v>
      </c>
      <c r="BL180" t="str">
        <f t="shared" si="10"/>
        <v>Standard</v>
      </c>
      <c r="BM180" t="str">
        <f t="shared" si="11"/>
        <v>Not Ready</v>
      </c>
      <c r="BN180" s="3">
        <f t="shared" si="12"/>
        <v>7.302426134998799E-2</v>
      </c>
      <c r="BO180">
        <f t="shared" si="13"/>
        <v>348.4</v>
      </c>
    </row>
    <row r="181" spans="1:67" x14ac:dyDescent="0.25">
      <c r="A181" t="s">
        <v>467</v>
      </c>
      <c r="B181" t="s">
        <v>245</v>
      </c>
      <c r="C181" t="s">
        <v>360</v>
      </c>
      <c r="D181" t="s">
        <v>51</v>
      </c>
      <c r="E181">
        <v>20</v>
      </c>
      <c r="F181" t="s">
        <v>141</v>
      </c>
      <c r="G181" t="s">
        <v>234</v>
      </c>
      <c r="H181" t="s">
        <v>235</v>
      </c>
      <c r="I181" t="s">
        <v>55</v>
      </c>
      <c r="J181" t="s">
        <v>56</v>
      </c>
      <c r="K181" t="s">
        <v>57</v>
      </c>
      <c r="L181" t="s">
        <v>201</v>
      </c>
      <c r="M181" t="s">
        <v>175</v>
      </c>
      <c r="N181" t="s">
        <v>88</v>
      </c>
      <c r="O181" t="s">
        <v>176</v>
      </c>
      <c r="P181" s="1">
        <v>38895</v>
      </c>
      <c r="Q181">
        <v>17.899999999999999</v>
      </c>
      <c r="R181" t="s">
        <v>129</v>
      </c>
      <c r="S181" t="s">
        <v>130</v>
      </c>
      <c r="T181" t="s">
        <v>131</v>
      </c>
      <c r="U181">
        <v>8</v>
      </c>
      <c r="V181">
        <v>1</v>
      </c>
      <c r="W181" s="2">
        <v>1917</v>
      </c>
      <c r="X181" s="2">
        <v>863</v>
      </c>
      <c r="Y181" s="2">
        <v>422</v>
      </c>
      <c r="Z181" s="2">
        <v>3202</v>
      </c>
      <c r="AA181">
        <v>374</v>
      </c>
      <c r="AB181" t="s">
        <v>65</v>
      </c>
      <c r="AC181">
        <v>20.9</v>
      </c>
      <c r="AD181">
        <v>60</v>
      </c>
      <c r="AE181">
        <v>64</v>
      </c>
      <c r="AF181" t="s">
        <v>132</v>
      </c>
      <c r="AG181">
        <v>21</v>
      </c>
      <c r="AH181" t="s">
        <v>113</v>
      </c>
      <c r="AI181" t="s">
        <v>114</v>
      </c>
      <c r="AJ181" t="s">
        <v>96</v>
      </c>
      <c r="AK181" t="s">
        <v>71</v>
      </c>
      <c r="AL181" t="s">
        <v>70</v>
      </c>
      <c r="AM181" t="s">
        <v>70</v>
      </c>
      <c r="AN181" t="s">
        <v>243</v>
      </c>
      <c r="AO181" t="s">
        <v>116</v>
      </c>
      <c r="AP181" t="s">
        <v>72</v>
      </c>
      <c r="AQ181" t="s">
        <v>117</v>
      </c>
      <c r="AR181" s="1">
        <v>40488</v>
      </c>
      <c r="AS181" t="s">
        <v>75</v>
      </c>
      <c r="AT181" t="s">
        <v>71</v>
      </c>
      <c r="AU181">
        <v>1650</v>
      </c>
      <c r="AV181" t="s">
        <v>76</v>
      </c>
      <c r="AW181" s="3">
        <v>38424</v>
      </c>
      <c r="AX181" t="s">
        <v>798</v>
      </c>
      <c r="AY181" t="s">
        <v>809</v>
      </c>
      <c r="AZ181" t="s">
        <v>76</v>
      </c>
      <c r="BA181" t="s">
        <v>807</v>
      </c>
      <c r="BB181" t="s">
        <v>801</v>
      </c>
      <c r="BC181" t="s">
        <v>802</v>
      </c>
      <c r="BD181" s="3">
        <v>0.11680199875078076</v>
      </c>
      <c r="BE181">
        <v>426.4</v>
      </c>
      <c r="BG181" s="2">
        <f t="shared" si="9"/>
        <v>38424</v>
      </c>
      <c r="BH181" t="str" cm="1">
        <f t="array" ref="BH181">_xlfn.IFS(Q181&lt;5,"0-5 Years",Q181&lt;10,"5-10 Years",Q181&lt;15,"10-15 Years",TRUE,"15+ Years")</f>
        <v>15+ Years</v>
      </c>
      <c r="BI181" t="str" cm="1">
        <f t="array" ref="BI181">_xlfn.IFS(AA181&gt;=540,"A",AA181&gt;=480,"B",AA181&gt;=420,"C",AA181&gt;=360,"D",TRUE,"F")</f>
        <v>D</v>
      </c>
      <c r="BJ181" t="str" cm="1">
        <f t="array" ref="BJ181">_xlfn.IFS(AU181&lt;0,"Separated",AU181&lt;=90,"High Risk",AU181&lt;=180,"Medium Risk",TRUE,"Retained")</f>
        <v>Retained</v>
      </c>
      <c r="BK181" t="str" cm="1">
        <f t="array" ref="BK181">_xlfn.IFS(V181=0,"No Combat",V181=1,"1 Tour",V181=2,"2 Tours",TRUE,"3+ Tours")</f>
        <v>1 Tour</v>
      </c>
      <c r="BL181" t="str">
        <f t="shared" si="10"/>
        <v>Standard</v>
      </c>
      <c r="BM181" t="str">
        <f t="shared" si="11"/>
        <v>Not Ready</v>
      </c>
      <c r="BN181" s="3">
        <f t="shared" si="12"/>
        <v>0.11680199875078076</v>
      </c>
      <c r="BO181">
        <f t="shared" si="13"/>
        <v>426.4</v>
      </c>
    </row>
    <row r="182" spans="1:67" x14ac:dyDescent="0.25">
      <c r="A182" t="s">
        <v>468</v>
      </c>
      <c r="B182" t="s">
        <v>277</v>
      </c>
      <c r="C182" t="s">
        <v>264</v>
      </c>
      <c r="D182" t="s">
        <v>51</v>
      </c>
      <c r="E182">
        <v>32</v>
      </c>
      <c r="F182" t="s">
        <v>291</v>
      </c>
      <c r="G182" t="s">
        <v>301</v>
      </c>
      <c r="H182" t="s">
        <v>302</v>
      </c>
      <c r="I182" t="s">
        <v>292</v>
      </c>
      <c r="J182" t="s">
        <v>293</v>
      </c>
      <c r="K182" t="s">
        <v>294</v>
      </c>
      <c r="L182" t="s">
        <v>174</v>
      </c>
      <c r="M182" t="s">
        <v>107</v>
      </c>
      <c r="N182" t="s">
        <v>60</v>
      </c>
      <c r="O182" t="s">
        <v>109</v>
      </c>
      <c r="P182" s="1">
        <v>42498</v>
      </c>
      <c r="Q182">
        <v>8.1</v>
      </c>
      <c r="R182" t="s">
        <v>90</v>
      </c>
      <c r="S182" t="s">
        <v>163</v>
      </c>
      <c r="T182" t="s">
        <v>164</v>
      </c>
      <c r="U182">
        <v>15</v>
      </c>
      <c r="V182">
        <v>2</v>
      </c>
      <c r="W182" s="2">
        <v>4188</v>
      </c>
      <c r="X182" s="2">
        <v>0</v>
      </c>
      <c r="Y182" s="2">
        <v>266</v>
      </c>
      <c r="Z182" s="2">
        <v>4454</v>
      </c>
      <c r="AA182">
        <v>558</v>
      </c>
      <c r="AB182" t="s">
        <v>65</v>
      </c>
      <c r="AC182">
        <v>14.1</v>
      </c>
      <c r="AD182">
        <v>79</v>
      </c>
      <c r="AE182">
        <v>60</v>
      </c>
      <c r="AF182" t="s">
        <v>112</v>
      </c>
      <c r="AG182">
        <v>40</v>
      </c>
      <c r="AH182" t="s">
        <v>94</v>
      </c>
      <c r="AI182" t="s">
        <v>152</v>
      </c>
      <c r="AJ182" t="s">
        <v>188</v>
      </c>
      <c r="AK182" t="s">
        <v>70</v>
      </c>
      <c r="AL182" t="s">
        <v>70</v>
      </c>
      <c r="AM182" t="s">
        <v>71</v>
      </c>
      <c r="AN182" t="s">
        <v>72</v>
      </c>
      <c r="AO182" t="s">
        <v>221</v>
      </c>
      <c r="AP182" t="s">
        <v>72</v>
      </c>
      <c r="AQ182" t="s">
        <v>136</v>
      </c>
      <c r="AR182" s="1">
        <v>42550</v>
      </c>
      <c r="AS182" t="s">
        <v>137</v>
      </c>
      <c r="AT182" t="s">
        <v>71</v>
      </c>
      <c r="AU182">
        <v>-144</v>
      </c>
      <c r="AV182" t="s">
        <v>179</v>
      </c>
      <c r="AW182" s="3">
        <v>53448</v>
      </c>
      <c r="AX182" t="s">
        <v>808</v>
      </c>
      <c r="AY182" t="s">
        <v>799</v>
      </c>
      <c r="AZ182" t="s">
        <v>810</v>
      </c>
      <c r="BA182" t="s">
        <v>811</v>
      </c>
      <c r="BB182" t="s">
        <v>801</v>
      </c>
      <c r="BC182" t="s">
        <v>802</v>
      </c>
      <c r="BD182" s="3">
        <v>0.12528064660978896</v>
      </c>
      <c r="BE182">
        <v>658.4</v>
      </c>
      <c r="BG182" s="2">
        <f t="shared" si="9"/>
        <v>53448</v>
      </c>
      <c r="BH182" t="str" cm="1">
        <f t="array" ref="BH182">_xlfn.IFS(Q182&lt;5,"0-5 Years",Q182&lt;10,"5-10 Years",Q182&lt;15,"10-15 Years",TRUE,"15+ Years")</f>
        <v>5-10 Years</v>
      </c>
      <c r="BI182" t="str" cm="1">
        <f t="array" ref="BI182">_xlfn.IFS(AA182&gt;=540,"A",AA182&gt;=480,"B",AA182&gt;=420,"C",AA182&gt;=360,"D",TRUE,"F")</f>
        <v>A</v>
      </c>
      <c r="BJ182" t="str" cm="1">
        <f t="array" ref="BJ182">_xlfn.IFS(AU182&lt;0,"Separated",AU182&lt;=90,"High Risk",AU182&lt;=180,"Medium Risk",TRUE,"Retained")</f>
        <v>Separated</v>
      </c>
      <c r="BK182" t="str" cm="1">
        <f t="array" ref="BK182">_xlfn.IFS(V182=0,"No Combat",V182=1,"1 Tour",V182=2,"2 Tours",TRUE,"3+ Tours")</f>
        <v>2 Tours</v>
      </c>
      <c r="BL182" t="str">
        <f t="shared" si="10"/>
        <v>Standard</v>
      </c>
      <c r="BM182" t="str">
        <f t="shared" si="11"/>
        <v>Not Ready</v>
      </c>
      <c r="BN182" s="3">
        <f t="shared" si="12"/>
        <v>0.12528064660978896</v>
      </c>
      <c r="BO182">
        <f t="shared" si="13"/>
        <v>658.4</v>
      </c>
    </row>
    <row r="183" spans="1:67" x14ac:dyDescent="0.25">
      <c r="A183" t="s">
        <v>469</v>
      </c>
      <c r="B183" t="s">
        <v>205</v>
      </c>
      <c r="C183" t="s">
        <v>200</v>
      </c>
      <c r="D183" t="s">
        <v>51</v>
      </c>
      <c r="E183">
        <v>35</v>
      </c>
      <c r="F183" t="s">
        <v>283</v>
      </c>
      <c r="G183" t="s">
        <v>81</v>
      </c>
      <c r="H183" t="s">
        <v>82</v>
      </c>
      <c r="I183" t="s">
        <v>103</v>
      </c>
      <c r="J183" t="s">
        <v>104</v>
      </c>
      <c r="K183" t="s">
        <v>105</v>
      </c>
      <c r="L183" t="s">
        <v>106</v>
      </c>
      <c r="M183" t="s">
        <v>59</v>
      </c>
      <c r="N183" t="s">
        <v>88</v>
      </c>
      <c r="O183" t="s">
        <v>89</v>
      </c>
      <c r="P183" s="1">
        <v>43084</v>
      </c>
      <c r="Q183">
        <v>6.5</v>
      </c>
      <c r="R183" t="s">
        <v>62</v>
      </c>
      <c r="S183" t="s">
        <v>196</v>
      </c>
      <c r="T183" t="s">
        <v>197</v>
      </c>
      <c r="U183">
        <v>0</v>
      </c>
      <c r="V183">
        <v>0</v>
      </c>
      <c r="W183" s="2">
        <v>2504</v>
      </c>
      <c r="X183" s="2">
        <v>0</v>
      </c>
      <c r="Y183" s="2">
        <v>422</v>
      </c>
      <c r="Z183" s="2">
        <v>2926</v>
      </c>
      <c r="AA183">
        <v>431</v>
      </c>
      <c r="AB183" t="s">
        <v>65</v>
      </c>
      <c r="AC183">
        <v>15.2</v>
      </c>
      <c r="AD183">
        <v>32</v>
      </c>
      <c r="AE183">
        <v>48</v>
      </c>
      <c r="AF183" t="s">
        <v>112</v>
      </c>
      <c r="AG183">
        <v>40</v>
      </c>
      <c r="AH183" t="s">
        <v>94</v>
      </c>
      <c r="AI183" t="s">
        <v>177</v>
      </c>
      <c r="AJ183" t="s">
        <v>96</v>
      </c>
      <c r="AK183" t="s">
        <v>71</v>
      </c>
      <c r="AL183" t="s">
        <v>71</v>
      </c>
      <c r="AM183" t="s">
        <v>70</v>
      </c>
      <c r="AN183" t="s">
        <v>115</v>
      </c>
      <c r="AO183" t="s">
        <v>287</v>
      </c>
      <c r="AP183" t="s">
        <v>134</v>
      </c>
      <c r="AQ183" t="s">
        <v>98</v>
      </c>
      <c r="AR183" s="1">
        <v>44040</v>
      </c>
      <c r="AS183" t="s">
        <v>118</v>
      </c>
      <c r="AT183" t="s">
        <v>71</v>
      </c>
      <c r="AU183">
        <v>610</v>
      </c>
      <c r="AV183" t="s">
        <v>76</v>
      </c>
      <c r="AW183" s="3">
        <v>35112</v>
      </c>
      <c r="AX183" t="s">
        <v>808</v>
      </c>
      <c r="AY183" t="s">
        <v>804</v>
      </c>
      <c r="AZ183" t="s">
        <v>76</v>
      </c>
      <c r="BA183" t="s">
        <v>800</v>
      </c>
      <c r="BB183" t="s">
        <v>801</v>
      </c>
      <c r="BC183" t="s">
        <v>802</v>
      </c>
      <c r="BD183" s="3">
        <v>0.14730006835269993</v>
      </c>
      <c r="BE183">
        <v>531.4</v>
      </c>
      <c r="BG183" s="2">
        <f t="shared" si="9"/>
        <v>35112</v>
      </c>
      <c r="BH183" t="str" cm="1">
        <f t="array" ref="BH183">_xlfn.IFS(Q183&lt;5,"0-5 Years",Q183&lt;10,"5-10 Years",Q183&lt;15,"10-15 Years",TRUE,"15+ Years")</f>
        <v>5-10 Years</v>
      </c>
      <c r="BI183" t="str" cm="1">
        <f t="array" ref="BI183">_xlfn.IFS(AA183&gt;=540,"A",AA183&gt;=480,"B",AA183&gt;=420,"C",AA183&gt;=360,"D",TRUE,"F")</f>
        <v>C</v>
      </c>
      <c r="BJ183" t="str" cm="1">
        <f t="array" ref="BJ183">_xlfn.IFS(AU183&lt;0,"Separated",AU183&lt;=90,"High Risk",AU183&lt;=180,"Medium Risk",TRUE,"Retained")</f>
        <v>Retained</v>
      </c>
      <c r="BK183" t="str" cm="1">
        <f t="array" ref="BK183">_xlfn.IFS(V183=0,"No Combat",V183=1,"1 Tour",V183=2,"2 Tours",TRUE,"3+ Tours")</f>
        <v>No Combat</v>
      </c>
      <c r="BL183" t="str">
        <f t="shared" si="10"/>
        <v>Standard</v>
      </c>
      <c r="BM183" t="str">
        <f t="shared" si="11"/>
        <v>Not Ready</v>
      </c>
      <c r="BN183" s="3">
        <f t="shared" si="12"/>
        <v>0.14730006835269993</v>
      </c>
      <c r="BO183">
        <f t="shared" si="13"/>
        <v>531.4</v>
      </c>
    </row>
    <row r="184" spans="1:67" x14ac:dyDescent="0.25">
      <c r="A184" t="s">
        <v>470</v>
      </c>
      <c r="B184" t="s">
        <v>251</v>
      </c>
      <c r="C184" t="s">
        <v>252</v>
      </c>
      <c r="D184" t="s">
        <v>51</v>
      </c>
      <c r="E184">
        <v>44</v>
      </c>
      <c r="F184" t="s">
        <v>211</v>
      </c>
      <c r="G184" t="s">
        <v>53</v>
      </c>
      <c r="H184" t="s">
        <v>54</v>
      </c>
      <c r="I184" t="s">
        <v>273</v>
      </c>
      <c r="J184" t="s">
        <v>274</v>
      </c>
      <c r="K184" t="s">
        <v>57</v>
      </c>
      <c r="L184" t="s">
        <v>174</v>
      </c>
      <c r="M184" t="s">
        <v>207</v>
      </c>
      <c r="N184" t="s">
        <v>148</v>
      </c>
      <c r="O184" t="s">
        <v>176</v>
      </c>
      <c r="P184" s="1">
        <v>42781</v>
      </c>
      <c r="Q184">
        <v>7.3</v>
      </c>
      <c r="R184" t="s">
        <v>129</v>
      </c>
      <c r="S184" t="s">
        <v>91</v>
      </c>
      <c r="T184" t="s">
        <v>92</v>
      </c>
      <c r="U184">
        <v>1</v>
      </c>
      <c r="V184">
        <v>0</v>
      </c>
      <c r="W184" s="2">
        <v>4739</v>
      </c>
      <c r="X184" s="2">
        <v>0</v>
      </c>
      <c r="Y184" s="2">
        <v>422</v>
      </c>
      <c r="Z184" s="2">
        <v>5161</v>
      </c>
      <c r="AA184">
        <v>344</v>
      </c>
      <c r="AB184" t="s">
        <v>151</v>
      </c>
      <c r="AC184">
        <v>16.5</v>
      </c>
      <c r="AD184">
        <v>63</v>
      </c>
      <c r="AE184">
        <v>33</v>
      </c>
      <c r="AF184" t="s">
        <v>132</v>
      </c>
      <c r="AG184">
        <v>17</v>
      </c>
      <c r="AH184" t="s">
        <v>113</v>
      </c>
      <c r="AI184" t="s">
        <v>152</v>
      </c>
      <c r="AJ184" t="s">
        <v>69</v>
      </c>
      <c r="AK184" t="s">
        <v>70</v>
      </c>
      <c r="AL184" t="s">
        <v>70</v>
      </c>
      <c r="AM184" t="s">
        <v>70</v>
      </c>
      <c r="AN184" t="s">
        <v>231</v>
      </c>
      <c r="AO184" t="s">
        <v>97</v>
      </c>
      <c r="AP184" t="s">
        <v>72</v>
      </c>
      <c r="AQ184" t="s">
        <v>98</v>
      </c>
      <c r="AR184" s="1">
        <v>45061</v>
      </c>
      <c r="AS184" t="s">
        <v>137</v>
      </c>
      <c r="AT184" t="s">
        <v>71</v>
      </c>
      <c r="AU184">
        <v>39</v>
      </c>
      <c r="AV184" t="s">
        <v>179</v>
      </c>
      <c r="AW184" s="3">
        <v>61932</v>
      </c>
      <c r="AX184" t="s">
        <v>808</v>
      </c>
      <c r="AY184" t="s">
        <v>122</v>
      </c>
      <c r="AZ184" t="s">
        <v>813</v>
      </c>
      <c r="BA184" t="s">
        <v>800</v>
      </c>
      <c r="BB184" t="s">
        <v>801</v>
      </c>
      <c r="BC184" t="s">
        <v>802</v>
      </c>
      <c r="BD184" s="3">
        <v>6.6653749273396623E-2</v>
      </c>
      <c r="BE184">
        <v>378.4</v>
      </c>
      <c r="BG184" s="2">
        <f t="shared" si="9"/>
        <v>61932</v>
      </c>
      <c r="BH184" t="str" cm="1">
        <f t="array" ref="BH184">_xlfn.IFS(Q184&lt;5,"0-5 Years",Q184&lt;10,"5-10 Years",Q184&lt;15,"10-15 Years",TRUE,"15+ Years")</f>
        <v>5-10 Years</v>
      </c>
      <c r="BI184" t="str" cm="1">
        <f t="array" ref="BI184">_xlfn.IFS(AA184&gt;=540,"A",AA184&gt;=480,"B",AA184&gt;=420,"C",AA184&gt;=360,"D",TRUE,"F")</f>
        <v>F</v>
      </c>
      <c r="BJ184" t="str" cm="1">
        <f t="array" ref="BJ184">_xlfn.IFS(AU184&lt;0,"Separated",AU184&lt;=90,"High Risk",AU184&lt;=180,"Medium Risk",TRUE,"Retained")</f>
        <v>High Risk</v>
      </c>
      <c r="BK184" t="str" cm="1">
        <f t="array" ref="BK184">_xlfn.IFS(V184=0,"No Combat",V184=1,"1 Tour",V184=2,"2 Tours",TRUE,"3+ Tours")</f>
        <v>No Combat</v>
      </c>
      <c r="BL184" t="str">
        <f t="shared" si="10"/>
        <v>Standard</v>
      </c>
      <c r="BM184" t="str">
        <f t="shared" si="11"/>
        <v>Not Ready</v>
      </c>
      <c r="BN184" s="3">
        <f t="shared" si="12"/>
        <v>6.6653749273396623E-2</v>
      </c>
      <c r="BO184">
        <f t="shared" si="13"/>
        <v>378.4</v>
      </c>
    </row>
    <row r="185" spans="1:67" x14ac:dyDescent="0.25">
      <c r="A185" t="s">
        <v>471</v>
      </c>
      <c r="B185" t="s">
        <v>277</v>
      </c>
      <c r="C185" t="s">
        <v>200</v>
      </c>
      <c r="D185" t="s">
        <v>51</v>
      </c>
      <c r="E185">
        <v>27</v>
      </c>
      <c r="F185" t="s">
        <v>248</v>
      </c>
      <c r="G185" t="s">
        <v>279</v>
      </c>
      <c r="H185" t="s">
        <v>280</v>
      </c>
      <c r="I185" t="s">
        <v>217</v>
      </c>
      <c r="J185" t="s">
        <v>218</v>
      </c>
      <c r="K185" t="s">
        <v>146</v>
      </c>
      <c r="L185" t="s">
        <v>106</v>
      </c>
      <c r="M185" t="s">
        <v>175</v>
      </c>
      <c r="N185" t="s">
        <v>265</v>
      </c>
      <c r="O185" t="s">
        <v>109</v>
      </c>
      <c r="P185" s="1">
        <v>42207</v>
      </c>
      <c r="Q185">
        <v>8.9</v>
      </c>
      <c r="R185" t="s">
        <v>150</v>
      </c>
      <c r="S185" t="s">
        <v>130</v>
      </c>
      <c r="T185" t="s">
        <v>131</v>
      </c>
      <c r="U185">
        <v>7</v>
      </c>
      <c r="V185">
        <v>1</v>
      </c>
      <c r="W185" s="2">
        <v>6618</v>
      </c>
      <c r="X185" s="2">
        <v>1094</v>
      </c>
      <c r="Y185" s="2">
        <v>266</v>
      </c>
      <c r="Z185" s="2">
        <v>7978</v>
      </c>
      <c r="AA185">
        <v>459</v>
      </c>
      <c r="AB185" t="s">
        <v>65</v>
      </c>
      <c r="AC185">
        <v>20.3</v>
      </c>
      <c r="AD185">
        <v>45</v>
      </c>
      <c r="AE185">
        <v>41</v>
      </c>
      <c r="AF185" t="s">
        <v>112</v>
      </c>
      <c r="AG185">
        <v>30</v>
      </c>
      <c r="AH185" t="s">
        <v>67</v>
      </c>
      <c r="AI185" t="s">
        <v>152</v>
      </c>
      <c r="AJ185" t="s">
        <v>96</v>
      </c>
      <c r="AK185" t="s">
        <v>70</v>
      </c>
      <c r="AL185" t="s">
        <v>70</v>
      </c>
      <c r="AM185" t="s">
        <v>70</v>
      </c>
      <c r="AN185" t="s">
        <v>231</v>
      </c>
      <c r="AO185" t="s">
        <v>287</v>
      </c>
      <c r="AP185" t="s">
        <v>72</v>
      </c>
      <c r="AQ185" t="s">
        <v>74</v>
      </c>
      <c r="AR185" s="1">
        <v>45353</v>
      </c>
      <c r="AS185" t="s">
        <v>118</v>
      </c>
      <c r="AT185" t="s">
        <v>71</v>
      </c>
      <c r="AU185">
        <v>-62</v>
      </c>
      <c r="AV185" t="s">
        <v>179</v>
      </c>
      <c r="AW185" s="3">
        <v>95736</v>
      </c>
      <c r="AX185" t="s">
        <v>808</v>
      </c>
      <c r="AY185" t="s">
        <v>804</v>
      </c>
      <c r="AZ185" t="s">
        <v>810</v>
      </c>
      <c r="BA185" t="s">
        <v>807</v>
      </c>
      <c r="BB185" t="s">
        <v>801</v>
      </c>
      <c r="BC185" t="s">
        <v>802</v>
      </c>
      <c r="BD185" s="3">
        <v>5.7533216344948609E-2</v>
      </c>
      <c r="BE185">
        <v>519.4</v>
      </c>
      <c r="BG185" s="2">
        <f t="shared" si="9"/>
        <v>95736</v>
      </c>
      <c r="BH185" t="str" cm="1">
        <f t="array" ref="BH185">_xlfn.IFS(Q185&lt;5,"0-5 Years",Q185&lt;10,"5-10 Years",Q185&lt;15,"10-15 Years",TRUE,"15+ Years")</f>
        <v>5-10 Years</v>
      </c>
      <c r="BI185" t="str" cm="1">
        <f t="array" ref="BI185">_xlfn.IFS(AA185&gt;=540,"A",AA185&gt;=480,"B",AA185&gt;=420,"C",AA185&gt;=360,"D",TRUE,"F")</f>
        <v>C</v>
      </c>
      <c r="BJ185" t="str" cm="1">
        <f t="array" ref="BJ185">_xlfn.IFS(AU185&lt;0,"Separated",AU185&lt;=90,"High Risk",AU185&lt;=180,"Medium Risk",TRUE,"Retained")</f>
        <v>Separated</v>
      </c>
      <c r="BK185" t="str" cm="1">
        <f t="array" ref="BK185">_xlfn.IFS(V185=0,"No Combat",V185=1,"1 Tour",V185=2,"2 Tours",TRUE,"3+ Tours")</f>
        <v>1 Tour</v>
      </c>
      <c r="BL185" t="str">
        <f t="shared" si="10"/>
        <v>Standard</v>
      </c>
      <c r="BM185" t="str">
        <f t="shared" si="11"/>
        <v>Not Ready</v>
      </c>
      <c r="BN185" s="3">
        <f t="shared" si="12"/>
        <v>5.7533216344948609E-2</v>
      </c>
      <c r="BO185">
        <f t="shared" si="13"/>
        <v>519.4</v>
      </c>
    </row>
    <row r="186" spans="1:67" x14ac:dyDescent="0.25">
      <c r="A186" t="s">
        <v>472</v>
      </c>
      <c r="B186" t="s">
        <v>154</v>
      </c>
      <c r="C186" t="s">
        <v>79</v>
      </c>
      <c r="D186" t="s">
        <v>51</v>
      </c>
      <c r="E186">
        <v>37</v>
      </c>
      <c r="F186" t="s">
        <v>278</v>
      </c>
      <c r="G186" t="s">
        <v>279</v>
      </c>
      <c r="H186" t="s">
        <v>280</v>
      </c>
      <c r="I186" t="s">
        <v>253</v>
      </c>
      <c r="J186" t="s">
        <v>254</v>
      </c>
      <c r="K186" t="s">
        <v>255</v>
      </c>
      <c r="L186" t="s">
        <v>201</v>
      </c>
      <c r="M186" t="s">
        <v>212</v>
      </c>
      <c r="N186" t="s">
        <v>108</v>
      </c>
      <c r="O186" t="s">
        <v>61</v>
      </c>
      <c r="P186" s="1">
        <v>40349</v>
      </c>
      <c r="Q186">
        <v>13.9</v>
      </c>
      <c r="R186" t="s">
        <v>62</v>
      </c>
      <c r="S186" t="s">
        <v>63</v>
      </c>
      <c r="T186" t="s">
        <v>64</v>
      </c>
      <c r="U186">
        <v>0</v>
      </c>
      <c r="V186">
        <v>0</v>
      </c>
      <c r="W186" s="2">
        <v>6618</v>
      </c>
      <c r="X186" s="2">
        <v>1125</v>
      </c>
      <c r="Y186" s="2">
        <v>266</v>
      </c>
      <c r="Z186" s="2">
        <v>8009</v>
      </c>
      <c r="AA186">
        <v>592</v>
      </c>
      <c r="AB186" t="s">
        <v>65</v>
      </c>
      <c r="AC186">
        <v>15.8</v>
      </c>
      <c r="AD186">
        <v>41</v>
      </c>
      <c r="AE186">
        <v>43</v>
      </c>
      <c r="AF186" t="s">
        <v>132</v>
      </c>
      <c r="AG186">
        <v>29</v>
      </c>
      <c r="AH186" t="s">
        <v>113</v>
      </c>
      <c r="AI186" t="s">
        <v>68</v>
      </c>
      <c r="AJ186" t="s">
        <v>72</v>
      </c>
      <c r="AK186" t="s">
        <v>70</v>
      </c>
      <c r="AL186" t="s">
        <v>71</v>
      </c>
      <c r="AM186" t="s">
        <v>70</v>
      </c>
      <c r="AN186" t="s">
        <v>202</v>
      </c>
      <c r="AO186" t="s">
        <v>116</v>
      </c>
      <c r="AP186" t="s">
        <v>203</v>
      </c>
      <c r="AQ186" t="s">
        <v>98</v>
      </c>
      <c r="AR186" s="1">
        <v>42702</v>
      </c>
      <c r="AS186" t="s">
        <v>137</v>
      </c>
      <c r="AT186" t="s">
        <v>71</v>
      </c>
      <c r="AU186">
        <v>1162</v>
      </c>
      <c r="AV186" t="s">
        <v>76</v>
      </c>
      <c r="AW186" s="3">
        <v>96108</v>
      </c>
      <c r="AX186" t="s">
        <v>805</v>
      </c>
      <c r="AY186" t="s">
        <v>799</v>
      </c>
      <c r="AZ186" t="s">
        <v>76</v>
      </c>
      <c r="BA186" t="s">
        <v>800</v>
      </c>
      <c r="BB186" t="s">
        <v>801</v>
      </c>
      <c r="BC186" t="s">
        <v>802</v>
      </c>
      <c r="BD186" s="3">
        <v>7.3916843551005113E-2</v>
      </c>
      <c r="BE186">
        <v>660.4</v>
      </c>
      <c r="BG186" s="2">
        <f t="shared" si="9"/>
        <v>96108</v>
      </c>
      <c r="BH186" t="str" cm="1">
        <f t="array" ref="BH186">_xlfn.IFS(Q186&lt;5,"0-5 Years",Q186&lt;10,"5-10 Years",Q186&lt;15,"10-15 Years",TRUE,"15+ Years")</f>
        <v>10-15 Years</v>
      </c>
      <c r="BI186" t="str" cm="1">
        <f t="array" ref="BI186">_xlfn.IFS(AA186&gt;=540,"A",AA186&gt;=480,"B",AA186&gt;=420,"C",AA186&gt;=360,"D",TRUE,"F")</f>
        <v>A</v>
      </c>
      <c r="BJ186" t="str" cm="1">
        <f t="array" ref="BJ186">_xlfn.IFS(AU186&lt;0,"Separated",AU186&lt;=90,"High Risk",AU186&lt;=180,"Medium Risk",TRUE,"Retained")</f>
        <v>Retained</v>
      </c>
      <c r="BK186" t="str" cm="1">
        <f t="array" ref="BK186">_xlfn.IFS(V186=0,"No Combat",V186=1,"1 Tour",V186=2,"2 Tours",TRUE,"3+ Tours")</f>
        <v>No Combat</v>
      </c>
      <c r="BL186" t="str">
        <f t="shared" si="10"/>
        <v>Standard</v>
      </c>
      <c r="BM186" t="str">
        <f t="shared" si="11"/>
        <v>Not Ready</v>
      </c>
      <c r="BN186" s="3">
        <f t="shared" si="12"/>
        <v>7.3916843551005113E-2</v>
      </c>
      <c r="BO186">
        <f t="shared" si="13"/>
        <v>660.4</v>
      </c>
    </row>
    <row r="187" spans="1:67" x14ac:dyDescent="0.25">
      <c r="A187" t="s">
        <v>473</v>
      </c>
      <c r="B187" t="s">
        <v>210</v>
      </c>
      <c r="C187" t="s">
        <v>140</v>
      </c>
      <c r="D187" t="s">
        <v>51</v>
      </c>
      <c r="E187">
        <v>31</v>
      </c>
      <c r="F187" t="s">
        <v>248</v>
      </c>
      <c r="G187" t="s">
        <v>156</v>
      </c>
      <c r="H187" t="s">
        <v>157</v>
      </c>
      <c r="I187" t="s">
        <v>83</v>
      </c>
      <c r="J187" t="s">
        <v>84</v>
      </c>
      <c r="K187" t="s">
        <v>85</v>
      </c>
      <c r="L187" t="s">
        <v>126</v>
      </c>
      <c r="M187" t="s">
        <v>175</v>
      </c>
      <c r="N187" t="s">
        <v>265</v>
      </c>
      <c r="O187" t="s">
        <v>89</v>
      </c>
      <c r="P187" s="1">
        <v>39094</v>
      </c>
      <c r="Q187">
        <v>17.399999999999999</v>
      </c>
      <c r="R187" t="s">
        <v>129</v>
      </c>
      <c r="S187" t="s">
        <v>130</v>
      </c>
      <c r="T187" t="s">
        <v>131</v>
      </c>
      <c r="U187">
        <v>4</v>
      </c>
      <c r="V187">
        <v>0</v>
      </c>
      <c r="W187" s="2">
        <v>4836</v>
      </c>
      <c r="X187" s="2">
        <v>0</v>
      </c>
      <c r="Y187" s="2">
        <v>266</v>
      </c>
      <c r="Z187" s="2">
        <v>5102</v>
      </c>
      <c r="AA187">
        <v>521</v>
      </c>
      <c r="AB187" t="s">
        <v>65</v>
      </c>
      <c r="AC187">
        <v>18.899999999999999</v>
      </c>
      <c r="AD187">
        <v>62</v>
      </c>
      <c r="AE187">
        <v>39</v>
      </c>
      <c r="AF187" t="s">
        <v>112</v>
      </c>
      <c r="AG187">
        <v>28</v>
      </c>
      <c r="AH187" t="s">
        <v>113</v>
      </c>
      <c r="AI187" t="s">
        <v>177</v>
      </c>
      <c r="AJ187" t="s">
        <v>96</v>
      </c>
      <c r="AK187" t="s">
        <v>70</v>
      </c>
      <c r="AL187" t="s">
        <v>70</v>
      </c>
      <c r="AM187" t="s">
        <v>70</v>
      </c>
      <c r="AN187" t="s">
        <v>115</v>
      </c>
      <c r="AO187" t="s">
        <v>116</v>
      </c>
      <c r="AP187" t="s">
        <v>73</v>
      </c>
      <c r="AQ187" t="s">
        <v>98</v>
      </c>
      <c r="AR187" s="1">
        <v>42394</v>
      </c>
      <c r="AS187" t="s">
        <v>137</v>
      </c>
      <c r="AT187" t="s">
        <v>71</v>
      </c>
      <c r="AU187">
        <v>22</v>
      </c>
      <c r="AV187" t="s">
        <v>179</v>
      </c>
      <c r="AW187" s="3">
        <v>61224</v>
      </c>
      <c r="AX187" t="s">
        <v>798</v>
      </c>
      <c r="AY187" t="s">
        <v>806</v>
      </c>
      <c r="AZ187" t="s">
        <v>813</v>
      </c>
      <c r="BA187" t="s">
        <v>800</v>
      </c>
      <c r="BB187" t="s">
        <v>801</v>
      </c>
      <c r="BC187" t="s">
        <v>802</v>
      </c>
      <c r="BD187" s="3">
        <v>0.10211681693453548</v>
      </c>
      <c r="BE187">
        <v>577.4</v>
      </c>
      <c r="BG187" s="2">
        <f t="shared" si="9"/>
        <v>61224</v>
      </c>
      <c r="BH187" t="str" cm="1">
        <f t="array" ref="BH187">_xlfn.IFS(Q187&lt;5,"0-5 Years",Q187&lt;10,"5-10 Years",Q187&lt;15,"10-15 Years",TRUE,"15+ Years")</f>
        <v>15+ Years</v>
      </c>
      <c r="BI187" t="str" cm="1">
        <f t="array" ref="BI187">_xlfn.IFS(AA187&gt;=540,"A",AA187&gt;=480,"B",AA187&gt;=420,"C",AA187&gt;=360,"D",TRUE,"F")</f>
        <v>B</v>
      </c>
      <c r="BJ187" t="str" cm="1">
        <f t="array" ref="BJ187">_xlfn.IFS(AU187&lt;0,"Separated",AU187&lt;=90,"High Risk",AU187&lt;=180,"Medium Risk",TRUE,"Retained")</f>
        <v>High Risk</v>
      </c>
      <c r="BK187" t="str" cm="1">
        <f t="array" ref="BK187">_xlfn.IFS(V187=0,"No Combat",V187=1,"1 Tour",V187=2,"2 Tours",TRUE,"3+ Tours")</f>
        <v>No Combat</v>
      </c>
      <c r="BL187" t="str">
        <f t="shared" si="10"/>
        <v>Standard</v>
      </c>
      <c r="BM187" t="str">
        <f t="shared" si="11"/>
        <v>Not Ready</v>
      </c>
      <c r="BN187" s="3">
        <f t="shared" si="12"/>
        <v>0.10211681693453548</v>
      </c>
      <c r="BO187">
        <f t="shared" si="13"/>
        <v>577.4</v>
      </c>
    </row>
    <row r="188" spans="1:67" x14ac:dyDescent="0.25">
      <c r="A188" t="s">
        <v>474</v>
      </c>
      <c r="B188" t="s">
        <v>282</v>
      </c>
      <c r="C188" t="s">
        <v>191</v>
      </c>
      <c r="D188" t="s">
        <v>51</v>
      </c>
      <c r="E188">
        <v>24</v>
      </c>
      <c r="F188" t="s">
        <v>168</v>
      </c>
      <c r="G188" t="s">
        <v>298</v>
      </c>
      <c r="H188" t="s">
        <v>299</v>
      </c>
      <c r="I188" t="s">
        <v>268</v>
      </c>
      <c r="J188" t="s">
        <v>269</v>
      </c>
      <c r="K188" t="s">
        <v>173</v>
      </c>
      <c r="L188" t="s">
        <v>106</v>
      </c>
      <c r="M188" t="s">
        <v>147</v>
      </c>
      <c r="N188" t="s">
        <v>128</v>
      </c>
      <c r="O188" t="s">
        <v>176</v>
      </c>
      <c r="P188" s="1">
        <v>39251</v>
      </c>
      <c r="Q188">
        <v>17</v>
      </c>
      <c r="R188" t="s">
        <v>208</v>
      </c>
      <c r="S188" t="s">
        <v>196</v>
      </c>
      <c r="T188" t="s">
        <v>197</v>
      </c>
      <c r="U188">
        <v>0</v>
      </c>
      <c r="V188">
        <v>0</v>
      </c>
      <c r="W188" s="2">
        <v>2149</v>
      </c>
      <c r="X188" s="2">
        <v>0</v>
      </c>
      <c r="Y188" s="2">
        <v>422</v>
      </c>
      <c r="Z188" s="2">
        <v>2571</v>
      </c>
      <c r="AA188">
        <v>491</v>
      </c>
      <c r="AB188" t="s">
        <v>65</v>
      </c>
      <c r="AC188">
        <v>14.5</v>
      </c>
      <c r="AD188">
        <v>64</v>
      </c>
      <c r="AE188">
        <v>67</v>
      </c>
      <c r="AF188" t="s">
        <v>112</v>
      </c>
      <c r="AG188">
        <v>38</v>
      </c>
      <c r="AH188" t="s">
        <v>94</v>
      </c>
      <c r="AI188" t="s">
        <v>95</v>
      </c>
      <c r="AJ188" t="s">
        <v>188</v>
      </c>
      <c r="AK188" t="s">
        <v>70</v>
      </c>
      <c r="AL188" t="s">
        <v>70</v>
      </c>
      <c r="AM188" t="s">
        <v>70</v>
      </c>
      <c r="AN188" t="s">
        <v>202</v>
      </c>
      <c r="AO188" t="s">
        <v>227</v>
      </c>
      <c r="AP188" t="s">
        <v>72</v>
      </c>
      <c r="AQ188" t="s">
        <v>74</v>
      </c>
      <c r="AR188" s="1">
        <v>41446</v>
      </c>
      <c r="AS188" t="s">
        <v>75</v>
      </c>
      <c r="AT188" t="s">
        <v>71</v>
      </c>
      <c r="AU188">
        <v>14</v>
      </c>
      <c r="AV188" t="s">
        <v>179</v>
      </c>
      <c r="AW188" s="3">
        <v>30852</v>
      </c>
      <c r="AX188" t="s">
        <v>798</v>
      </c>
      <c r="AY188" t="s">
        <v>806</v>
      </c>
      <c r="AZ188" t="s">
        <v>813</v>
      </c>
      <c r="BA188" t="s">
        <v>800</v>
      </c>
      <c r="BB188" t="s">
        <v>801</v>
      </c>
      <c r="BC188" t="s">
        <v>802</v>
      </c>
      <c r="BD188" s="3">
        <v>0.190976273823415</v>
      </c>
      <c r="BE188">
        <v>567.4</v>
      </c>
      <c r="BG188" s="2">
        <f t="shared" si="9"/>
        <v>30852</v>
      </c>
      <c r="BH188" t="str" cm="1">
        <f t="array" ref="BH188">_xlfn.IFS(Q188&lt;5,"0-5 Years",Q188&lt;10,"5-10 Years",Q188&lt;15,"10-15 Years",TRUE,"15+ Years")</f>
        <v>15+ Years</v>
      </c>
      <c r="BI188" t="str" cm="1">
        <f t="array" ref="BI188">_xlfn.IFS(AA188&gt;=540,"A",AA188&gt;=480,"B",AA188&gt;=420,"C",AA188&gt;=360,"D",TRUE,"F")</f>
        <v>B</v>
      </c>
      <c r="BJ188" t="str" cm="1">
        <f t="array" ref="BJ188">_xlfn.IFS(AU188&lt;0,"Separated",AU188&lt;=90,"High Risk",AU188&lt;=180,"Medium Risk",TRUE,"Retained")</f>
        <v>High Risk</v>
      </c>
      <c r="BK188" t="str" cm="1">
        <f t="array" ref="BK188">_xlfn.IFS(V188=0,"No Combat",V188=1,"1 Tour",V188=2,"2 Tours",TRUE,"3+ Tours")</f>
        <v>No Combat</v>
      </c>
      <c r="BL188" t="str">
        <f t="shared" si="10"/>
        <v>Standard</v>
      </c>
      <c r="BM188" t="str">
        <f t="shared" si="11"/>
        <v>Not Ready</v>
      </c>
      <c r="BN188" s="3">
        <f t="shared" si="12"/>
        <v>0.190976273823415</v>
      </c>
      <c r="BO188">
        <f t="shared" si="13"/>
        <v>567.4</v>
      </c>
    </row>
    <row r="189" spans="1:67" x14ac:dyDescent="0.25">
      <c r="A189" t="s">
        <v>475</v>
      </c>
      <c r="B189" t="s">
        <v>259</v>
      </c>
      <c r="C189" t="s">
        <v>50</v>
      </c>
      <c r="D189" t="s">
        <v>51</v>
      </c>
      <c r="E189">
        <v>23</v>
      </c>
      <c r="F189" t="s">
        <v>52</v>
      </c>
      <c r="G189" t="s">
        <v>234</v>
      </c>
      <c r="H189" t="s">
        <v>235</v>
      </c>
      <c r="I189" t="s">
        <v>273</v>
      </c>
      <c r="J189" t="s">
        <v>274</v>
      </c>
      <c r="K189" t="s">
        <v>57</v>
      </c>
      <c r="L189" t="s">
        <v>106</v>
      </c>
      <c r="M189" t="s">
        <v>249</v>
      </c>
      <c r="N189" t="s">
        <v>265</v>
      </c>
      <c r="O189" t="s">
        <v>109</v>
      </c>
      <c r="P189" s="1">
        <v>39465</v>
      </c>
      <c r="Q189">
        <v>16.399999999999999</v>
      </c>
      <c r="R189" t="s">
        <v>208</v>
      </c>
      <c r="S189" t="s">
        <v>163</v>
      </c>
      <c r="T189" t="s">
        <v>164</v>
      </c>
      <c r="U189">
        <v>4</v>
      </c>
      <c r="V189">
        <v>0</v>
      </c>
      <c r="W189" s="2">
        <v>1917</v>
      </c>
      <c r="X189" s="2">
        <v>2115</v>
      </c>
      <c r="Y189" s="2">
        <v>422</v>
      </c>
      <c r="Z189" s="2">
        <v>4454</v>
      </c>
      <c r="AA189">
        <v>599</v>
      </c>
      <c r="AB189" t="s">
        <v>65</v>
      </c>
      <c r="AC189">
        <v>19.8</v>
      </c>
      <c r="AD189">
        <v>77</v>
      </c>
      <c r="AE189">
        <v>80</v>
      </c>
      <c r="AF189" t="s">
        <v>132</v>
      </c>
      <c r="AG189">
        <v>35</v>
      </c>
      <c r="AH189" t="s">
        <v>67</v>
      </c>
      <c r="AI189" t="s">
        <v>152</v>
      </c>
      <c r="AJ189" t="s">
        <v>69</v>
      </c>
      <c r="AK189" t="s">
        <v>70</v>
      </c>
      <c r="AL189" t="s">
        <v>70</v>
      </c>
      <c r="AM189" t="s">
        <v>70</v>
      </c>
      <c r="AN189" t="s">
        <v>133</v>
      </c>
      <c r="AO189" t="s">
        <v>178</v>
      </c>
      <c r="AP189" t="s">
        <v>72</v>
      </c>
      <c r="AQ189" t="s">
        <v>74</v>
      </c>
      <c r="AR189" s="1">
        <v>41387</v>
      </c>
      <c r="AS189" t="s">
        <v>137</v>
      </c>
      <c r="AT189" t="s">
        <v>71</v>
      </c>
      <c r="AU189">
        <v>1555</v>
      </c>
      <c r="AV189" t="s">
        <v>76</v>
      </c>
      <c r="AW189" s="3">
        <v>53448</v>
      </c>
      <c r="AX189" t="s">
        <v>798</v>
      </c>
      <c r="AY189" t="s">
        <v>799</v>
      </c>
      <c r="AZ189" t="s">
        <v>76</v>
      </c>
      <c r="BA189" t="s">
        <v>800</v>
      </c>
      <c r="BB189" t="s">
        <v>814</v>
      </c>
      <c r="BC189" t="s">
        <v>802</v>
      </c>
      <c r="BD189" s="3">
        <v>0.13448585541086663</v>
      </c>
      <c r="BE189">
        <v>669.4</v>
      </c>
      <c r="BG189" s="2">
        <f t="shared" si="9"/>
        <v>53448</v>
      </c>
      <c r="BH189" t="str" cm="1">
        <f t="array" ref="BH189">_xlfn.IFS(Q189&lt;5,"0-5 Years",Q189&lt;10,"5-10 Years",Q189&lt;15,"10-15 Years",TRUE,"15+ Years")</f>
        <v>15+ Years</v>
      </c>
      <c r="BI189" t="str" cm="1">
        <f t="array" ref="BI189">_xlfn.IFS(AA189&gt;=540,"A",AA189&gt;=480,"B",AA189&gt;=420,"C",AA189&gt;=360,"D",TRUE,"F")</f>
        <v>A</v>
      </c>
      <c r="BJ189" t="str" cm="1">
        <f t="array" ref="BJ189">_xlfn.IFS(AU189&lt;0,"Separated",AU189&lt;=90,"High Risk",AU189&lt;=180,"Medium Risk",TRUE,"Retained")</f>
        <v>Retained</v>
      </c>
      <c r="BK189" t="str" cm="1">
        <f t="array" ref="BK189">_xlfn.IFS(V189=0,"No Combat",V189=1,"1 Tour",V189=2,"2 Tours",TRUE,"3+ Tours")</f>
        <v>No Combat</v>
      </c>
      <c r="BL189" t="str">
        <f t="shared" si="10"/>
        <v>High Performer</v>
      </c>
      <c r="BM189" t="str">
        <f t="shared" si="11"/>
        <v>Not Ready</v>
      </c>
      <c r="BN189" s="3">
        <f t="shared" si="12"/>
        <v>0.13448585541086663</v>
      </c>
      <c r="BO189">
        <f t="shared" si="13"/>
        <v>669.4</v>
      </c>
    </row>
    <row r="190" spans="1:67" x14ac:dyDescent="0.25">
      <c r="A190" t="s">
        <v>476</v>
      </c>
      <c r="B190" t="s">
        <v>245</v>
      </c>
      <c r="C190" t="s">
        <v>257</v>
      </c>
      <c r="D190" t="s">
        <v>51</v>
      </c>
      <c r="E190">
        <v>43</v>
      </c>
      <c r="F190" t="s">
        <v>241</v>
      </c>
      <c r="G190" t="s">
        <v>301</v>
      </c>
      <c r="H190" t="s">
        <v>302</v>
      </c>
      <c r="I190" t="s">
        <v>268</v>
      </c>
      <c r="J190" t="s">
        <v>269</v>
      </c>
      <c r="K190" t="s">
        <v>173</v>
      </c>
      <c r="L190" t="s">
        <v>174</v>
      </c>
      <c r="M190" t="s">
        <v>87</v>
      </c>
      <c r="N190" t="s">
        <v>162</v>
      </c>
      <c r="O190" t="s">
        <v>176</v>
      </c>
      <c r="P190" s="1">
        <v>39280</v>
      </c>
      <c r="Q190">
        <v>16.899999999999999</v>
      </c>
      <c r="R190" t="s">
        <v>62</v>
      </c>
      <c r="S190" t="s">
        <v>63</v>
      </c>
      <c r="T190" t="s">
        <v>64</v>
      </c>
      <c r="U190">
        <v>0</v>
      </c>
      <c r="V190">
        <v>0</v>
      </c>
      <c r="W190" s="2">
        <v>4188</v>
      </c>
      <c r="X190" s="2">
        <v>0</v>
      </c>
      <c r="Y190" s="2">
        <v>266</v>
      </c>
      <c r="Z190" s="2">
        <v>4454</v>
      </c>
      <c r="AA190">
        <v>433</v>
      </c>
      <c r="AB190" t="s">
        <v>65</v>
      </c>
      <c r="AC190">
        <v>13.7</v>
      </c>
      <c r="AD190">
        <v>66</v>
      </c>
      <c r="AE190">
        <v>63</v>
      </c>
      <c r="AF190" t="s">
        <v>132</v>
      </c>
      <c r="AG190">
        <v>32</v>
      </c>
      <c r="AH190" t="s">
        <v>67</v>
      </c>
      <c r="AI190" t="s">
        <v>68</v>
      </c>
      <c r="AJ190" t="s">
        <v>69</v>
      </c>
      <c r="AK190" t="s">
        <v>71</v>
      </c>
      <c r="AL190" t="s">
        <v>70</v>
      </c>
      <c r="AM190" t="s">
        <v>70</v>
      </c>
      <c r="AN190" t="s">
        <v>115</v>
      </c>
      <c r="AO190" t="s">
        <v>97</v>
      </c>
      <c r="AP190" t="s">
        <v>116</v>
      </c>
      <c r="AQ190" t="s">
        <v>136</v>
      </c>
      <c r="AR190" s="1">
        <v>45460</v>
      </c>
      <c r="AS190" t="s">
        <v>137</v>
      </c>
      <c r="AT190" t="s">
        <v>71</v>
      </c>
      <c r="AU190">
        <v>-456</v>
      </c>
      <c r="AV190" t="s">
        <v>179</v>
      </c>
      <c r="AW190" s="3">
        <v>53448</v>
      </c>
      <c r="AX190" t="s">
        <v>798</v>
      </c>
      <c r="AY190" t="s">
        <v>804</v>
      </c>
      <c r="AZ190" t="s">
        <v>810</v>
      </c>
      <c r="BA190" t="s">
        <v>800</v>
      </c>
      <c r="BB190" t="s">
        <v>801</v>
      </c>
      <c r="BC190" t="s">
        <v>802</v>
      </c>
      <c r="BD190" s="3">
        <v>9.7215985630893578E-2</v>
      </c>
      <c r="BE190">
        <v>507.4</v>
      </c>
      <c r="BG190" s="2">
        <f t="shared" si="9"/>
        <v>53448</v>
      </c>
      <c r="BH190" t="str" cm="1">
        <f t="array" ref="BH190">_xlfn.IFS(Q190&lt;5,"0-5 Years",Q190&lt;10,"5-10 Years",Q190&lt;15,"10-15 Years",TRUE,"15+ Years")</f>
        <v>15+ Years</v>
      </c>
      <c r="BI190" t="str" cm="1">
        <f t="array" ref="BI190">_xlfn.IFS(AA190&gt;=540,"A",AA190&gt;=480,"B",AA190&gt;=420,"C",AA190&gt;=360,"D",TRUE,"F")</f>
        <v>C</v>
      </c>
      <c r="BJ190" t="str" cm="1">
        <f t="array" ref="BJ190">_xlfn.IFS(AU190&lt;0,"Separated",AU190&lt;=90,"High Risk",AU190&lt;=180,"Medium Risk",TRUE,"Retained")</f>
        <v>Separated</v>
      </c>
      <c r="BK190" t="str" cm="1">
        <f t="array" ref="BK190">_xlfn.IFS(V190=0,"No Combat",V190=1,"1 Tour",V190=2,"2 Tours",TRUE,"3+ Tours")</f>
        <v>No Combat</v>
      </c>
      <c r="BL190" t="str">
        <f t="shared" si="10"/>
        <v>Standard</v>
      </c>
      <c r="BM190" t="str">
        <f t="shared" si="11"/>
        <v>Not Ready</v>
      </c>
      <c r="BN190" s="3">
        <f t="shared" si="12"/>
        <v>9.7215985630893578E-2</v>
      </c>
      <c r="BO190">
        <f t="shared" si="13"/>
        <v>507.4</v>
      </c>
    </row>
    <row r="191" spans="1:67" x14ac:dyDescent="0.25">
      <c r="A191" t="s">
        <v>477</v>
      </c>
      <c r="B191" t="s">
        <v>190</v>
      </c>
      <c r="C191" t="s">
        <v>230</v>
      </c>
      <c r="D191" t="s">
        <v>122</v>
      </c>
      <c r="E191">
        <v>18</v>
      </c>
      <c r="F191" t="s">
        <v>224</v>
      </c>
      <c r="G191" t="s">
        <v>285</v>
      </c>
      <c r="H191" t="s">
        <v>286</v>
      </c>
      <c r="I191" t="s">
        <v>225</v>
      </c>
      <c r="J191" t="s">
        <v>226</v>
      </c>
      <c r="K191" t="s">
        <v>105</v>
      </c>
      <c r="L191" t="s">
        <v>106</v>
      </c>
      <c r="M191" t="s">
        <v>161</v>
      </c>
      <c r="N191" t="s">
        <v>162</v>
      </c>
      <c r="O191" t="s">
        <v>176</v>
      </c>
      <c r="P191" s="1">
        <v>44892</v>
      </c>
      <c r="Q191">
        <v>1.5</v>
      </c>
      <c r="R191" t="s">
        <v>208</v>
      </c>
      <c r="S191" t="s">
        <v>110</v>
      </c>
      <c r="T191" t="s">
        <v>111</v>
      </c>
      <c r="U191">
        <v>9</v>
      </c>
      <c r="V191">
        <v>1</v>
      </c>
      <c r="W191" s="2">
        <v>7668</v>
      </c>
      <c r="X191" s="2">
        <v>0</v>
      </c>
      <c r="Y191" s="2">
        <v>266</v>
      </c>
      <c r="Z191" s="2">
        <v>7934</v>
      </c>
      <c r="AA191">
        <v>445</v>
      </c>
      <c r="AB191" t="s">
        <v>65</v>
      </c>
      <c r="AC191">
        <v>18.399999999999999</v>
      </c>
      <c r="AD191">
        <v>58</v>
      </c>
      <c r="AE191">
        <v>77</v>
      </c>
      <c r="AF191" t="s">
        <v>112</v>
      </c>
      <c r="AG191">
        <v>17</v>
      </c>
      <c r="AH191" t="s">
        <v>113</v>
      </c>
      <c r="AI191" t="s">
        <v>95</v>
      </c>
      <c r="AJ191" t="s">
        <v>72</v>
      </c>
      <c r="AK191" t="s">
        <v>70</v>
      </c>
      <c r="AL191" t="s">
        <v>70</v>
      </c>
      <c r="AM191" t="s">
        <v>70</v>
      </c>
      <c r="AN191" t="s">
        <v>72</v>
      </c>
      <c r="AO191" t="s">
        <v>72</v>
      </c>
      <c r="AP191" t="s">
        <v>72</v>
      </c>
      <c r="AQ191" t="s">
        <v>98</v>
      </c>
      <c r="AR191" s="1">
        <v>44719</v>
      </c>
      <c r="AS191" t="s">
        <v>137</v>
      </c>
      <c r="AT191" t="s">
        <v>70</v>
      </c>
      <c r="AU191">
        <v>638</v>
      </c>
      <c r="AV191" t="s">
        <v>76</v>
      </c>
      <c r="AW191" s="3">
        <v>95208</v>
      </c>
      <c r="AX191" t="s">
        <v>803</v>
      </c>
      <c r="AY191" t="s">
        <v>804</v>
      </c>
      <c r="AZ191" t="s">
        <v>76</v>
      </c>
      <c r="BA191" t="s">
        <v>807</v>
      </c>
      <c r="BB191" t="s">
        <v>801</v>
      </c>
      <c r="BC191" t="s">
        <v>802</v>
      </c>
      <c r="BD191" s="3">
        <v>5.6087723720695738E-2</v>
      </c>
      <c r="BE191">
        <v>479.4</v>
      </c>
      <c r="BG191" s="2">
        <f t="shared" si="9"/>
        <v>95208</v>
      </c>
      <c r="BH191" t="str" cm="1">
        <f t="array" ref="BH191">_xlfn.IFS(Q191&lt;5,"0-5 Years",Q191&lt;10,"5-10 Years",Q191&lt;15,"10-15 Years",TRUE,"15+ Years")</f>
        <v>0-5 Years</v>
      </c>
      <c r="BI191" t="str" cm="1">
        <f t="array" ref="BI191">_xlfn.IFS(AA191&gt;=540,"A",AA191&gt;=480,"B",AA191&gt;=420,"C",AA191&gt;=360,"D",TRUE,"F")</f>
        <v>C</v>
      </c>
      <c r="BJ191" t="str" cm="1">
        <f t="array" ref="BJ191">_xlfn.IFS(AU191&lt;0,"Separated",AU191&lt;=90,"High Risk",AU191&lt;=180,"Medium Risk",TRUE,"Retained")</f>
        <v>Retained</v>
      </c>
      <c r="BK191" t="str" cm="1">
        <f t="array" ref="BK191">_xlfn.IFS(V191=0,"No Combat",V191=1,"1 Tour",V191=2,"2 Tours",TRUE,"3+ Tours")</f>
        <v>1 Tour</v>
      </c>
      <c r="BL191" t="str">
        <f t="shared" si="10"/>
        <v>Standard</v>
      </c>
      <c r="BM191" t="str">
        <f t="shared" si="11"/>
        <v>Not Ready</v>
      </c>
      <c r="BN191" s="3">
        <f t="shared" si="12"/>
        <v>5.6087723720695738E-2</v>
      </c>
      <c r="BO191">
        <f t="shared" si="13"/>
        <v>479.4</v>
      </c>
    </row>
    <row r="192" spans="1:67" x14ac:dyDescent="0.25">
      <c r="A192" t="s">
        <v>478</v>
      </c>
      <c r="B192" t="s">
        <v>100</v>
      </c>
      <c r="C192" t="s">
        <v>233</v>
      </c>
      <c r="D192" t="s">
        <v>51</v>
      </c>
      <c r="E192">
        <v>42</v>
      </c>
      <c r="F192" t="s">
        <v>291</v>
      </c>
      <c r="G192" t="s">
        <v>242</v>
      </c>
      <c r="H192" t="s">
        <v>54</v>
      </c>
      <c r="I192" t="s">
        <v>217</v>
      </c>
      <c r="J192" t="s">
        <v>218</v>
      </c>
      <c r="K192" t="s">
        <v>146</v>
      </c>
      <c r="L192" t="s">
        <v>86</v>
      </c>
      <c r="M192" t="s">
        <v>296</v>
      </c>
      <c r="N192" t="s">
        <v>265</v>
      </c>
      <c r="O192" t="s">
        <v>89</v>
      </c>
      <c r="P192" s="1">
        <v>43299</v>
      </c>
      <c r="Q192">
        <v>5.9</v>
      </c>
      <c r="R192" t="s">
        <v>150</v>
      </c>
      <c r="S192" t="s">
        <v>130</v>
      </c>
      <c r="T192" t="s">
        <v>131</v>
      </c>
      <c r="U192">
        <v>4</v>
      </c>
      <c r="V192">
        <v>0</v>
      </c>
      <c r="W192" s="2">
        <v>4739</v>
      </c>
      <c r="X192" s="2">
        <v>2149</v>
      </c>
      <c r="Y192" s="2">
        <v>422</v>
      </c>
      <c r="Z192" s="2">
        <v>7310</v>
      </c>
      <c r="AA192">
        <v>410</v>
      </c>
      <c r="AB192" t="s">
        <v>65</v>
      </c>
      <c r="AC192">
        <v>15.6</v>
      </c>
      <c r="AD192">
        <v>31</v>
      </c>
      <c r="AE192">
        <v>46</v>
      </c>
      <c r="AF192" t="s">
        <v>132</v>
      </c>
      <c r="AG192">
        <v>21</v>
      </c>
      <c r="AH192" t="s">
        <v>113</v>
      </c>
      <c r="AI192" t="s">
        <v>114</v>
      </c>
      <c r="AJ192" t="s">
        <v>188</v>
      </c>
      <c r="AK192" t="s">
        <v>70</v>
      </c>
      <c r="AL192" t="s">
        <v>70</v>
      </c>
      <c r="AM192" t="s">
        <v>70</v>
      </c>
      <c r="AN192" t="s">
        <v>202</v>
      </c>
      <c r="AO192" t="s">
        <v>72</v>
      </c>
      <c r="AP192" t="s">
        <v>135</v>
      </c>
      <c r="AQ192" t="s">
        <v>117</v>
      </c>
      <c r="AR192" s="1">
        <v>43964</v>
      </c>
      <c r="AS192" t="s">
        <v>198</v>
      </c>
      <c r="AT192" t="s">
        <v>71</v>
      </c>
      <c r="AU192">
        <v>913</v>
      </c>
      <c r="AV192" t="s">
        <v>76</v>
      </c>
      <c r="AW192" s="3">
        <v>87720</v>
      </c>
      <c r="AX192" t="s">
        <v>808</v>
      </c>
      <c r="AY192" t="s">
        <v>809</v>
      </c>
      <c r="AZ192" t="s">
        <v>76</v>
      </c>
      <c r="BA192" t="s">
        <v>800</v>
      </c>
      <c r="BB192" t="s">
        <v>801</v>
      </c>
      <c r="BC192" t="s">
        <v>802</v>
      </c>
      <c r="BD192" s="3">
        <v>5.6087551299589603E-2</v>
      </c>
      <c r="BE192">
        <v>452.4</v>
      </c>
      <c r="BG192" s="2">
        <f t="shared" si="9"/>
        <v>87720</v>
      </c>
      <c r="BH192" t="str" cm="1">
        <f t="array" ref="BH192">_xlfn.IFS(Q192&lt;5,"0-5 Years",Q192&lt;10,"5-10 Years",Q192&lt;15,"10-15 Years",TRUE,"15+ Years")</f>
        <v>5-10 Years</v>
      </c>
      <c r="BI192" t="str" cm="1">
        <f t="array" ref="BI192">_xlfn.IFS(AA192&gt;=540,"A",AA192&gt;=480,"B",AA192&gt;=420,"C",AA192&gt;=360,"D",TRUE,"F")</f>
        <v>D</v>
      </c>
      <c r="BJ192" t="str" cm="1">
        <f t="array" ref="BJ192">_xlfn.IFS(AU192&lt;0,"Separated",AU192&lt;=90,"High Risk",AU192&lt;=180,"Medium Risk",TRUE,"Retained")</f>
        <v>Retained</v>
      </c>
      <c r="BK192" t="str" cm="1">
        <f t="array" ref="BK192">_xlfn.IFS(V192=0,"No Combat",V192=1,"1 Tour",V192=2,"2 Tours",TRUE,"3+ Tours")</f>
        <v>No Combat</v>
      </c>
      <c r="BL192" t="str">
        <f t="shared" si="10"/>
        <v>Standard</v>
      </c>
      <c r="BM192" t="str">
        <f t="shared" si="11"/>
        <v>Not Ready</v>
      </c>
      <c r="BN192" s="3">
        <f t="shared" si="12"/>
        <v>5.6087551299589603E-2</v>
      </c>
      <c r="BO192">
        <f t="shared" si="13"/>
        <v>452.4</v>
      </c>
    </row>
    <row r="193" spans="1:67" x14ac:dyDescent="0.25">
      <c r="A193" t="s">
        <v>479</v>
      </c>
      <c r="B193" t="s">
        <v>277</v>
      </c>
      <c r="C193" t="s">
        <v>272</v>
      </c>
      <c r="D193" t="s">
        <v>51</v>
      </c>
      <c r="E193">
        <v>34</v>
      </c>
      <c r="F193" t="s">
        <v>214</v>
      </c>
      <c r="G193" t="s">
        <v>298</v>
      </c>
      <c r="H193" t="s">
        <v>299</v>
      </c>
      <c r="I193" t="s">
        <v>273</v>
      </c>
      <c r="J193" t="s">
        <v>274</v>
      </c>
      <c r="K193" t="s">
        <v>57</v>
      </c>
      <c r="L193" t="s">
        <v>126</v>
      </c>
      <c r="M193" t="s">
        <v>212</v>
      </c>
      <c r="N193" t="s">
        <v>162</v>
      </c>
      <c r="O193" t="s">
        <v>176</v>
      </c>
      <c r="P193" s="1">
        <v>42254</v>
      </c>
      <c r="Q193">
        <v>8.6999999999999993</v>
      </c>
      <c r="R193" t="s">
        <v>90</v>
      </c>
      <c r="S193" t="s">
        <v>219</v>
      </c>
      <c r="T193" t="s">
        <v>220</v>
      </c>
      <c r="U193">
        <v>0</v>
      </c>
      <c r="V193">
        <v>0</v>
      </c>
      <c r="W193" s="2">
        <v>2149</v>
      </c>
      <c r="X193" s="2">
        <v>0</v>
      </c>
      <c r="Y193" s="2">
        <v>422</v>
      </c>
      <c r="Z193" s="2">
        <v>2571</v>
      </c>
      <c r="AA193">
        <v>532</v>
      </c>
      <c r="AB193" t="s">
        <v>65</v>
      </c>
      <c r="AC193">
        <v>15.7</v>
      </c>
      <c r="AD193">
        <v>65</v>
      </c>
      <c r="AE193">
        <v>54</v>
      </c>
      <c r="AF193" t="s">
        <v>112</v>
      </c>
      <c r="AG193">
        <v>20</v>
      </c>
      <c r="AH193" t="s">
        <v>113</v>
      </c>
      <c r="AI193" t="s">
        <v>177</v>
      </c>
      <c r="AJ193" t="s">
        <v>69</v>
      </c>
      <c r="AK193" t="s">
        <v>70</v>
      </c>
      <c r="AL193" t="s">
        <v>70</v>
      </c>
      <c r="AM193" t="s">
        <v>70</v>
      </c>
      <c r="AN193" t="s">
        <v>231</v>
      </c>
      <c r="AO193" t="s">
        <v>203</v>
      </c>
      <c r="AP193" t="s">
        <v>135</v>
      </c>
      <c r="AQ193" t="s">
        <v>117</v>
      </c>
      <c r="AR193" s="1">
        <v>44505</v>
      </c>
      <c r="AS193" t="s">
        <v>75</v>
      </c>
      <c r="AT193" t="s">
        <v>71</v>
      </c>
      <c r="AU193">
        <v>616</v>
      </c>
      <c r="AV193" t="s">
        <v>76</v>
      </c>
      <c r="AW193" s="3">
        <v>30852</v>
      </c>
      <c r="AX193" t="s">
        <v>808</v>
      </c>
      <c r="AY193" t="s">
        <v>806</v>
      </c>
      <c r="AZ193" t="s">
        <v>76</v>
      </c>
      <c r="BA193" t="s">
        <v>800</v>
      </c>
      <c r="BB193" t="s">
        <v>801</v>
      </c>
      <c r="BC193" t="s">
        <v>802</v>
      </c>
      <c r="BD193" s="3">
        <v>0.20692337611824194</v>
      </c>
      <c r="BE193">
        <v>572.4</v>
      </c>
      <c r="BG193" s="2">
        <f t="shared" si="9"/>
        <v>30852</v>
      </c>
      <c r="BH193" t="str" cm="1">
        <f t="array" ref="BH193">_xlfn.IFS(Q193&lt;5,"0-5 Years",Q193&lt;10,"5-10 Years",Q193&lt;15,"10-15 Years",TRUE,"15+ Years")</f>
        <v>5-10 Years</v>
      </c>
      <c r="BI193" t="str" cm="1">
        <f t="array" ref="BI193">_xlfn.IFS(AA193&gt;=540,"A",AA193&gt;=480,"B",AA193&gt;=420,"C",AA193&gt;=360,"D",TRUE,"F")</f>
        <v>B</v>
      </c>
      <c r="BJ193" t="str" cm="1">
        <f t="array" ref="BJ193">_xlfn.IFS(AU193&lt;0,"Separated",AU193&lt;=90,"High Risk",AU193&lt;=180,"Medium Risk",TRUE,"Retained")</f>
        <v>Retained</v>
      </c>
      <c r="BK193" t="str" cm="1">
        <f t="array" ref="BK193">_xlfn.IFS(V193=0,"No Combat",V193=1,"1 Tour",V193=2,"2 Tours",TRUE,"3+ Tours")</f>
        <v>No Combat</v>
      </c>
      <c r="BL193" t="str">
        <f t="shared" si="10"/>
        <v>Standard</v>
      </c>
      <c r="BM193" t="str">
        <f t="shared" si="11"/>
        <v>Not Ready</v>
      </c>
      <c r="BN193" s="3">
        <f t="shared" si="12"/>
        <v>0.20692337611824194</v>
      </c>
      <c r="BO193">
        <f t="shared" si="13"/>
        <v>572.4</v>
      </c>
    </row>
    <row r="194" spans="1:67" x14ac:dyDescent="0.25">
      <c r="A194" t="s">
        <v>480</v>
      </c>
      <c r="B194" t="s">
        <v>49</v>
      </c>
      <c r="C194" t="s">
        <v>272</v>
      </c>
      <c r="D194" t="s">
        <v>51</v>
      </c>
      <c r="E194">
        <v>29</v>
      </c>
      <c r="F194" t="s">
        <v>322</v>
      </c>
      <c r="G194" t="s">
        <v>81</v>
      </c>
      <c r="H194" t="s">
        <v>82</v>
      </c>
      <c r="I194" t="s">
        <v>217</v>
      </c>
      <c r="J194" t="s">
        <v>218</v>
      </c>
      <c r="K194" t="s">
        <v>146</v>
      </c>
      <c r="L194" t="s">
        <v>106</v>
      </c>
      <c r="M194" t="s">
        <v>87</v>
      </c>
      <c r="N194" t="s">
        <v>162</v>
      </c>
      <c r="O194" t="s">
        <v>109</v>
      </c>
      <c r="P194" s="1">
        <v>44686</v>
      </c>
      <c r="Q194">
        <v>2.1</v>
      </c>
      <c r="R194" t="s">
        <v>75</v>
      </c>
      <c r="S194" t="s">
        <v>219</v>
      </c>
      <c r="T194" t="s">
        <v>220</v>
      </c>
      <c r="U194">
        <v>0</v>
      </c>
      <c r="V194">
        <v>0</v>
      </c>
      <c r="W194" s="2">
        <v>2504</v>
      </c>
      <c r="X194" s="2">
        <v>0</v>
      </c>
      <c r="Y194" s="2">
        <v>422</v>
      </c>
      <c r="Z194" s="2">
        <v>2926</v>
      </c>
      <c r="AA194">
        <v>382</v>
      </c>
      <c r="AB194" t="s">
        <v>65</v>
      </c>
      <c r="AC194">
        <v>16.899999999999999</v>
      </c>
      <c r="AD194">
        <v>63</v>
      </c>
      <c r="AE194">
        <v>74</v>
      </c>
      <c r="AF194" t="s">
        <v>112</v>
      </c>
      <c r="AG194">
        <v>33</v>
      </c>
      <c r="AH194" t="s">
        <v>67</v>
      </c>
      <c r="AI194" t="s">
        <v>68</v>
      </c>
      <c r="AJ194" t="s">
        <v>72</v>
      </c>
      <c r="AK194" t="s">
        <v>71</v>
      </c>
      <c r="AL194" t="s">
        <v>70</v>
      </c>
      <c r="AM194" t="s">
        <v>70</v>
      </c>
      <c r="AN194" t="s">
        <v>72</v>
      </c>
      <c r="AO194" t="s">
        <v>135</v>
      </c>
      <c r="AP194" t="s">
        <v>97</v>
      </c>
      <c r="AQ194" t="s">
        <v>136</v>
      </c>
      <c r="AR194" s="1">
        <v>44610</v>
      </c>
      <c r="AS194" t="s">
        <v>75</v>
      </c>
      <c r="AT194" t="s">
        <v>71</v>
      </c>
      <c r="AU194">
        <v>-124</v>
      </c>
      <c r="AV194" t="s">
        <v>179</v>
      </c>
      <c r="AW194" s="3">
        <v>35112</v>
      </c>
      <c r="AX194" t="s">
        <v>803</v>
      </c>
      <c r="AY194" t="s">
        <v>809</v>
      </c>
      <c r="AZ194" t="s">
        <v>810</v>
      </c>
      <c r="BA194" t="s">
        <v>800</v>
      </c>
      <c r="BB194" t="s">
        <v>801</v>
      </c>
      <c r="BC194" t="s">
        <v>802</v>
      </c>
      <c r="BD194" s="3">
        <v>0.13055365686944634</v>
      </c>
      <c r="BE194">
        <v>458.4</v>
      </c>
      <c r="BG194" s="2">
        <f t="shared" si="9"/>
        <v>35112</v>
      </c>
      <c r="BH194" t="str" cm="1">
        <f t="array" ref="BH194">_xlfn.IFS(Q194&lt;5,"0-5 Years",Q194&lt;10,"5-10 Years",Q194&lt;15,"10-15 Years",TRUE,"15+ Years")</f>
        <v>0-5 Years</v>
      </c>
      <c r="BI194" t="str" cm="1">
        <f t="array" ref="BI194">_xlfn.IFS(AA194&gt;=540,"A",AA194&gt;=480,"B",AA194&gt;=420,"C",AA194&gt;=360,"D",TRUE,"F")</f>
        <v>D</v>
      </c>
      <c r="BJ194" t="str" cm="1">
        <f t="array" ref="BJ194">_xlfn.IFS(AU194&lt;0,"Separated",AU194&lt;=90,"High Risk",AU194&lt;=180,"Medium Risk",TRUE,"Retained")</f>
        <v>Separated</v>
      </c>
      <c r="BK194" t="str" cm="1">
        <f t="array" ref="BK194">_xlfn.IFS(V194=0,"No Combat",V194=1,"1 Tour",V194=2,"2 Tours",TRUE,"3+ Tours")</f>
        <v>No Combat</v>
      </c>
      <c r="BL194" t="str">
        <f t="shared" si="10"/>
        <v>Standard</v>
      </c>
      <c r="BM194" t="str">
        <f t="shared" si="11"/>
        <v>Not Ready</v>
      </c>
      <c r="BN194" s="3">
        <f t="shared" si="12"/>
        <v>0.13055365686944634</v>
      </c>
      <c r="BO194">
        <f t="shared" si="13"/>
        <v>458.4</v>
      </c>
    </row>
    <row r="195" spans="1:67" x14ac:dyDescent="0.25">
      <c r="A195" t="s">
        <v>481</v>
      </c>
      <c r="B195" t="s">
        <v>100</v>
      </c>
      <c r="C195" t="s">
        <v>155</v>
      </c>
      <c r="D195" t="s">
        <v>51</v>
      </c>
      <c r="E195">
        <v>30</v>
      </c>
      <c r="F195" t="s">
        <v>291</v>
      </c>
      <c r="G195" t="s">
        <v>81</v>
      </c>
      <c r="H195" t="s">
        <v>82</v>
      </c>
      <c r="I195" t="s">
        <v>260</v>
      </c>
      <c r="J195" t="s">
        <v>261</v>
      </c>
      <c r="K195" t="s">
        <v>173</v>
      </c>
      <c r="L195" t="s">
        <v>174</v>
      </c>
      <c r="M195" t="s">
        <v>127</v>
      </c>
      <c r="N195" t="s">
        <v>128</v>
      </c>
      <c r="O195" t="s">
        <v>61</v>
      </c>
      <c r="P195" s="1">
        <v>39417</v>
      </c>
      <c r="Q195">
        <v>16.5</v>
      </c>
      <c r="R195" t="s">
        <v>195</v>
      </c>
      <c r="S195" t="s">
        <v>91</v>
      </c>
      <c r="T195" t="s">
        <v>92</v>
      </c>
      <c r="U195">
        <v>5</v>
      </c>
      <c r="V195">
        <v>0</v>
      </c>
      <c r="W195" s="2">
        <v>2504</v>
      </c>
      <c r="X195" s="2">
        <v>0</v>
      </c>
      <c r="Y195" s="2">
        <v>422</v>
      </c>
      <c r="Z195" s="2">
        <v>2926</v>
      </c>
      <c r="AA195">
        <v>328</v>
      </c>
      <c r="AB195" t="s">
        <v>151</v>
      </c>
      <c r="AC195">
        <v>14.7</v>
      </c>
      <c r="AD195">
        <v>49</v>
      </c>
      <c r="AE195">
        <v>72</v>
      </c>
      <c r="AF195" t="s">
        <v>132</v>
      </c>
      <c r="AG195">
        <v>24</v>
      </c>
      <c r="AH195" t="s">
        <v>113</v>
      </c>
      <c r="AI195" t="s">
        <v>68</v>
      </c>
      <c r="AJ195" t="s">
        <v>188</v>
      </c>
      <c r="AK195" t="s">
        <v>71</v>
      </c>
      <c r="AL195" t="s">
        <v>70</v>
      </c>
      <c r="AM195" t="s">
        <v>71</v>
      </c>
      <c r="AN195" t="s">
        <v>72</v>
      </c>
      <c r="AO195" t="s">
        <v>72</v>
      </c>
      <c r="AP195" t="s">
        <v>72</v>
      </c>
      <c r="AQ195" t="s">
        <v>117</v>
      </c>
      <c r="AR195" s="1">
        <v>41251</v>
      </c>
      <c r="AS195" t="s">
        <v>137</v>
      </c>
      <c r="AT195" t="s">
        <v>71</v>
      </c>
      <c r="AU195">
        <v>228</v>
      </c>
      <c r="AV195" t="s">
        <v>76</v>
      </c>
      <c r="AW195" s="3">
        <v>35112</v>
      </c>
      <c r="AX195" t="s">
        <v>798</v>
      </c>
      <c r="AY195" t="s">
        <v>122</v>
      </c>
      <c r="AZ195" t="s">
        <v>76</v>
      </c>
      <c r="BA195" t="s">
        <v>800</v>
      </c>
      <c r="BB195" t="s">
        <v>801</v>
      </c>
      <c r="BC195" t="s">
        <v>802</v>
      </c>
      <c r="BD195" s="3">
        <v>0.11209842788790157</v>
      </c>
      <c r="BE195">
        <v>406.4</v>
      </c>
      <c r="BG195" s="2">
        <f t="shared" ref="BG195:BG258" si="14">Z195*12</f>
        <v>35112</v>
      </c>
      <c r="BH195" t="str" cm="1">
        <f t="array" ref="BH195">_xlfn.IFS(Q195&lt;5,"0-5 Years",Q195&lt;10,"5-10 Years",Q195&lt;15,"10-15 Years",TRUE,"15+ Years")</f>
        <v>15+ Years</v>
      </c>
      <c r="BI195" t="str" cm="1">
        <f t="array" ref="BI195">_xlfn.IFS(AA195&gt;=540,"A",AA195&gt;=480,"B",AA195&gt;=420,"C",AA195&gt;=360,"D",TRUE,"F")</f>
        <v>F</v>
      </c>
      <c r="BJ195" t="str" cm="1">
        <f t="array" ref="BJ195">_xlfn.IFS(AU195&lt;0,"Separated",AU195&lt;=90,"High Risk",AU195&lt;=180,"Medium Risk",TRUE,"Retained")</f>
        <v>Retained</v>
      </c>
      <c r="BK195" t="str" cm="1">
        <f t="array" ref="BK195">_xlfn.IFS(V195=0,"No Combat",V195=1,"1 Tour",V195=2,"2 Tours",TRUE,"3+ Tours")</f>
        <v>No Combat</v>
      </c>
      <c r="BL195" t="str">
        <f t="shared" ref="BL195:BL258" si="15">IF(AND(AA195&gt;=500,AG195&gt;=35,AQ195="Outstanding"),"High Performer","Standard")</f>
        <v>Standard</v>
      </c>
      <c r="BM195" t="str">
        <f t="shared" ref="BM195:BM258" si="16">IF(AND(OR(G195="SGT",G195="SSG",G195="SFC"),AQ195="Outstanding"),"Promotion Ready","Not Ready")</f>
        <v>Not Ready</v>
      </c>
      <c r="BN195" s="3">
        <f t="shared" ref="BN195:BN258" si="17">AA195/Z195</f>
        <v>0.11209842788790157</v>
      </c>
      <c r="BO195">
        <f t="shared" ref="BO195:BO258" si="18">(AA195+0.4)+(AG195*10*0.2)+(IF(AK195="YES",100,0)*0.1)+(IF(AL195="YES",100,0)*0.1)+(IF(AM195="YES",100,0)*0.2)</f>
        <v>406.4</v>
      </c>
    </row>
    <row r="196" spans="1:67" x14ac:dyDescent="0.25">
      <c r="A196" t="s">
        <v>482</v>
      </c>
      <c r="B196" t="s">
        <v>308</v>
      </c>
      <c r="C196" t="s">
        <v>223</v>
      </c>
      <c r="D196" t="s">
        <v>122</v>
      </c>
      <c r="E196">
        <v>19</v>
      </c>
      <c r="F196" t="s">
        <v>291</v>
      </c>
      <c r="G196" t="s">
        <v>169</v>
      </c>
      <c r="H196" t="s">
        <v>170</v>
      </c>
      <c r="I196" t="s">
        <v>225</v>
      </c>
      <c r="J196" t="s">
        <v>226</v>
      </c>
      <c r="K196" t="s">
        <v>105</v>
      </c>
      <c r="L196" t="s">
        <v>126</v>
      </c>
      <c r="M196" t="s">
        <v>275</v>
      </c>
      <c r="N196" t="s">
        <v>265</v>
      </c>
      <c r="O196" t="s">
        <v>109</v>
      </c>
      <c r="P196" s="1">
        <v>39241</v>
      </c>
      <c r="Q196">
        <v>17</v>
      </c>
      <c r="R196" t="s">
        <v>150</v>
      </c>
      <c r="S196" t="s">
        <v>130</v>
      </c>
      <c r="T196" t="s">
        <v>131</v>
      </c>
      <c r="U196">
        <v>13</v>
      </c>
      <c r="V196">
        <v>2</v>
      </c>
      <c r="W196" s="2">
        <v>3294</v>
      </c>
      <c r="X196" s="2">
        <v>0</v>
      </c>
      <c r="Y196" s="2">
        <v>422</v>
      </c>
      <c r="Z196" s="2">
        <v>3716</v>
      </c>
      <c r="AA196">
        <v>342</v>
      </c>
      <c r="AB196" t="s">
        <v>151</v>
      </c>
      <c r="AC196">
        <v>20.3</v>
      </c>
      <c r="AD196">
        <v>65</v>
      </c>
      <c r="AE196">
        <v>46</v>
      </c>
      <c r="AF196" t="s">
        <v>66</v>
      </c>
      <c r="AG196">
        <v>18</v>
      </c>
      <c r="AH196" t="s">
        <v>113</v>
      </c>
      <c r="AI196" t="s">
        <v>68</v>
      </c>
      <c r="AJ196" t="s">
        <v>69</v>
      </c>
      <c r="AK196" t="s">
        <v>70</v>
      </c>
      <c r="AL196" t="s">
        <v>70</v>
      </c>
      <c r="AM196" t="s">
        <v>71</v>
      </c>
      <c r="AN196" t="s">
        <v>231</v>
      </c>
      <c r="AO196" t="s">
        <v>97</v>
      </c>
      <c r="AP196" t="s">
        <v>134</v>
      </c>
      <c r="AQ196" t="s">
        <v>74</v>
      </c>
      <c r="AR196" s="1">
        <v>43790</v>
      </c>
      <c r="AS196" t="s">
        <v>118</v>
      </c>
      <c r="AT196" t="s">
        <v>71</v>
      </c>
      <c r="AU196">
        <v>-485</v>
      </c>
      <c r="AV196" t="s">
        <v>179</v>
      </c>
      <c r="AW196" s="3">
        <v>44592</v>
      </c>
      <c r="AX196" t="s">
        <v>798</v>
      </c>
      <c r="AY196" t="s">
        <v>122</v>
      </c>
      <c r="AZ196" t="s">
        <v>810</v>
      </c>
      <c r="BA196" t="s">
        <v>811</v>
      </c>
      <c r="BB196" t="s">
        <v>801</v>
      </c>
      <c r="BC196" t="s">
        <v>812</v>
      </c>
      <c r="BD196" s="3">
        <v>9.2034445640473625E-2</v>
      </c>
      <c r="BE196">
        <v>398.4</v>
      </c>
      <c r="BG196" s="2">
        <f t="shared" si="14"/>
        <v>44592</v>
      </c>
      <c r="BH196" t="str" cm="1">
        <f t="array" ref="BH196">_xlfn.IFS(Q196&lt;5,"0-5 Years",Q196&lt;10,"5-10 Years",Q196&lt;15,"10-15 Years",TRUE,"15+ Years")</f>
        <v>15+ Years</v>
      </c>
      <c r="BI196" t="str" cm="1">
        <f t="array" ref="BI196">_xlfn.IFS(AA196&gt;=540,"A",AA196&gt;=480,"B",AA196&gt;=420,"C",AA196&gt;=360,"D",TRUE,"F")</f>
        <v>F</v>
      </c>
      <c r="BJ196" t="str" cm="1">
        <f t="array" ref="BJ196">_xlfn.IFS(AU196&lt;0,"Separated",AU196&lt;=90,"High Risk",AU196&lt;=180,"Medium Risk",TRUE,"Retained")</f>
        <v>Separated</v>
      </c>
      <c r="BK196" t="str" cm="1">
        <f t="array" ref="BK196">_xlfn.IFS(V196=0,"No Combat",V196=1,"1 Tour",V196=2,"2 Tours",TRUE,"3+ Tours")</f>
        <v>2 Tours</v>
      </c>
      <c r="BL196" t="str">
        <f t="shared" si="15"/>
        <v>Standard</v>
      </c>
      <c r="BM196" t="str">
        <f t="shared" si="16"/>
        <v>Promotion Ready</v>
      </c>
      <c r="BN196" s="3">
        <f t="shared" si="17"/>
        <v>9.2034445640473625E-2</v>
      </c>
      <c r="BO196">
        <f t="shared" si="18"/>
        <v>398.4</v>
      </c>
    </row>
    <row r="197" spans="1:67" x14ac:dyDescent="0.25">
      <c r="A197" t="s">
        <v>483</v>
      </c>
      <c r="B197" t="s">
        <v>166</v>
      </c>
      <c r="C197" t="s">
        <v>230</v>
      </c>
      <c r="D197" t="s">
        <v>122</v>
      </c>
      <c r="E197">
        <v>23</v>
      </c>
      <c r="F197" t="s">
        <v>168</v>
      </c>
      <c r="G197" t="s">
        <v>156</v>
      </c>
      <c r="H197" t="s">
        <v>157</v>
      </c>
      <c r="I197" t="s">
        <v>144</v>
      </c>
      <c r="J197" t="s">
        <v>145</v>
      </c>
      <c r="K197" t="s">
        <v>146</v>
      </c>
      <c r="L197" t="s">
        <v>106</v>
      </c>
      <c r="M197" t="s">
        <v>127</v>
      </c>
      <c r="N197" t="s">
        <v>148</v>
      </c>
      <c r="O197" t="s">
        <v>149</v>
      </c>
      <c r="P197" s="1">
        <v>38380</v>
      </c>
      <c r="Q197">
        <v>19.3</v>
      </c>
      <c r="R197" t="s">
        <v>90</v>
      </c>
      <c r="S197" t="s">
        <v>91</v>
      </c>
      <c r="T197" t="s">
        <v>92</v>
      </c>
      <c r="U197">
        <v>15</v>
      </c>
      <c r="V197">
        <v>2</v>
      </c>
      <c r="W197" s="2">
        <v>4836</v>
      </c>
      <c r="X197" s="2">
        <v>1048</v>
      </c>
      <c r="Y197" s="2">
        <v>266</v>
      </c>
      <c r="Z197" s="2">
        <v>6150</v>
      </c>
      <c r="AA197">
        <v>318</v>
      </c>
      <c r="AB197" t="s">
        <v>151</v>
      </c>
      <c r="AC197">
        <v>15.3</v>
      </c>
      <c r="AD197">
        <v>39</v>
      </c>
      <c r="AE197">
        <v>55</v>
      </c>
      <c r="AF197" t="s">
        <v>66</v>
      </c>
      <c r="AG197">
        <v>27</v>
      </c>
      <c r="AH197" t="s">
        <v>113</v>
      </c>
      <c r="AI197" t="s">
        <v>177</v>
      </c>
      <c r="AJ197" t="s">
        <v>69</v>
      </c>
      <c r="AK197" t="s">
        <v>70</v>
      </c>
      <c r="AL197" t="s">
        <v>70</v>
      </c>
      <c r="AM197" t="s">
        <v>70</v>
      </c>
      <c r="AN197" t="s">
        <v>243</v>
      </c>
      <c r="AO197" t="s">
        <v>203</v>
      </c>
      <c r="AP197" t="s">
        <v>221</v>
      </c>
      <c r="AQ197" t="s">
        <v>136</v>
      </c>
      <c r="AR197" s="1">
        <v>44053</v>
      </c>
      <c r="AS197" t="s">
        <v>198</v>
      </c>
      <c r="AT197" t="s">
        <v>71</v>
      </c>
      <c r="AU197">
        <v>1097</v>
      </c>
      <c r="AV197" t="s">
        <v>76</v>
      </c>
      <c r="AW197" s="3">
        <v>73800</v>
      </c>
      <c r="AX197" t="s">
        <v>798</v>
      </c>
      <c r="AY197" t="s">
        <v>122</v>
      </c>
      <c r="AZ197" t="s">
        <v>76</v>
      </c>
      <c r="BA197" t="s">
        <v>811</v>
      </c>
      <c r="BB197" t="s">
        <v>801</v>
      </c>
      <c r="BC197" t="s">
        <v>802</v>
      </c>
      <c r="BD197" s="3">
        <v>5.1707317073170729E-2</v>
      </c>
      <c r="BE197">
        <v>372.4</v>
      </c>
      <c r="BG197" s="2">
        <f t="shared" si="14"/>
        <v>73800</v>
      </c>
      <c r="BH197" t="str" cm="1">
        <f t="array" ref="BH197">_xlfn.IFS(Q197&lt;5,"0-5 Years",Q197&lt;10,"5-10 Years",Q197&lt;15,"10-15 Years",TRUE,"15+ Years")</f>
        <v>15+ Years</v>
      </c>
      <c r="BI197" t="str" cm="1">
        <f t="array" ref="BI197">_xlfn.IFS(AA197&gt;=540,"A",AA197&gt;=480,"B",AA197&gt;=420,"C",AA197&gt;=360,"D",TRUE,"F")</f>
        <v>F</v>
      </c>
      <c r="BJ197" t="str" cm="1">
        <f t="array" ref="BJ197">_xlfn.IFS(AU197&lt;0,"Separated",AU197&lt;=90,"High Risk",AU197&lt;=180,"Medium Risk",TRUE,"Retained")</f>
        <v>Retained</v>
      </c>
      <c r="BK197" t="str" cm="1">
        <f t="array" ref="BK197">_xlfn.IFS(V197=0,"No Combat",V197=1,"1 Tour",V197=2,"2 Tours",TRUE,"3+ Tours")</f>
        <v>2 Tours</v>
      </c>
      <c r="BL197" t="str">
        <f t="shared" si="15"/>
        <v>Standard</v>
      </c>
      <c r="BM197" t="str">
        <f t="shared" si="16"/>
        <v>Not Ready</v>
      </c>
      <c r="BN197" s="3">
        <f t="shared" si="17"/>
        <v>5.1707317073170729E-2</v>
      </c>
      <c r="BO197">
        <f t="shared" si="18"/>
        <v>372.4</v>
      </c>
    </row>
    <row r="198" spans="1:67" x14ac:dyDescent="0.25">
      <c r="A198" t="s">
        <v>484</v>
      </c>
      <c r="B198" t="s">
        <v>308</v>
      </c>
      <c r="C198" t="s">
        <v>332</v>
      </c>
      <c r="D198" t="s">
        <v>51</v>
      </c>
      <c r="E198">
        <v>43</v>
      </c>
      <c r="F198" t="s">
        <v>214</v>
      </c>
      <c r="G198" t="s">
        <v>193</v>
      </c>
      <c r="H198" t="s">
        <v>194</v>
      </c>
      <c r="I198" t="s">
        <v>236</v>
      </c>
      <c r="J198" t="s">
        <v>237</v>
      </c>
      <c r="K198" t="s">
        <v>238</v>
      </c>
      <c r="L198" t="s">
        <v>106</v>
      </c>
      <c r="M198" t="s">
        <v>249</v>
      </c>
      <c r="N198" t="s">
        <v>265</v>
      </c>
      <c r="O198" t="s">
        <v>149</v>
      </c>
      <c r="P198" s="1">
        <v>39499</v>
      </c>
      <c r="Q198">
        <v>16.3</v>
      </c>
      <c r="R198" t="s">
        <v>150</v>
      </c>
      <c r="S198" t="s">
        <v>163</v>
      </c>
      <c r="T198" t="s">
        <v>164</v>
      </c>
      <c r="U198">
        <v>6</v>
      </c>
      <c r="V198">
        <v>1</v>
      </c>
      <c r="W198" s="2">
        <v>2259</v>
      </c>
      <c r="X198" s="2">
        <v>0</v>
      </c>
      <c r="Y198" s="2">
        <v>422</v>
      </c>
      <c r="Z198" s="2">
        <v>2681</v>
      </c>
      <c r="AA198">
        <v>566</v>
      </c>
      <c r="AB198" t="s">
        <v>65</v>
      </c>
      <c r="AC198">
        <v>16.7</v>
      </c>
      <c r="AD198">
        <v>24</v>
      </c>
      <c r="AE198">
        <v>80</v>
      </c>
      <c r="AF198" t="s">
        <v>112</v>
      </c>
      <c r="AG198">
        <v>31</v>
      </c>
      <c r="AH198" t="s">
        <v>67</v>
      </c>
      <c r="AI198" t="s">
        <v>95</v>
      </c>
      <c r="AJ198" t="s">
        <v>72</v>
      </c>
      <c r="AK198" t="s">
        <v>70</v>
      </c>
      <c r="AL198" t="s">
        <v>71</v>
      </c>
      <c r="AM198" t="s">
        <v>70</v>
      </c>
      <c r="AN198" t="s">
        <v>72</v>
      </c>
      <c r="AO198" t="s">
        <v>203</v>
      </c>
      <c r="AP198" t="s">
        <v>72</v>
      </c>
      <c r="AQ198" t="s">
        <v>74</v>
      </c>
      <c r="AR198" s="1">
        <v>44804</v>
      </c>
      <c r="AS198" t="s">
        <v>137</v>
      </c>
      <c r="AT198" t="s">
        <v>71</v>
      </c>
      <c r="AU198">
        <v>1642</v>
      </c>
      <c r="AV198" t="s">
        <v>76</v>
      </c>
      <c r="AW198" s="3">
        <v>32172</v>
      </c>
      <c r="AX198" t="s">
        <v>798</v>
      </c>
      <c r="AY198" t="s">
        <v>799</v>
      </c>
      <c r="AZ198" t="s">
        <v>76</v>
      </c>
      <c r="BA198" t="s">
        <v>807</v>
      </c>
      <c r="BB198" t="s">
        <v>801</v>
      </c>
      <c r="BC198" t="s">
        <v>802</v>
      </c>
      <c r="BD198" s="3">
        <v>0.21111525550167848</v>
      </c>
      <c r="BE198">
        <v>638.4</v>
      </c>
      <c r="BG198" s="2">
        <f t="shared" si="14"/>
        <v>32172</v>
      </c>
      <c r="BH198" t="str" cm="1">
        <f t="array" ref="BH198">_xlfn.IFS(Q198&lt;5,"0-5 Years",Q198&lt;10,"5-10 Years",Q198&lt;15,"10-15 Years",TRUE,"15+ Years")</f>
        <v>15+ Years</v>
      </c>
      <c r="BI198" t="str" cm="1">
        <f t="array" ref="BI198">_xlfn.IFS(AA198&gt;=540,"A",AA198&gt;=480,"B",AA198&gt;=420,"C",AA198&gt;=360,"D",TRUE,"F")</f>
        <v>A</v>
      </c>
      <c r="BJ198" t="str" cm="1">
        <f t="array" ref="BJ198">_xlfn.IFS(AU198&lt;0,"Separated",AU198&lt;=90,"High Risk",AU198&lt;=180,"Medium Risk",TRUE,"Retained")</f>
        <v>Retained</v>
      </c>
      <c r="BK198" t="str" cm="1">
        <f t="array" ref="BK198">_xlfn.IFS(V198=0,"No Combat",V198=1,"1 Tour",V198=2,"2 Tours",TRUE,"3+ Tours")</f>
        <v>1 Tour</v>
      </c>
      <c r="BL198" t="str">
        <f t="shared" si="15"/>
        <v>Standard</v>
      </c>
      <c r="BM198" t="str">
        <f t="shared" si="16"/>
        <v>Not Ready</v>
      </c>
      <c r="BN198" s="3">
        <f t="shared" si="17"/>
        <v>0.21111525550167848</v>
      </c>
      <c r="BO198">
        <f t="shared" si="18"/>
        <v>638.4</v>
      </c>
    </row>
    <row r="199" spans="1:67" x14ac:dyDescent="0.25">
      <c r="A199" t="s">
        <v>485</v>
      </c>
      <c r="B199" t="s">
        <v>245</v>
      </c>
      <c r="C199" t="s">
        <v>240</v>
      </c>
      <c r="D199" t="s">
        <v>122</v>
      </c>
      <c r="E199">
        <v>37</v>
      </c>
      <c r="F199" t="s">
        <v>123</v>
      </c>
      <c r="G199" t="s">
        <v>124</v>
      </c>
      <c r="H199" t="s">
        <v>125</v>
      </c>
      <c r="I199" t="s">
        <v>260</v>
      </c>
      <c r="J199" t="s">
        <v>261</v>
      </c>
      <c r="K199" t="s">
        <v>173</v>
      </c>
      <c r="L199" t="s">
        <v>201</v>
      </c>
      <c r="M199" t="s">
        <v>107</v>
      </c>
      <c r="N199" t="s">
        <v>60</v>
      </c>
      <c r="O199" t="s">
        <v>89</v>
      </c>
      <c r="P199" s="1">
        <v>44377</v>
      </c>
      <c r="Q199">
        <v>2.9</v>
      </c>
      <c r="R199" t="s">
        <v>129</v>
      </c>
      <c r="S199" t="s">
        <v>130</v>
      </c>
      <c r="T199" t="s">
        <v>131</v>
      </c>
      <c r="U199">
        <v>15</v>
      </c>
      <c r="V199">
        <v>2</v>
      </c>
      <c r="W199" s="2">
        <v>2730</v>
      </c>
      <c r="X199" s="2">
        <v>0</v>
      </c>
      <c r="Y199" s="2">
        <v>422</v>
      </c>
      <c r="Z199" s="2">
        <v>3152</v>
      </c>
      <c r="AA199">
        <v>313</v>
      </c>
      <c r="AB199" t="s">
        <v>151</v>
      </c>
      <c r="AC199">
        <v>16.5</v>
      </c>
      <c r="AD199">
        <v>78</v>
      </c>
      <c r="AE199">
        <v>69</v>
      </c>
      <c r="AF199" t="s">
        <v>93</v>
      </c>
      <c r="AG199">
        <v>38</v>
      </c>
      <c r="AH199" t="s">
        <v>94</v>
      </c>
      <c r="AI199" t="s">
        <v>152</v>
      </c>
      <c r="AJ199" t="s">
        <v>72</v>
      </c>
      <c r="AK199" t="s">
        <v>70</v>
      </c>
      <c r="AL199" t="s">
        <v>71</v>
      </c>
      <c r="AM199" t="s">
        <v>70</v>
      </c>
      <c r="AN199" t="s">
        <v>270</v>
      </c>
      <c r="AO199" t="s">
        <v>72</v>
      </c>
      <c r="AP199" t="s">
        <v>72</v>
      </c>
      <c r="AQ199" t="s">
        <v>98</v>
      </c>
      <c r="AR199" s="1">
        <v>44430</v>
      </c>
      <c r="AS199" t="s">
        <v>137</v>
      </c>
      <c r="AT199" t="s">
        <v>71</v>
      </c>
      <c r="AU199">
        <v>1536</v>
      </c>
      <c r="AV199" t="s">
        <v>76</v>
      </c>
      <c r="AW199" s="3">
        <v>37824</v>
      </c>
      <c r="AX199" t="s">
        <v>803</v>
      </c>
      <c r="AY199" t="s">
        <v>122</v>
      </c>
      <c r="AZ199" t="s">
        <v>76</v>
      </c>
      <c r="BA199" t="s">
        <v>811</v>
      </c>
      <c r="BB199" t="s">
        <v>801</v>
      </c>
      <c r="BC199" t="s">
        <v>802</v>
      </c>
      <c r="BD199" s="3">
        <v>9.9302030456852791E-2</v>
      </c>
      <c r="BE199">
        <v>399.4</v>
      </c>
      <c r="BG199" s="2">
        <f t="shared" si="14"/>
        <v>37824</v>
      </c>
      <c r="BH199" t="str" cm="1">
        <f t="array" ref="BH199">_xlfn.IFS(Q199&lt;5,"0-5 Years",Q199&lt;10,"5-10 Years",Q199&lt;15,"10-15 Years",TRUE,"15+ Years")</f>
        <v>0-5 Years</v>
      </c>
      <c r="BI199" t="str" cm="1">
        <f t="array" ref="BI199">_xlfn.IFS(AA199&gt;=540,"A",AA199&gt;=480,"B",AA199&gt;=420,"C",AA199&gt;=360,"D",TRUE,"F")</f>
        <v>F</v>
      </c>
      <c r="BJ199" t="str" cm="1">
        <f t="array" ref="BJ199">_xlfn.IFS(AU199&lt;0,"Separated",AU199&lt;=90,"High Risk",AU199&lt;=180,"Medium Risk",TRUE,"Retained")</f>
        <v>Retained</v>
      </c>
      <c r="BK199" t="str" cm="1">
        <f t="array" ref="BK199">_xlfn.IFS(V199=0,"No Combat",V199=1,"1 Tour",V199=2,"2 Tours",TRUE,"3+ Tours")</f>
        <v>2 Tours</v>
      </c>
      <c r="BL199" t="str">
        <f t="shared" si="15"/>
        <v>Standard</v>
      </c>
      <c r="BM199" t="str">
        <f t="shared" si="16"/>
        <v>Not Ready</v>
      </c>
      <c r="BN199" s="3">
        <f t="shared" si="17"/>
        <v>9.9302030456852791E-2</v>
      </c>
      <c r="BO199">
        <f t="shared" si="18"/>
        <v>399.4</v>
      </c>
    </row>
    <row r="200" spans="1:67" x14ac:dyDescent="0.25">
      <c r="A200" t="s">
        <v>486</v>
      </c>
      <c r="B200" t="s">
        <v>263</v>
      </c>
      <c r="C200" t="s">
        <v>79</v>
      </c>
      <c r="D200" t="s">
        <v>51</v>
      </c>
      <c r="E200">
        <v>35</v>
      </c>
      <c r="F200" t="s">
        <v>123</v>
      </c>
      <c r="G200" t="s">
        <v>183</v>
      </c>
      <c r="H200" t="s">
        <v>184</v>
      </c>
      <c r="I200" t="s">
        <v>83</v>
      </c>
      <c r="J200" t="s">
        <v>84</v>
      </c>
      <c r="K200" t="s">
        <v>85</v>
      </c>
      <c r="L200" t="s">
        <v>106</v>
      </c>
      <c r="M200" t="s">
        <v>175</v>
      </c>
      <c r="N200" t="s">
        <v>162</v>
      </c>
      <c r="O200" t="s">
        <v>176</v>
      </c>
      <c r="P200" s="1">
        <v>39342</v>
      </c>
      <c r="Q200">
        <v>16.7</v>
      </c>
      <c r="R200" t="s">
        <v>195</v>
      </c>
      <c r="S200" t="s">
        <v>219</v>
      </c>
      <c r="T200" t="s">
        <v>220</v>
      </c>
      <c r="U200">
        <v>0</v>
      </c>
      <c r="V200">
        <v>0</v>
      </c>
      <c r="W200" s="2">
        <v>5696</v>
      </c>
      <c r="X200" s="2">
        <v>0</v>
      </c>
      <c r="Y200" s="2">
        <v>266</v>
      </c>
      <c r="Z200" s="2">
        <v>5962</v>
      </c>
      <c r="AA200">
        <v>399</v>
      </c>
      <c r="AB200" t="s">
        <v>65</v>
      </c>
      <c r="AC200">
        <v>15.2</v>
      </c>
      <c r="AD200">
        <v>81</v>
      </c>
      <c r="AE200">
        <v>80</v>
      </c>
      <c r="AF200" t="s">
        <v>66</v>
      </c>
      <c r="AG200">
        <v>34</v>
      </c>
      <c r="AH200" t="s">
        <v>67</v>
      </c>
      <c r="AI200" t="s">
        <v>95</v>
      </c>
      <c r="AJ200" t="s">
        <v>188</v>
      </c>
      <c r="AK200" t="s">
        <v>70</v>
      </c>
      <c r="AL200" t="s">
        <v>71</v>
      </c>
      <c r="AM200" t="s">
        <v>70</v>
      </c>
      <c r="AN200" t="s">
        <v>270</v>
      </c>
      <c r="AO200" t="s">
        <v>178</v>
      </c>
      <c r="AP200" t="s">
        <v>72</v>
      </c>
      <c r="AQ200" t="s">
        <v>136</v>
      </c>
      <c r="AR200" s="1">
        <v>40175</v>
      </c>
      <c r="AS200" t="s">
        <v>118</v>
      </c>
      <c r="AT200" t="s">
        <v>71</v>
      </c>
      <c r="AU200">
        <v>-91</v>
      </c>
      <c r="AV200" t="s">
        <v>179</v>
      </c>
      <c r="AW200" s="3">
        <v>71544</v>
      </c>
      <c r="AX200" t="s">
        <v>798</v>
      </c>
      <c r="AY200" t="s">
        <v>809</v>
      </c>
      <c r="AZ200" t="s">
        <v>810</v>
      </c>
      <c r="BA200" t="s">
        <v>800</v>
      </c>
      <c r="BB200" t="s">
        <v>801</v>
      </c>
      <c r="BC200" t="s">
        <v>802</v>
      </c>
      <c r="BD200" s="3">
        <v>6.6923851056692379E-2</v>
      </c>
      <c r="BE200">
        <v>477.4</v>
      </c>
      <c r="BG200" s="2">
        <f t="shared" si="14"/>
        <v>71544</v>
      </c>
      <c r="BH200" t="str" cm="1">
        <f t="array" ref="BH200">_xlfn.IFS(Q200&lt;5,"0-5 Years",Q200&lt;10,"5-10 Years",Q200&lt;15,"10-15 Years",TRUE,"15+ Years")</f>
        <v>15+ Years</v>
      </c>
      <c r="BI200" t="str" cm="1">
        <f t="array" ref="BI200">_xlfn.IFS(AA200&gt;=540,"A",AA200&gt;=480,"B",AA200&gt;=420,"C",AA200&gt;=360,"D",TRUE,"F")</f>
        <v>D</v>
      </c>
      <c r="BJ200" t="str" cm="1">
        <f t="array" ref="BJ200">_xlfn.IFS(AU200&lt;0,"Separated",AU200&lt;=90,"High Risk",AU200&lt;=180,"Medium Risk",TRUE,"Retained")</f>
        <v>Separated</v>
      </c>
      <c r="BK200" t="str" cm="1">
        <f t="array" ref="BK200">_xlfn.IFS(V200=0,"No Combat",V200=1,"1 Tour",V200=2,"2 Tours",TRUE,"3+ Tours")</f>
        <v>No Combat</v>
      </c>
      <c r="BL200" t="str">
        <f t="shared" si="15"/>
        <v>Standard</v>
      </c>
      <c r="BM200" t="str">
        <f t="shared" si="16"/>
        <v>Not Ready</v>
      </c>
      <c r="BN200" s="3">
        <f t="shared" si="17"/>
        <v>6.6923851056692379E-2</v>
      </c>
      <c r="BO200">
        <f t="shared" si="18"/>
        <v>477.4</v>
      </c>
    </row>
    <row r="201" spans="1:67" x14ac:dyDescent="0.25">
      <c r="A201" t="s">
        <v>487</v>
      </c>
      <c r="B201" t="s">
        <v>181</v>
      </c>
      <c r="C201" t="s">
        <v>394</v>
      </c>
      <c r="D201" t="s">
        <v>122</v>
      </c>
      <c r="E201">
        <v>38</v>
      </c>
      <c r="F201" t="s">
        <v>224</v>
      </c>
      <c r="G201" t="s">
        <v>234</v>
      </c>
      <c r="H201" t="s">
        <v>235</v>
      </c>
      <c r="I201" t="s">
        <v>236</v>
      </c>
      <c r="J201" t="s">
        <v>237</v>
      </c>
      <c r="K201" t="s">
        <v>238</v>
      </c>
      <c r="L201" t="s">
        <v>126</v>
      </c>
      <c r="M201" t="s">
        <v>127</v>
      </c>
      <c r="N201" t="s">
        <v>60</v>
      </c>
      <c r="O201" t="s">
        <v>89</v>
      </c>
      <c r="P201" s="1">
        <v>39822</v>
      </c>
      <c r="Q201">
        <v>15.4</v>
      </c>
      <c r="R201" t="s">
        <v>208</v>
      </c>
      <c r="S201" t="s">
        <v>163</v>
      </c>
      <c r="T201" t="s">
        <v>164</v>
      </c>
      <c r="U201">
        <v>9</v>
      </c>
      <c r="V201">
        <v>1</v>
      </c>
      <c r="W201" s="2">
        <v>1917</v>
      </c>
      <c r="X201" s="2">
        <v>1652</v>
      </c>
      <c r="Y201" s="2">
        <v>422</v>
      </c>
      <c r="Z201" s="2">
        <v>3991</v>
      </c>
      <c r="AA201">
        <v>428</v>
      </c>
      <c r="AB201" t="s">
        <v>65</v>
      </c>
      <c r="AC201">
        <v>18.399999999999999</v>
      </c>
      <c r="AD201">
        <v>33</v>
      </c>
      <c r="AE201">
        <v>39</v>
      </c>
      <c r="AF201" t="s">
        <v>132</v>
      </c>
      <c r="AG201">
        <v>29</v>
      </c>
      <c r="AH201" t="s">
        <v>113</v>
      </c>
      <c r="AI201" t="s">
        <v>68</v>
      </c>
      <c r="AJ201" t="s">
        <v>188</v>
      </c>
      <c r="AK201" t="s">
        <v>70</v>
      </c>
      <c r="AL201" t="s">
        <v>70</v>
      </c>
      <c r="AM201" t="s">
        <v>71</v>
      </c>
      <c r="AN201" t="s">
        <v>72</v>
      </c>
      <c r="AO201" t="s">
        <v>73</v>
      </c>
      <c r="AP201" t="s">
        <v>116</v>
      </c>
      <c r="AQ201" t="s">
        <v>136</v>
      </c>
      <c r="AR201" s="1">
        <v>41744</v>
      </c>
      <c r="AS201" t="s">
        <v>198</v>
      </c>
      <c r="AT201" t="s">
        <v>71</v>
      </c>
      <c r="AU201">
        <v>286</v>
      </c>
      <c r="AV201" t="s">
        <v>76</v>
      </c>
      <c r="AW201" s="3">
        <v>47892</v>
      </c>
      <c r="AX201" t="s">
        <v>798</v>
      </c>
      <c r="AY201" t="s">
        <v>804</v>
      </c>
      <c r="AZ201" t="s">
        <v>76</v>
      </c>
      <c r="BA201" t="s">
        <v>807</v>
      </c>
      <c r="BB201" t="s">
        <v>801</v>
      </c>
      <c r="BC201" t="s">
        <v>802</v>
      </c>
      <c r="BD201" s="3">
        <v>0.10724129290904535</v>
      </c>
      <c r="BE201">
        <v>506.4</v>
      </c>
      <c r="BG201" s="2">
        <f t="shared" si="14"/>
        <v>47892</v>
      </c>
      <c r="BH201" t="str" cm="1">
        <f t="array" ref="BH201">_xlfn.IFS(Q201&lt;5,"0-5 Years",Q201&lt;10,"5-10 Years",Q201&lt;15,"10-15 Years",TRUE,"15+ Years")</f>
        <v>15+ Years</v>
      </c>
      <c r="BI201" t="str" cm="1">
        <f t="array" ref="BI201">_xlfn.IFS(AA201&gt;=540,"A",AA201&gt;=480,"B",AA201&gt;=420,"C",AA201&gt;=360,"D",TRUE,"F")</f>
        <v>C</v>
      </c>
      <c r="BJ201" t="str" cm="1">
        <f t="array" ref="BJ201">_xlfn.IFS(AU201&lt;0,"Separated",AU201&lt;=90,"High Risk",AU201&lt;=180,"Medium Risk",TRUE,"Retained")</f>
        <v>Retained</v>
      </c>
      <c r="BK201" t="str" cm="1">
        <f t="array" ref="BK201">_xlfn.IFS(V201=0,"No Combat",V201=1,"1 Tour",V201=2,"2 Tours",TRUE,"3+ Tours")</f>
        <v>1 Tour</v>
      </c>
      <c r="BL201" t="str">
        <f t="shared" si="15"/>
        <v>Standard</v>
      </c>
      <c r="BM201" t="str">
        <f t="shared" si="16"/>
        <v>Not Ready</v>
      </c>
      <c r="BN201" s="3">
        <f t="shared" si="17"/>
        <v>0.10724129290904535</v>
      </c>
      <c r="BO201">
        <f t="shared" si="18"/>
        <v>506.4</v>
      </c>
    </row>
    <row r="202" spans="1:67" x14ac:dyDescent="0.25">
      <c r="A202" t="s">
        <v>488</v>
      </c>
      <c r="B202" t="s">
        <v>100</v>
      </c>
      <c r="C202" t="s">
        <v>140</v>
      </c>
      <c r="D202" t="s">
        <v>51</v>
      </c>
      <c r="E202">
        <v>26</v>
      </c>
      <c r="F202" t="s">
        <v>382</v>
      </c>
      <c r="G202" t="s">
        <v>301</v>
      </c>
      <c r="H202" t="s">
        <v>302</v>
      </c>
      <c r="I202" t="s">
        <v>144</v>
      </c>
      <c r="J202" t="s">
        <v>145</v>
      </c>
      <c r="K202" t="s">
        <v>146</v>
      </c>
      <c r="L202" t="s">
        <v>201</v>
      </c>
      <c r="M202" t="s">
        <v>147</v>
      </c>
      <c r="N202" t="s">
        <v>108</v>
      </c>
      <c r="O202" t="s">
        <v>109</v>
      </c>
      <c r="P202" s="1">
        <v>44663</v>
      </c>
      <c r="Q202">
        <v>2.1</v>
      </c>
      <c r="R202" t="s">
        <v>150</v>
      </c>
      <c r="S202" t="s">
        <v>219</v>
      </c>
      <c r="T202" t="s">
        <v>220</v>
      </c>
      <c r="U202">
        <v>0</v>
      </c>
      <c r="V202">
        <v>0</v>
      </c>
      <c r="W202" s="2">
        <v>4188</v>
      </c>
      <c r="X202" s="2">
        <v>0</v>
      </c>
      <c r="Y202" s="2">
        <v>266</v>
      </c>
      <c r="Z202" s="2">
        <v>4454</v>
      </c>
      <c r="AA202">
        <v>366</v>
      </c>
      <c r="AB202" t="s">
        <v>65</v>
      </c>
      <c r="AC202">
        <v>14.8</v>
      </c>
      <c r="AD202">
        <v>32</v>
      </c>
      <c r="AE202">
        <v>37</v>
      </c>
      <c r="AF202" t="s">
        <v>132</v>
      </c>
      <c r="AG202">
        <v>31</v>
      </c>
      <c r="AH202" t="s">
        <v>67</v>
      </c>
      <c r="AI202" t="s">
        <v>152</v>
      </c>
      <c r="AJ202" t="s">
        <v>96</v>
      </c>
      <c r="AK202" t="s">
        <v>70</v>
      </c>
      <c r="AL202" t="s">
        <v>71</v>
      </c>
      <c r="AM202" t="s">
        <v>70</v>
      </c>
      <c r="AN202" t="s">
        <v>72</v>
      </c>
      <c r="AO202" t="s">
        <v>178</v>
      </c>
      <c r="AP202" t="s">
        <v>72</v>
      </c>
      <c r="AQ202" t="s">
        <v>136</v>
      </c>
      <c r="AR202" s="1">
        <v>44669</v>
      </c>
      <c r="AS202" t="s">
        <v>198</v>
      </c>
      <c r="AT202" t="s">
        <v>71</v>
      </c>
      <c r="AU202">
        <v>1701</v>
      </c>
      <c r="AV202" t="s">
        <v>76</v>
      </c>
      <c r="AW202" s="3">
        <v>53448</v>
      </c>
      <c r="AX202" t="s">
        <v>803</v>
      </c>
      <c r="AY202" t="s">
        <v>809</v>
      </c>
      <c r="AZ202" t="s">
        <v>76</v>
      </c>
      <c r="BA202" t="s">
        <v>800</v>
      </c>
      <c r="BB202" t="s">
        <v>801</v>
      </c>
      <c r="BC202" t="s">
        <v>802</v>
      </c>
      <c r="BD202" s="3">
        <v>8.2173327346205652E-2</v>
      </c>
      <c r="BE202">
        <v>438.4</v>
      </c>
      <c r="BG202" s="2">
        <f t="shared" si="14"/>
        <v>53448</v>
      </c>
      <c r="BH202" t="str" cm="1">
        <f t="array" ref="BH202">_xlfn.IFS(Q202&lt;5,"0-5 Years",Q202&lt;10,"5-10 Years",Q202&lt;15,"10-15 Years",TRUE,"15+ Years")</f>
        <v>0-5 Years</v>
      </c>
      <c r="BI202" t="str" cm="1">
        <f t="array" ref="BI202">_xlfn.IFS(AA202&gt;=540,"A",AA202&gt;=480,"B",AA202&gt;=420,"C",AA202&gt;=360,"D",TRUE,"F")</f>
        <v>D</v>
      </c>
      <c r="BJ202" t="str" cm="1">
        <f t="array" ref="BJ202">_xlfn.IFS(AU202&lt;0,"Separated",AU202&lt;=90,"High Risk",AU202&lt;=180,"Medium Risk",TRUE,"Retained")</f>
        <v>Retained</v>
      </c>
      <c r="BK202" t="str" cm="1">
        <f t="array" ref="BK202">_xlfn.IFS(V202=0,"No Combat",V202=1,"1 Tour",V202=2,"2 Tours",TRUE,"3+ Tours")</f>
        <v>No Combat</v>
      </c>
      <c r="BL202" t="str">
        <f t="shared" si="15"/>
        <v>Standard</v>
      </c>
      <c r="BM202" t="str">
        <f t="shared" si="16"/>
        <v>Not Ready</v>
      </c>
      <c r="BN202" s="3">
        <f t="shared" si="17"/>
        <v>8.2173327346205652E-2</v>
      </c>
      <c r="BO202">
        <f t="shared" si="18"/>
        <v>438.4</v>
      </c>
    </row>
    <row r="203" spans="1:67" x14ac:dyDescent="0.25">
      <c r="A203" t="s">
        <v>489</v>
      </c>
      <c r="B203" t="s">
        <v>346</v>
      </c>
      <c r="C203" t="s">
        <v>264</v>
      </c>
      <c r="D203" t="s">
        <v>51</v>
      </c>
      <c r="E203">
        <v>33</v>
      </c>
      <c r="F203" t="s">
        <v>241</v>
      </c>
      <c r="G203" t="s">
        <v>285</v>
      </c>
      <c r="H203" t="s">
        <v>286</v>
      </c>
      <c r="I203" t="s">
        <v>103</v>
      </c>
      <c r="J203" t="s">
        <v>104</v>
      </c>
      <c r="K203" t="s">
        <v>105</v>
      </c>
      <c r="L203" t="s">
        <v>174</v>
      </c>
      <c r="M203" t="s">
        <v>127</v>
      </c>
      <c r="N203" t="s">
        <v>108</v>
      </c>
      <c r="O203" t="s">
        <v>109</v>
      </c>
      <c r="P203" s="1">
        <v>43208</v>
      </c>
      <c r="Q203">
        <v>6.1</v>
      </c>
      <c r="R203" t="s">
        <v>90</v>
      </c>
      <c r="S203" t="s">
        <v>63</v>
      </c>
      <c r="T203" t="s">
        <v>64</v>
      </c>
      <c r="U203">
        <v>0</v>
      </c>
      <c r="V203">
        <v>0</v>
      </c>
      <c r="W203" s="2">
        <v>7668</v>
      </c>
      <c r="X203" s="2">
        <v>1467</v>
      </c>
      <c r="Y203" s="2">
        <v>266</v>
      </c>
      <c r="Z203" s="2">
        <v>9401</v>
      </c>
      <c r="AA203">
        <v>407</v>
      </c>
      <c r="AB203" t="s">
        <v>65</v>
      </c>
      <c r="AC203">
        <v>14.2</v>
      </c>
      <c r="AD203">
        <v>63</v>
      </c>
      <c r="AE203">
        <v>50</v>
      </c>
      <c r="AF203" t="s">
        <v>66</v>
      </c>
      <c r="AG203">
        <v>26</v>
      </c>
      <c r="AH203" t="s">
        <v>113</v>
      </c>
      <c r="AI203" t="s">
        <v>95</v>
      </c>
      <c r="AJ203" t="s">
        <v>188</v>
      </c>
      <c r="AK203" t="s">
        <v>70</v>
      </c>
      <c r="AL203" t="s">
        <v>71</v>
      </c>
      <c r="AM203" t="s">
        <v>71</v>
      </c>
      <c r="AN203" t="s">
        <v>202</v>
      </c>
      <c r="AO203" t="s">
        <v>73</v>
      </c>
      <c r="AP203" t="s">
        <v>72</v>
      </c>
      <c r="AQ203" t="s">
        <v>74</v>
      </c>
      <c r="AR203" s="1">
        <v>43986</v>
      </c>
      <c r="AS203" t="s">
        <v>137</v>
      </c>
      <c r="AT203" t="s">
        <v>71</v>
      </c>
      <c r="AU203">
        <v>1363</v>
      </c>
      <c r="AV203" t="s">
        <v>76</v>
      </c>
      <c r="AW203" s="3">
        <v>112812</v>
      </c>
      <c r="AX203" t="s">
        <v>808</v>
      </c>
      <c r="AY203" t="s">
        <v>809</v>
      </c>
      <c r="AZ203" t="s">
        <v>76</v>
      </c>
      <c r="BA203" t="s">
        <v>800</v>
      </c>
      <c r="BB203" t="s">
        <v>801</v>
      </c>
      <c r="BC203" t="s">
        <v>802</v>
      </c>
      <c r="BD203" s="3">
        <v>4.3293266673758109E-2</v>
      </c>
      <c r="BE203">
        <v>489.4</v>
      </c>
      <c r="BG203" s="2">
        <f t="shared" si="14"/>
        <v>112812</v>
      </c>
      <c r="BH203" t="str" cm="1">
        <f t="array" ref="BH203">_xlfn.IFS(Q203&lt;5,"0-5 Years",Q203&lt;10,"5-10 Years",Q203&lt;15,"10-15 Years",TRUE,"15+ Years")</f>
        <v>5-10 Years</v>
      </c>
      <c r="BI203" t="str" cm="1">
        <f t="array" ref="BI203">_xlfn.IFS(AA203&gt;=540,"A",AA203&gt;=480,"B",AA203&gt;=420,"C",AA203&gt;=360,"D",TRUE,"F")</f>
        <v>D</v>
      </c>
      <c r="BJ203" t="str" cm="1">
        <f t="array" ref="BJ203">_xlfn.IFS(AU203&lt;0,"Separated",AU203&lt;=90,"High Risk",AU203&lt;=180,"Medium Risk",TRUE,"Retained")</f>
        <v>Retained</v>
      </c>
      <c r="BK203" t="str" cm="1">
        <f t="array" ref="BK203">_xlfn.IFS(V203=0,"No Combat",V203=1,"1 Tour",V203=2,"2 Tours",TRUE,"3+ Tours")</f>
        <v>No Combat</v>
      </c>
      <c r="BL203" t="str">
        <f t="shared" si="15"/>
        <v>Standard</v>
      </c>
      <c r="BM203" t="str">
        <f t="shared" si="16"/>
        <v>Not Ready</v>
      </c>
      <c r="BN203" s="3">
        <f t="shared" si="17"/>
        <v>4.3293266673758109E-2</v>
      </c>
      <c r="BO203">
        <f t="shared" si="18"/>
        <v>489.4</v>
      </c>
    </row>
    <row r="204" spans="1:67" x14ac:dyDescent="0.25">
      <c r="A204" t="s">
        <v>490</v>
      </c>
      <c r="B204" t="s">
        <v>282</v>
      </c>
      <c r="C204" t="s">
        <v>375</v>
      </c>
      <c r="D204" t="s">
        <v>51</v>
      </c>
      <c r="E204">
        <v>23</v>
      </c>
      <c r="F204" t="s">
        <v>241</v>
      </c>
      <c r="G204" t="s">
        <v>124</v>
      </c>
      <c r="H204" t="s">
        <v>125</v>
      </c>
      <c r="I204" t="s">
        <v>185</v>
      </c>
      <c r="J204" t="s">
        <v>186</v>
      </c>
      <c r="K204" t="s">
        <v>187</v>
      </c>
      <c r="L204" t="s">
        <v>106</v>
      </c>
      <c r="M204" t="s">
        <v>107</v>
      </c>
      <c r="N204" t="s">
        <v>265</v>
      </c>
      <c r="O204" t="s">
        <v>176</v>
      </c>
      <c r="P204" s="1">
        <v>40562</v>
      </c>
      <c r="Q204">
        <v>13.4</v>
      </c>
      <c r="R204" t="s">
        <v>62</v>
      </c>
      <c r="S204" t="s">
        <v>130</v>
      </c>
      <c r="T204" t="s">
        <v>131</v>
      </c>
      <c r="U204">
        <v>10</v>
      </c>
      <c r="V204">
        <v>1</v>
      </c>
      <c r="W204" s="2">
        <v>2730</v>
      </c>
      <c r="X204" s="2">
        <v>0</v>
      </c>
      <c r="Y204" s="2">
        <v>422</v>
      </c>
      <c r="Z204" s="2">
        <v>3152</v>
      </c>
      <c r="AA204">
        <v>359</v>
      </c>
      <c r="AB204" t="s">
        <v>151</v>
      </c>
      <c r="AC204">
        <v>18.399999999999999</v>
      </c>
      <c r="AD204">
        <v>23</v>
      </c>
      <c r="AE204">
        <v>47</v>
      </c>
      <c r="AF204" t="s">
        <v>66</v>
      </c>
      <c r="AG204">
        <v>30</v>
      </c>
      <c r="AH204" t="s">
        <v>67</v>
      </c>
      <c r="AI204" t="s">
        <v>152</v>
      </c>
      <c r="AJ204" t="s">
        <v>96</v>
      </c>
      <c r="AK204" t="s">
        <v>70</v>
      </c>
      <c r="AL204" t="s">
        <v>70</v>
      </c>
      <c r="AM204" t="s">
        <v>70</v>
      </c>
      <c r="AN204" t="s">
        <v>72</v>
      </c>
      <c r="AO204" t="s">
        <v>287</v>
      </c>
      <c r="AP204" t="s">
        <v>72</v>
      </c>
      <c r="AQ204" t="s">
        <v>117</v>
      </c>
      <c r="AR204" s="1">
        <v>44818</v>
      </c>
      <c r="AS204" t="s">
        <v>118</v>
      </c>
      <c r="AT204" t="s">
        <v>71</v>
      </c>
      <c r="AU204">
        <v>1503</v>
      </c>
      <c r="AV204" t="s">
        <v>76</v>
      </c>
      <c r="AW204" s="3">
        <v>37824</v>
      </c>
      <c r="AX204" t="s">
        <v>805</v>
      </c>
      <c r="AY204" t="s">
        <v>122</v>
      </c>
      <c r="AZ204" t="s">
        <v>76</v>
      </c>
      <c r="BA204" t="s">
        <v>807</v>
      </c>
      <c r="BB204" t="s">
        <v>801</v>
      </c>
      <c r="BC204" t="s">
        <v>802</v>
      </c>
      <c r="BD204" s="3">
        <v>0.11389593908629442</v>
      </c>
      <c r="BE204">
        <v>419.4</v>
      </c>
      <c r="BG204" s="2">
        <f t="shared" si="14"/>
        <v>37824</v>
      </c>
      <c r="BH204" t="str" cm="1">
        <f t="array" ref="BH204">_xlfn.IFS(Q204&lt;5,"0-5 Years",Q204&lt;10,"5-10 Years",Q204&lt;15,"10-15 Years",TRUE,"15+ Years")</f>
        <v>10-15 Years</v>
      </c>
      <c r="BI204" t="str" cm="1">
        <f t="array" ref="BI204">_xlfn.IFS(AA204&gt;=540,"A",AA204&gt;=480,"B",AA204&gt;=420,"C",AA204&gt;=360,"D",TRUE,"F")</f>
        <v>F</v>
      </c>
      <c r="BJ204" t="str" cm="1">
        <f t="array" ref="BJ204">_xlfn.IFS(AU204&lt;0,"Separated",AU204&lt;=90,"High Risk",AU204&lt;=180,"Medium Risk",TRUE,"Retained")</f>
        <v>Retained</v>
      </c>
      <c r="BK204" t="str" cm="1">
        <f t="array" ref="BK204">_xlfn.IFS(V204=0,"No Combat",V204=1,"1 Tour",V204=2,"2 Tours",TRUE,"3+ Tours")</f>
        <v>1 Tour</v>
      </c>
      <c r="BL204" t="str">
        <f t="shared" si="15"/>
        <v>Standard</v>
      </c>
      <c r="BM204" t="str">
        <f t="shared" si="16"/>
        <v>Not Ready</v>
      </c>
      <c r="BN204" s="3">
        <f t="shared" si="17"/>
        <v>0.11389593908629442</v>
      </c>
      <c r="BO204">
        <f t="shared" si="18"/>
        <v>419.4</v>
      </c>
    </row>
    <row r="205" spans="1:67" x14ac:dyDescent="0.25">
      <c r="A205" t="s">
        <v>491</v>
      </c>
      <c r="B205" t="s">
        <v>229</v>
      </c>
      <c r="C205" t="s">
        <v>167</v>
      </c>
      <c r="D205" t="s">
        <v>51</v>
      </c>
      <c r="E205">
        <v>33</v>
      </c>
      <c r="F205" t="s">
        <v>311</v>
      </c>
      <c r="G205" t="s">
        <v>242</v>
      </c>
      <c r="H205" t="s">
        <v>54</v>
      </c>
      <c r="I205" t="s">
        <v>268</v>
      </c>
      <c r="J205" t="s">
        <v>269</v>
      </c>
      <c r="K205" t="s">
        <v>173</v>
      </c>
      <c r="L205" t="s">
        <v>106</v>
      </c>
      <c r="M205" t="s">
        <v>212</v>
      </c>
      <c r="N205" t="s">
        <v>265</v>
      </c>
      <c r="O205" t="s">
        <v>149</v>
      </c>
      <c r="P205" s="1">
        <v>40383</v>
      </c>
      <c r="Q205">
        <v>13.9</v>
      </c>
      <c r="R205" t="s">
        <v>129</v>
      </c>
      <c r="S205" t="s">
        <v>110</v>
      </c>
      <c r="T205" t="s">
        <v>111</v>
      </c>
      <c r="U205">
        <v>13</v>
      </c>
      <c r="V205">
        <v>2</v>
      </c>
      <c r="W205" s="2">
        <v>4739</v>
      </c>
      <c r="X205" s="2">
        <v>0</v>
      </c>
      <c r="Y205" s="2">
        <v>422</v>
      </c>
      <c r="Z205" s="2">
        <v>5161</v>
      </c>
      <c r="AA205">
        <v>583</v>
      </c>
      <c r="AB205" t="s">
        <v>65</v>
      </c>
      <c r="AC205">
        <v>20.100000000000001</v>
      </c>
      <c r="AD205">
        <v>57</v>
      </c>
      <c r="AE205">
        <v>39</v>
      </c>
      <c r="AF205" t="s">
        <v>66</v>
      </c>
      <c r="AG205">
        <v>29</v>
      </c>
      <c r="AH205" t="s">
        <v>113</v>
      </c>
      <c r="AI205" t="s">
        <v>95</v>
      </c>
      <c r="AJ205" t="s">
        <v>72</v>
      </c>
      <c r="AK205" t="s">
        <v>70</v>
      </c>
      <c r="AL205" t="s">
        <v>70</v>
      </c>
      <c r="AM205" t="s">
        <v>70</v>
      </c>
      <c r="AN205" t="s">
        <v>72</v>
      </c>
      <c r="AO205" t="s">
        <v>135</v>
      </c>
      <c r="AP205" t="s">
        <v>72</v>
      </c>
      <c r="AQ205" t="s">
        <v>74</v>
      </c>
      <c r="AR205" s="1">
        <v>44754</v>
      </c>
      <c r="AS205" t="s">
        <v>198</v>
      </c>
      <c r="AT205" t="s">
        <v>71</v>
      </c>
      <c r="AU205">
        <v>-450</v>
      </c>
      <c r="AV205" t="s">
        <v>179</v>
      </c>
      <c r="AW205" s="3">
        <v>61932</v>
      </c>
      <c r="AX205" t="s">
        <v>805</v>
      </c>
      <c r="AY205" t="s">
        <v>799</v>
      </c>
      <c r="AZ205" t="s">
        <v>810</v>
      </c>
      <c r="BA205" t="s">
        <v>811</v>
      </c>
      <c r="BB205" t="s">
        <v>801</v>
      </c>
      <c r="BC205" t="s">
        <v>802</v>
      </c>
      <c r="BD205" s="3">
        <v>0.11296260414648324</v>
      </c>
      <c r="BE205">
        <v>641.4</v>
      </c>
      <c r="BG205" s="2">
        <f t="shared" si="14"/>
        <v>61932</v>
      </c>
      <c r="BH205" t="str" cm="1">
        <f t="array" ref="BH205">_xlfn.IFS(Q205&lt;5,"0-5 Years",Q205&lt;10,"5-10 Years",Q205&lt;15,"10-15 Years",TRUE,"15+ Years")</f>
        <v>10-15 Years</v>
      </c>
      <c r="BI205" t="str" cm="1">
        <f t="array" ref="BI205">_xlfn.IFS(AA205&gt;=540,"A",AA205&gt;=480,"B",AA205&gt;=420,"C",AA205&gt;=360,"D",TRUE,"F")</f>
        <v>A</v>
      </c>
      <c r="BJ205" t="str" cm="1">
        <f t="array" ref="BJ205">_xlfn.IFS(AU205&lt;0,"Separated",AU205&lt;=90,"High Risk",AU205&lt;=180,"Medium Risk",TRUE,"Retained")</f>
        <v>Separated</v>
      </c>
      <c r="BK205" t="str" cm="1">
        <f t="array" ref="BK205">_xlfn.IFS(V205=0,"No Combat",V205=1,"1 Tour",V205=2,"2 Tours",TRUE,"3+ Tours")</f>
        <v>2 Tours</v>
      </c>
      <c r="BL205" t="str">
        <f t="shared" si="15"/>
        <v>Standard</v>
      </c>
      <c r="BM205" t="str">
        <f t="shared" si="16"/>
        <v>Not Ready</v>
      </c>
      <c r="BN205" s="3">
        <f t="shared" si="17"/>
        <v>0.11296260414648324</v>
      </c>
      <c r="BO205">
        <f t="shared" si="18"/>
        <v>641.4</v>
      </c>
    </row>
    <row r="206" spans="1:67" x14ac:dyDescent="0.25">
      <c r="A206" t="s">
        <v>492</v>
      </c>
      <c r="B206" t="s">
        <v>377</v>
      </c>
      <c r="C206" t="s">
        <v>353</v>
      </c>
      <c r="D206" t="s">
        <v>122</v>
      </c>
      <c r="E206">
        <v>45</v>
      </c>
      <c r="F206" t="s">
        <v>325</v>
      </c>
      <c r="G206" t="s">
        <v>301</v>
      </c>
      <c r="H206" t="s">
        <v>302</v>
      </c>
      <c r="I206" t="s">
        <v>217</v>
      </c>
      <c r="J206" t="s">
        <v>218</v>
      </c>
      <c r="K206" t="s">
        <v>146</v>
      </c>
      <c r="L206" t="s">
        <v>58</v>
      </c>
      <c r="M206" t="s">
        <v>175</v>
      </c>
      <c r="N206" t="s">
        <v>60</v>
      </c>
      <c r="O206" t="s">
        <v>89</v>
      </c>
      <c r="P206" s="1">
        <v>42283</v>
      </c>
      <c r="Q206">
        <v>8.6999999999999993</v>
      </c>
      <c r="R206" t="s">
        <v>62</v>
      </c>
      <c r="S206" t="s">
        <v>219</v>
      </c>
      <c r="T206" t="s">
        <v>220</v>
      </c>
      <c r="U206">
        <v>0</v>
      </c>
      <c r="V206">
        <v>0</v>
      </c>
      <c r="W206" s="2">
        <v>4188</v>
      </c>
      <c r="X206" s="2">
        <v>0</v>
      </c>
      <c r="Y206" s="2">
        <v>266</v>
      </c>
      <c r="Z206" s="2">
        <v>4454</v>
      </c>
      <c r="AA206">
        <v>588</v>
      </c>
      <c r="AB206" t="s">
        <v>65</v>
      </c>
      <c r="AC206">
        <v>18.5</v>
      </c>
      <c r="AD206">
        <v>74</v>
      </c>
      <c r="AE206">
        <v>66</v>
      </c>
      <c r="AF206" t="s">
        <v>66</v>
      </c>
      <c r="AG206">
        <v>30</v>
      </c>
      <c r="AH206" t="s">
        <v>67</v>
      </c>
      <c r="AI206" t="s">
        <v>95</v>
      </c>
      <c r="AJ206" t="s">
        <v>96</v>
      </c>
      <c r="AK206" t="s">
        <v>70</v>
      </c>
      <c r="AL206" t="s">
        <v>70</v>
      </c>
      <c r="AM206" t="s">
        <v>71</v>
      </c>
      <c r="AN206" t="s">
        <v>243</v>
      </c>
      <c r="AO206" t="s">
        <v>287</v>
      </c>
      <c r="AP206" t="s">
        <v>72</v>
      </c>
      <c r="AQ206" t="s">
        <v>74</v>
      </c>
      <c r="AR206" s="1">
        <v>43749</v>
      </c>
      <c r="AS206" t="s">
        <v>75</v>
      </c>
      <c r="AT206" t="s">
        <v>71</v>
      </c>
      <c r="AU206">
        <v>605</v>
      </c>
      <c r="AV206" t="s">
        <v>76</v>
      </c>
      <c r="AW206" s="3">
        <v>53448</v>
      </c>
      <c r="AX206" t="s">
        <v>808</v>
      </c>
      <c r="AY206" t="s">
        <v>799</v>
      </c>
      <c r="AZ206" t="s">
        <v>76</v>
      </c>
      <c r="BA206" t="s">
        <v>800</v>
      </c>
      <c r="BB206" t="s">
        <v>801</v>
      </c>
      <c r="BC206" t="s">
        <v>802</v>
      </c>
      <c r="BD206" s="3">
        <v>0.13201616524472384</v>
      </c>
      <c r="BE206">
        <v>668.4</v>
      </c>
      <c r="BG206" s="2">
        <f t="shared" si="14"/>
        <v>53448</v>
      </c>
      <c r="BH206" t="str" cm="1">
        <f t="array" ref="BH206">_xlfn.IFS(Q206&lt;5,"0-5 Years",Q206&lt;10,"5-10 Years",Q206&lt;15,"10-15 Years",TRUE,"15+ Years")</f>
        <v>5-10 Years</v>
      </c>
      <c r="BI206" t="str" cm="1">
        <f t="array" ref="BI206">_xlfn.IFS(AA206&gt;=540,"A",AA206&gt;=480,"B",AA206&gt;=420,"C",AA206&gt;=360,"D",TRUE,"F")</f>
        <v>A</v>
      </c>
      <c r="BJ206" t="str" cm="1">
        <f t="array" ref="BJ206">_xlfn.IFS(AU206&lt;0,"Separated",AU206&lt;=90,"High Risk",AU206&lt;=180,"Medium Risk",TRUE,"Retained")</f>
        <v>Retained</v>
      </c>
      <c r="BK206" t="str" cm="1">
        <f t="array" ref="BK206">_xlfn.IFS(V206=0,"No Combat",V206=1,"1 Tour",V206=2,"2 Tours",TRUE,"3+ Tours")</f>
        <v>No Combat</v>
      </c>
      <c r="BL206" t="str">
        <f t="shared" si="15"/>
        <v>Standard</v>
      </c>
      <c r="BM206" t="str">
        <f t="shared" si="16"/>
        <v>Not Ready</v>
      </c>
      <c r="BN206" s="3">
        <f t="shared" si="17"/>
        <v>0.13201616524472384</v>
      </c>
      <c r="BO206">
        <f t="shared" si="18"/>
        <v>668.4</v>
      </c>
    </row>
    <row r="207" spans="1:67" x14ac:dyDescent="0.25">
      <c r="A207" t="s">
        <v>493</v>
      </c>
      <c r="B207" t="s">
        <v>100</v>
      </c>
      <c r="C207" t="s">
        <v>79</v>
      </c>
      <c r="D207" t="s">
        <v>51</v>
      </c>
      <c r="E207">
        <v>45</v>
      </c>
      <c r="F207" t="s">
        <v>211</v>
      </c>
      <c r="G207" t="s">
        <v>215</v>
      </c>
      <c r="H207" t="s">
        <v>216</v>
      </c>
      <c r="I207" t="s">
        <v>260</v>
      </c>
      <c r="J207" t="s">
        <v>261</v>
      </c>
      <c r="K207" t="s">
        <v>173</v>
      </c>
      <c r="L207" t="s">
        <v>174</v>
      </c>
      <c r="M207" t="s">
        <v>147</v>
      </c>
      <c r="N207" t="s">
        <v>265</v>
      </c>
      <c r="O207" t="s">
        <v>176</v>
      </c>
      <c r="P207" s="1">
        <v>38775</v>
      </c>
      <c r="Q207">
        <v>18.3</v>
      </c>
      <c r="R207" t="s">
        <v>62</v>
      </c>
      <c r="S207" t="s">
        <v>163</v>
      </c>
      <c r="T207" t="s">
        <v>164</v>
      </c>
      <c r="U207">
        <v>12</v>
      </c>
      <c r="V207">
        <v>2</v>
      </c>
      <c r="W207" s="2">
        <v>3637</v>
      </c>
      <c r="X207" s="2">
        <v>1548</v>
      </c>
      <c r="Y207" s="2">
        <v>266</v>
      </c>
      <c r="Z207" s="2">
        <v>5451</v>
      </c>
      <c r="AA207">
        <v>379</v>
      </c>
      <c r="AB207" t="s">
        <v>65</v>
      </c>
      <c r="AC207">
        <v>17.8</v>
      </c>
      <c r="AD207">
        <v>43</v>
      </c>
      <c r="AE207">
        <v>53</v>
      </c>
      <c r="AF207" t="s">
        <v>66</v>
      </c>
      <c r="AG207">
        <v>33</v>
      </c>
      <c r="AH207" t="s">
        <v>67</v>
      </c>
      <c r="AI207" t="s">
        <v>114</v>
      </c>
      <c r="AJ207" t="s">
        <v>72</v>
      </c>
      <c r="AK207" t="s">
        <v>70</v>
      </c>
      <c r="AL207" t="s">
        <v>70</v>
      </c>
      <c r="AM207" t="s">
        <v>70</v>
      </c>
      <c r="AN207" t="s">
        <v>72</v>
      </c>
      <c r="AO207" t="s">
        <v>72</v>
      </c>
      <c r="AP207" t="s">
        <v>178</v>
      </c>
      <c r="AQ207" t="s">
        <v>117</v>
      </c>
      <c r="AR207" s="1">
        <v>40908</v>
      </c>
      <c r="AS207" t="s">
        <v>75</v>
      </c>
      <c r="AT207" t="s">
        <v>71</v>
      </c>
      <c r="AU207">
        <v>1562</v>
      </c>
      <c r="AV207" t="s">
        <v>76</v>
      </c>
      <c r="AW207" s="3">
        <v>65412</v>
      </c>
      <c r="AX207" t="s">
        <v>798</v>
      </c>
      <c r="AY207" t="s">
        <v>809</v>
      </c>
      <c r="AZ207" t="s">
        <v>76</v>
      </c>
      <c r="BA207" t="s">
        <v>811</v>
      </c>
      <c r="BB207" t="s">
        <v>801</v>
      </c>
      <c r="BC207" t="s">
        <v>802</v>
      </c>
      <c r="BD207" s="3">
        <v>6.9528526875802604E-2</v>
      </c>
      <c r="BE207">
        <v>445.4</v>
      </c>
      <c r="BG207" s="2">
        <f t="shared" si="14"/>
        <v>65412</v>
      </c>
      <c r="BH207" t="str" cm="1">
        <f t="array" ref="BH207">_xlfn.IFS(Q207&lt;5,"0-5 Years",Q207&lt;10,"5-10 Years",Q207&lt;15,"10-15 Years",TRUE,"15+ Years")</f>
        <v>15+ Years</v>
      </c>
      <c r="BI207" t="str" cm="1">
        <f t="array" ref="BI207">_xlfn.IFS(AA207&gt;=540,"A",AA207&gt;=480,"B",AA207&gt;=420,"C",AA207&gt;=360,"D",TRUE,"F")</f>
        <v>D</v>
      </c>
      <c r="BJ207" t="str" cm="1">
        <f t="array" ref="BJ207">_xlfn.IFS(AU207&lt;0,"Separated",AU207&lt;=90,"High Risk",AU207&lt;=180,"Medium Risk",TRUE,"Retained")</f>
        <v>Retained</v>
      </c>
      <c r="BK207" t="str" cm="1">
        <f t="array" ref="BK207">_xlfn.IFS(V207=0,"No Combat",V207=1,"1 Tour",V207=2,"2 Tours",TRUE,"3+ Tours")</f>
        <v>2 Tours</v>
      </c>
      <c r="BL207" t="str">
        <f t="shared" si="15"/>
        <v>Standard</v>
      </c>
      <c r="BM207" t="str">
        <f t="shared" si="16"/>
        <v>Not Ready</v>
      </c>
      <c r="BN207" s="3">
        <f t="shared" si="17"/>
        <v>6.9528526875802604E-2</v>
      </c>
      <c r="BO207">
        <f t="shared" si="18"/>
        <v>445.4</v>
      </c>
    </row>
    <row r="208" spans="1:67" x14ac:dyDescent="0.25">
      <c r="A208" t="s">
        <v>494</v>
      </c>
      <c r="B208" t="s">
        <v>205</v>
      </c>
      <c r="C208" t="s">
        <v>206</v>
      </c>
      <c r="D208" t="s">
        <v>122</v>
      </c>
      <c r="E208">
        <v>23</v>
      </c>
      <c r="F208" t="s">
        <v>224</v>
      </c>
      <c r="G208" t="s">
        <v>193</v>
      </c>
      <c r="H208" t="s">
        <v>194</v>
      </c>
      <c r="I208" t="s">
        <v>83</v>
      </c>
      <c r="J208" t="s">
        <v>84</v>
      </c>
      <c r="K208" t="s">
        <v>85</v>
      </c>
      <c r="L208" t="s">
        <v>86</v>
      </c>
      <c r="M208" t="s">
        <v>249</v>
      </c>
      <c r="N208" t="s">
        <v>162</v>
      </c>
      <c r="O208" t="s">
        <v>61</v>
      </c>
      <c r="P208" s="1">
        <v>42667</v>
      </c>
      <c r="Q208">
        <v>7.6</v>
      </c>
      <c r="R208" t="s">
        <v>62</v>
      </c>
      <c r="S208" t="s">
        <v>196</v>
      </c>
      <c r="T208" t="s">
        <v>197</v>
      </c>
      <c r="U208">
        <v>0</v>
      </c>
      <c r="V208">
        <v>0</v>
      </c>
      <c r="W208" s="2">
        <v>2259</v>
      </c>
      <c r="X208" s="2">
        <v>1051</v>
      </c>
      <c r="Y208" s="2">
        <v>422</v>
      </c>
      <c r="Z208" s="2">
        <v>3732</v>
      </c>
      <c r="AA208">
        <v>439</v>
      </c>
      <c r="AB208" t="s">
        <v>65</v>
      </c>
      <c r="AC208">
        <v>18.5</v>
      </c>
      <c r="AD208">
        <v>63</v>
      </c>
      <c r="AE208">
        <v>64</v>
      </c>
      <c r="AF208" t="s">
        <v>132</v>
      </c>
      <c r="AG208">
        <v>35</v>
      </c>
      <c r="AH208" t="s">
        <v>67</v>
      </c>
      <c r="AI208" t="s">
        <v>177</v>
      </c>
      <c r="AJ208" t="s">
        <v>69</v>
      </c>
      <c r="AK208" t="s">
        <v>71</v>
      </c>
      <c r="AL208" t="s">
        <v>71</v>
      </c>
      <c r="AM208" t="s">
        <v>70</v>
      </c>
      <c r="AN208" t="s">
        <v>72</v>
      </c>
      <c r="AO208" t="s">
        <v>221</v>
      </c>
      <c r="AP208" t="s">
        <v>72</v>
      </c>
      <c r="AQ208" t="s">
        <v>136</v>
      </c>
      <c r="AR208" s="1">
        <v>42828</v>
      </c>
      <c r="AS208" t="s">
        <v>137</v>
      </c>
      <c r="AT208" t="s">
        <v>71</v>
      </c>
      <c r="AU208">
        <v>106</v>
      </c>
      <c r="AV208" t="s">
        <v>179</v>
      </c>
      <c r="AW208" s="3">
        <v>44784</v>
      </c>
      <c r="AX208" t="s">
        <v>808</v>
      </c>
      <c r="AY208" t="s">
        <v>804</v>
      </c>
      <c r="AZ208" t="s">
        <v>815</v>
      </c>
      <c r="BA208" t="s">
        <v>800</v>
      </c>
      <c r="BB208" t="s">
        <v>801</v>
      </c>
      <c r="BC208" t="s">
        <v>802</v>
      </c>
      <c r="BD208" s="3">
        <v>0.11763129689174705</v>
      </c>
      <c r="BE208">
        <v>529.4</v>
      </c>
      <c r="BG208" s="2">
        <f t="shared" si="14"/>
        <v>44784</v>
      </c>
      <c r="BH208" t="str" cm="1">
        <f t="array" ref="BH208">_xlfn.IFS(Q208&lt;5,"0-5 Years",Q208&lt;10,"5-10 Years",Q208&lt;15,"10-15 Years",TRUE,"15+ Years")</f>
        <v>5-10 Years</v>
      </c>
      <c r="BI208" t="str" cm="1">
        <f t="array" ref="BI208">_xlfn.IFS(AA208&gt;=540,"A",AA208&gt;=480,"B",AA208&gt;=420,"C",AA208&gt;=360,"D",TRUE,"F")</f>
        <v>C</v>
      </c>
      <c r="BJ208" t="str" cm="1">
        <f t="array" ref="BJ208">_xlfn.IFS(AU208&lt;0,"Separated",AU208&lt;=90,"High Risk",AU208&lt;=180,"Medium Risk",TRUE,"Retained")</f>
        <v>Medium Risk</v>
      </c>
      <c r="BK208" t="str" cm="1">
        <f t="array" ref="BK208">_xlfn.IFS(V208=0,"No Combat",V208=1,"1 Tour",V208=2,"2 Tours",TRUE,"3+ Tours")</f>
        <v>No Combat</v>
      </c>
      <c r="BL208" t="str">
        <f t="shared" si="15"/>
        <v>Standard</v>
      </c>
      <c r="BM208" t="str">
        <f t="shared" si="16"/>
        <v>Not Ready</v>
      </c>
      <c r="BN208" s="3">
        <f t="shared" si="17"/>
        <v>0.11763129689174705</v>
      </c>
      <c r="BO208">
        <f t="shared" si="18"/>
        <v>529.4</v>
      </c>
    </row>
    <row r="209" spans="1:67" x14ac:dyDescent="0.25">
      <c r="A209" t="s">
        <v>495</v>
      </c>
      <c r="B209" t="s">
        <v>263</v>
      </c>
      <c r="C209" t="s">
        <v>334</v>
      </c>
      <c r="D209" t="s">
        <v>122</v>
      </c>
      <c r="E209">
        <v>22</v>
      </c>
      <c r="F209" t="s">
        <v>224</v>
      </c>
      <c r="G209" t="s">
        <v>234</v>
      </c>
      <c r="H209" t="s">
        <v>235</v>
      </c>
      <c r="I209" t="s">
        <v>217</v>
      </c>
      <c r="J209" t="s">
        <v>218</v>
      </c>
      <c r="K209" t="s">
        <v>146</v>
      </c>
      <c r="L209" t="s">
        <v>126</v>
      </c>
      <c r="M209" t="s">
        <v>175</v>
      </c>
      <c r="N209" t="s">
        <v>148</v>
      </c>
      <c r="O209" t="s">
        <v>149</v>
      </c>
      <c r="P209" s="1">
        <v>42235</v>
      </c>
      <c r="Q209">
        <v>8.8000000000000007</v>
      </c>
      <c r="R209" t="s">
        <v>75</v>
      </c>
      <c r="S209" t="s">
        <v>110</v>
      </c>
      <c r="T209" t="s">
        <v>111</v>
      </c>
      <c r="U209">
        <v>13</v>
      </c>
      <c r="V209">
        <v>2</v>
      </c>
      <c r="W209" s="2">
        <v>1917</v>
      </c>
      <c r="X209" s="2">
        <v>0</v>
      </c>
      <c r="Y209" s="2">
        <v>422</v>
      </c>
      <c r="Z209" s="2">
        <v>2339</v>
      </c>
      <c r="AA209">
        <v>408</v>
      </c>
      <c r="AB209" t="s">
        <v>65</v>
      </c>
      <c r="AC209">
        <v>15</v>
      </c>
      <c r="AD209">
        <v>24</v>
      </c>
      <c r="AE209">
        <v>31</v>
      </c>
      <c r="AF209" t="s">
        <v>112</v>
      </c>
      <c r="AG209">
        <v>29</v>
      </c>
      <c r="AH209" t="s">
        <v>113</v>
      </c>
      <c r="AI209" t="s">
        <v>114</v>
      </c>
      <c r="AJ209" t="s">
        <v>69</v>
      </c>
      <c r="AK209" t="s">
        <v>70</v>
      </c>
      <c r="AL209" t="s">
        <v>70</v>
      </c>
      <c r="AM209" t="s">
        <v>70</v>
      </c>
      <c r="AN209" t="s">
        <v>72</v>
      </c>
      <c r="AO209" t="s">
        <v>116</v>
      </c>
      <c r="AP209" t="s">
        <v>72</v>
      </c>
      <c r="AQ209" t="s">
        <v>117</v>
      </c>
      <c r="AR209" s="1">
        <v>43528</v>
      </c>
      <c r="AS209" t="s">
        <v>75</v>
      </c>
      <c r="AT209" t="s">
        <v>71</v>
      </c>
      <c r="AU209">
        <v>680</v>
      </c>
      <c r="AV209" t="s">
        <v>76</v>
      </c>
      <c r="AW209" s="3">
        <v>28068</v>
      </c>
      <c r="AX209" t="s">
        <v>808</v>
      </c>
      <c r="AY209" t="s">
        <v>809</v>
      </c>
      <c r="AZ209" t="s">
        <v>76</v>
      </c>
      <c r="BA209" t="s">
        <v>811</v>
      </c>
      <c r="BB209" t="s">
        <v>801</v>
      </c>
      <c r="BC209" t="s">
        <v>802</v>
      </c>
      <c r="BD209" s="3">
        <v>0.17443351859769132</v>
      </c>
      <c r="BE209">
        <v>466.4</v>
      </c>
      <c r="BG209" s="2">
        <f t="shared" si="14"/>
        <v>28068</v>
      </c>
      <c r="BH209" t="str" cm="1">
        <f t="array" ref="BH209">_xlfn.IFS(Q209&lt;5,"0-5 Years",Q209&lt;10,"5-10 Years",Q209&lt;15,"10-15 Years",TRUE,"15+ Years")</f>
        <v>5-10 Years</v>
      </c>
      <c r="BI209" t="str" cm="1">
        <f t="array" ref="BI209">_xlfn.IFS(AA209&gt;=540,"A",AA209&gt;=480,"B",AA209&gt;=420,"C",AA209&gt;=360,"D",TRUE,"F")</f>
        <v>D</v>
      </c>
      <c r="BJ209" t="str" cm="1">
        <f t="array" ref="BJ209">_xlfn.IFS(AU209&lt;0,"Separated",AU209&lt;=90,"High Risk",AU209&lt;=180,"Medium Risk",TRUE,"Retained")</f>
        <v>Retained</v>
      </c>
      <c r="BK209" t="str" cm="1">
        <f t="array" ref="BK209">_xlfn.IFS(V209=0,"No Combat",V209=1,"1 Tour",V209=2,"2 Tours",TRUE,"3+ Tours")</f>
        <v>2 Tours</v>
      </c>
      <c r="BL209" t="str">
        <f t="shared" si="15"/>
        <v>Standard</v>
      </c>
      <c r="BM209" t="str">
        <f t="shared" si="16"/>
        <v>Not Ready</v>
      </c>
      <c r="BN209" s="3">
        <f t="shared" si="17"/>
        <v>0.17443351859769132</v>
      </c>
      <c r="BO209">
        <f t="shared" si="18"/>
        <v>466.4</v>
      </c>
    </row>
    <row r="210" spans="1:67" x14ac:dyDescent="0.25">
      <c r="A210" t="s">
        <v>496</v>
      </c>
      <c r="B210" t="s">
        <v>282</v>
      </c>
      <c r="C210" t="s">
        <v>233</v>
      </c>
      <c r="D210" t="s">
        <v>51</v>
      </c>
      <c r="E210">
        <v>29</v>
      </c>
      <c r="F210" t="s">
        <v>278</v>
      </c>
      <c r="G210" t="s">
        <v>142</v>
      </c>
      <c r="H210" t="s">
        <v>143</v>
      </c>
      <c r="I210" t="s">
        <v>185</v>
      </c>
      <c r="J210" t="s">
        <v>186</v>
      </c>
      <c r="K210" t="s">
        <v>187</v>
      </c>
      <c r="L210" t="s">
        <v>58</v>
      </c>
      <c r="M210" t="s">
        <v>87</v>
      </c>
      <c r="N210" t="s">
        <v>108</v>
      </c>
      <c r="O210" t="s">
        <v>61</v>
      </c>
      <c r="P210" s="1">
        <v>40689</v>
      </c>
      <c r="Q210">
        <v>13</v>
      </c>
      <c r="R210" t="s">
        <v>208</v>
      </c>
      <c r="S210" t="s">
        <v>130</v>
      </c>
      <c r="T210" t="s">
        <v>131</v>
      </c>
      <c r="U210">
        <v>5</v>
      </c>
      <c r="V210">
        <v>0</v>
      </c>
      <c r="W210" s="2">
        <v>5473</v>
      </c>
      <c r="X210" s="2">
        <v>0</v>
      </c>
      <c r="Y210" s="2">
        <v>422</v>
      </c>
      <c r="Z210" s="2">
        <v>5895</v>
      </c>
      <c r="AA210">
        <v>452</v>
      </c>
      <c r="AB210" t="s">
        <v>65</v>
      </c>
      <c r="AC210">
        <v>13.9</v>
      </c>
      <c r="AD210">
        <v>27</v>
      </c>
      <c r="AE210">
        <v>32</v>
      </c>
      <c r="AF210" t="s">
        <v>93</v>
      </c>
      <c r="AG210">
        <v>30</v>
      </c>
      <c r="AH210" t="s">
        <v>67</v>
      </c>
      <c r="AI210" t="s">
        <v>152</v>
      </c>
      <c r="AJ210" t="s">
        <v>72</v>
      </c>
      <c r="AK210" t="s">
        <v>70</v>
      </c>
      <c r="AL210" t="s">
        <v>70</v>
      </c>
      <c r="AM210" t="s">
        <v>70</v>
      </c>
      <c r="AN210" t="s">
        <v>270</v>
      </c>
      <c r="AO210" t="s">
        <v>134</v>
      </c>
      <c r="AP210" t="s">
        <v>72</v>
      </c>
      <c r="AQ210" t="s">
        <v>98</v>
      </c>
      <c r="AR210" s="1">
        <v>40748</v>
      </c>
      <c r="AS210" t="s">
        <v>118</v>
      </c>
      <c r="AT210" t="s">
        <v>71</v>
      </c>
      <c r="AU210">
        <v>1157</v>
      </c>
      <c r="AV210" t="s">
        <v>76</v>
      </c>
      <c r="AW210" s="3">
        <v>70740</v>
      </c>
      <c r="AX210" t="s">
        <v>805</v>
      </c>
      <c r="AY210" t="s">
        <v>804</v>
      </c>
      <c r="AZ210" t="s">
        <v>76</v>
      </c>
      <c r="BA210" t="s">
        <v>800</v>
      </c>
      <c r="BB210" t="s">
        <v>801</v>
      </c>
      <c r="BC210" t="s">
        <v>802</v>
      </c>
      <c r="BD210" s="3">
        <v>7.6675148430873627E-2</v>
      </c>
      <c r="BE210">
        <v>512.4</v>
      </c>
      <c r="BG210" s="2">
        <f t="shared" si="14"/>
        <v>70740</v>
      </c>
      <c r="BH210" t="str" cm="1">
        <f t="array" ref="BH210">_xlfn.IFS(Q210&lt;5,"0-5 Years",Q210&lt;10,"5-10 Years",Q210&lt;15,"10-15 Years",TRUE,"15+ Years")</f>
        <v>10-15 Years</v>
      </c>
      <c r="BI210" t="str" cm="1">
        <f t="array" ref="BI210">_xlfn.IFS(AA210&gt;=540,"A",AA210&gt;=480,"B",AA210&gt;=420,"C",AA210&gt;=360,"D",TRUE,"F")</f>
        <v>C</v>
      </c>
      <c r="BJ210" t="str" cm="1">
        <f t="array" ref="BJ210">_xlfn.IFS(AU210&lt;0,"Separated",AU210&lt;=90,"High Risk",AU210&lt;=180,"Medium Risk",TRUE,"Retained")</f>
        <v>Retained</v>
      </c>
      <c r="BK210" t="str" cm="1">
        <f t="array" ref="BK210">_xlfn.IFS(V210=0,"No Combat",V210=1,"1 Tour",V210=2,"2 Tours",TRUE,"3+ Tours")</f>
        <v>No Combat</v>
      </c>
      <c r="BL210" t="str">
        <f t="shared" si="15"/>
        <v>Standard</v>
      </c>
      <c r="BM210" t="str">
        <f t="shared" si="16"/>
        <v>Not Ready</v>
      </c>
      <c r="BN210" s="3">
        <f t="shared" si="17"/>
        <v>7.6675148430873627E-2</v>
      </c>
      <c r="BO210">
        <f t="shared" si="18"/>
        <v>512.4</v>
      </c>
    </row>
    <row r="211" spans="1:67" x14ac:dyDescent="0.25">
      <c r="A211" t="s">
        <v>497</v>
      </c>
      <c r="B211" t="s">
        <v>377</v>
      </c>
      <c r="C211" t="s">
        <v>394</v>
      </c>
      <c r="D211" t="s">
        <v>122</v>
      </c>
      <c r="E211">
        <v>30</v>
      </c>
      <c r="F211" t="s">
        <v>305</v>
      </c>
      <c r="G211" t="s">
        <v>279</v>
      </c>
      <c r="H211" t="s">
        <v>280</v>
      </c>
      <c r="I211" t="s">
        <v>236</v>
      </c>
      <c r="J211" t="s">
        <v>237</v>
      </c>
      <c r="K211" t="s">
        <v>238</v>
      </c>
      <c r="L211" t="s">
        <v>86</v>
      </c>
      <c r="M211" t="s">
        <v>275</v>
      </c>
      <c r="N211" t="s">
        <v>60</v>
      </c>
      <c r="O211" t="s">
        <v>61</v>
      </c>
      <c r="P211" s="1">
        <v>42509</v>
      </c>
      <c r="Q211">
        <v>8</v>
      </c>
      <c r="R211" t="s">
        <v>150</v>
      </c>
      <c r="S211" t="s">
        <v>110</v>
      </c>
      <c r="T211" t="s">
        <v>111</v>
      </c>
      <c r="U211">
        <v>9</v>
      </c>
      <c r="V211">
        <v>1</v>
      </c>
      <c r="W211" s="2">
        <v>6618</v>
      </c>
      <c r="X211" s="2">
        <v>1770</v>
      </c>
      <c r="Y211" s="2">
        <v>266</v>
      </c>
      <c r="Z211" s="2">
        <v>8654</v>
      </c>
      <c r="AA211">
        <v>365</v>
      </c>
      <c r="AB211" t="s">
        <v>65</v>
      </c>
      <c r="AC211">
        <v>20.7</v>
      </c>
      <c r="AD211">
        <v>68</v>
      </c>
      <c r="AE211">
        <v>66</v>
      </c>
      <c r="AF211" t="s">
        <v>132</v>
      </c>
      <c r="AG211">
        <v>26</v>
      </c>
      <c r="AH211" t="s">
        <v>113</v>
      </c>
      <c r="AI211" t="s">
        <v>114</v>
      </c>
      <c r="AJ211" t="s">
        <v>188</v>
      </c>
      <c r="AK211" t="s">
        <v>71</v>
      </c>
      <c r="AL211" t="s">
        <v>70</v>
      </c>
      <c r="AM211" t="s">
        <v>71</v>
      </c>
      <c r="AN211" t="s">
        <v>72</v>
      </c>
      <c r="AO211" t="s">
        <v>72</v>
      </c>
      <c r="AP211" t="s">
        <v>72</v>
      </c>
      <c r="AQ211" t="s">
        <v>74</v>
      </c>
      <c r="AR211" s="1">
        <v>43706</v>
      </c>
      <c r="AS211" t="s">
        <v>198</v>
      </c>
      <c r="AT211" t="s">
        <v>71</v>
      </c>
      <c r="AU211">
        <v>-275</v>
      </c>
      <c r="AV211" t="s">
        <v>179</v>
      </c>
      <c r="AW211" s="3">
        <v>103848</v>
      </c>
      <c r="AX211" t="s">
        <v>808</v>
      </c>
      <c r="AY211" t="s">
        <v>809</v>
      </c>
      <c r="AZ211" t="s">
        <v>810</v>
      </c>
      <c r="BA211" t="s">
        <v>807</v>
      </c>
      <c r="BB211" t="s">
        <v>801</v>
      </c>
      <c r="BC211" t="s">
        <v>802</v>
      </c>
      <c r="BD211" s="3">
        <v>4.217702796394731E-2</v>
      </c>
      <c r="BE211">
        <v>447.4</v>
      </c>
      <c r="BG211" s="2">
        <f t="shared" si="14"/>
        <v>103848</v>
      </c>
      <c r="BH211" t="str" cm="1">
        <f t="array" ref="BH211">_xlfn.IFS(Q211&lt;5,"0-5 Years",Q211&lt;10,"5-10 Years",Q211&lt;15,"10-15 Years",TRUE,"15+ Years")</f>
        <v>5-10 Years</v>
      </c>
      <c r="BI211" t="str" cm="1">
        <f t="array" ref="BI211">_xlfn.IFS(AA211&gt;=540,"A",AA211&gt;=480,"B",AA211&gt;=420,"C",AA211&gt;=360,"D",TRUE,"F")</f>
        <v>D</v>
      </c>
      <c r="BJ211" t="str" cm="1">
        <f t="array" ref="BJ211">_xlfn.IFS(AU211&lt;0,"Separated",AU211&lt;=90,"High Risk",AU211&lt;=180,"Medium Risk",TRUE,"Retained")</f>
        <v>Separated</v>
      </c>
      <c r="BK211" t="str" cm="1">
        <f t="array" ref="BK211">_xlfn.IFS(V211=0,"No Combat",V211=1,"1 Tour",V211=2,"2 Tours",TRUE,"3+ Tours")</f>
        <v>1 Tour</v>
      </c>
      <c r="BL211" t="str">
        <f t="shared" si="15"/>
        <v>Standard</v>
      </c>
      <c r="BM211" t="str">
        <f t="shared" si="16"/>
        <v>Not Ready</v>
      </c>
      <c r="BN211" s="3">
        <f t="shared" si="17"/>
        <v>4.217702796394731E-2</v>
      </c>
      <c r="BO211">
        <f t="shared" si="18"/>
        <v>447.4</v>
      </c>
    </row>
    <row r="212" spans="1:67" x14ac:dyDescent="0.25">
      <c r="A212" t="s">
        <v>498</v>
      </c>
      <c r="B212" t="s">
        <v>49</v>
      </c>
      <c r="C212" t="s">
        <v>182</v>
      </c>
      <c r="D212" t="s">
        <v>51</v>
      </c>
      <c r="E212">
        <v>29</v>
      </c>
      <c r="F212" t="s">
        <v>248</v>
      </c>
      <c r="G212" t="s">
        <v>169</v>
      </c>
      <c r="H212" t="s">
        <v>170</v>
      </c>
      <c r="I212" t="s">
        <v>268</v>
      </c>
      <c r="J212" t="s">
        <v>269</v>
      </c>
      <c r="K212" t="s">
        <v>173</v>
      </c>
      <c r="L212" t="s">
        <v>174</v>
      </c>
      <c r="M212" t="s">
        <v>147</v>
      </c>
      <c r="N212" t="s">
        <v>128</v>
      </c>
      <c r="O212" t="s">
        <v>109</v>
      </c>
      <c r="P212" s="1">
        <v>43899</v>
      </c>
      <c r="Q212">
        <v>4.2</v>
      </c>
      <c r="R212" t="s">
        <v>195</v>
      </c>
      <c r="S212" t="s">
        <v>219</v>
      </c>
      <c r="T212" t="s">
        <v>220</v>
      </c>
      <c r="U212">
        <v>0</v>
      </c>
      <c r="V212">
        <v>0</v>
      </c>
      <c r="W212" s="2">
        <v>3294</v>
      </c>
      <c r="X212" s="2">
        <v>978</v>
      </c>
      <c r="Y212" s="2">
        <v>422</v>
      </c>
      <c r="Z212" s="2">
        <v>4694</v>
      </c>
      <c r="AA212">
        <v>599</v>
      </c>
      <c r="AB212" t="s">
        <v>65</v>
      </c>
      <c r="AC212">
        <v>14.2</v>
      </c>
      <c r="AD212">
        <v>40</v>
      </c>
      <c r="AE212">
        <v>68</v>
      </c>
      <c r="AF212" t="s">
        <v>66</v>
      </c>
      <c r="AG212">
        <v>37</v>
      </c>
      <c r="AH212" t="s">
        <v>94</v>
      </c>
      <c r="AI212" t="s">
        <v>68</v>
      </c>
      <c r="AJ212" t="s">
        <v>69</v>
      </c>
      <c r="AK212" t="s">
        <v>70</v>
      </c>
      <c r="AL212" t="s">
        <v>71</v>
      </c>
      <c r="AM212" t="s">
        <v>70</v>
      </c>
      <c r="AN212" t="s">
        <v>270</v>
      </c>
      <c r="AO212" t="s">
        <v>221</v>
      </c>
      <c r="AP212" t="s">
        <v>72</v>
      </c>
      <c r="AQ212" t="s">
        <v>74</v>
      </c>
      <c r="AR212" s="1">
        <v>44272</v>
      </c>
      <c r="AS212" t="s">
        <v>198</v>
      </c>
      <c r="AT212" t="s">
        <v>71</v>
      </c>
      <c r="AU212">
        <v>1319</v>
      </c>
      <c r="AV212" t="s">
        <v>76</v>
      </c>
      <c r="AW212" s="3">
        <v>56328</v>
      </c>
      <c r="AX212" t="s">
        <v>803</v>
      </c>
      <c r="AY212" t="s">
        <v>799</v>
      </c>
      <c r="AZ212" t="s">
        <v>76</v>
      </c>
      <c r="BA212" t="s">
        <v>800</v>
      </c>
      <c r="BB212" t="s">
        <v>814</v>
      </c>
      <c r="BC212" t="s">
        <v>812</v>
      </c>
      <c r="BD212" s="3">
        <v>0.12760971452918621</v>
      </c>
      <c r="BE212">
        <v>683.4</v>
      </c>
      <c r="BG212" s="2">
        <f t="shared" si="14"/>
        <v>56328</v>
      </c>
      <c r="BH212" t="str" cm="1">
        <f t="array" ref="BH212">_xlfn.IFS(Q212&lt;5,"0-5 Years",Q212&lt;10,"5-10 Years",Q212&lt;15,"10-15 Years",TRUE,"15+ Years")</f>
        <v>0-5 Years</v>
      </c>
      <c r="BI212" t="str" cm="1">
        <f t="array" ref="BI212">_xlfn.IFS(AA212&gt;=540,"A",AA212&gt;=480,"B",AA212&gt;=420,"C",AA212&gt;=360,"D",TRUE,"F")</f>
        <v>A</v>
      </c>
      <c r="BJ212" t="str" cm="1">
        <f t="array" ref="BJ212">_xlfn.IFS(AU212&lt;0,"Separated",AU212&lt;=90,"High Risk",AU212&lt;=180,"Medium Risk",TRUE,"Retained")</f>
        <v>Retained</v>
      </c>
      <c r="BK212" t="str" cm="1">
        <f t="array" ref="BK212">_xlfn.IFS(V212=0,"No Combat",V212=1,"1 Tour",V212=2,"2 Tours",TRUE,"3+ Tours")</f>
        <v>No Combat</v>
      </c>
      <c r="BL212" t="str">
        <f t="shared" si="15"/>
        <v>High Performer</v>
      </c>
      <c r="BM212" t="str">
        <f t="shared" si="16"/>
        <v>Promotion Ready</v>
      </c>
      <c r="BN212" s="3">
        <f t="shared" si="17"/>
        <v>0.12760971452918621</v>
      </c>
      <c r="BO212">
        <f t="shared" si="18"/>
        <v>683.4</v>
      </c>
    </row>
    <row r="213" spans="1:67" x14ac:dyDescent="0.25">
      <c r="A213" t="s">
        <v>499</v>
      </c>
      <c r="B213" t="s">
        <v>229</v>
      </c>
      <c r="C213" t="s">
        <v>394</v>
      </c>
      <c r="D213" t="s">
        <v>122</v>
      </c>
      <c r="E213">
        <v>32</v>
      </c>
      <c r="F213" t="s">
        <v>241</v>
      </c>
      <c r="G213" t="s">
        <v>142</v>
      </c>
      <c r="H213" t="s">
        <v>143</v>
      </c>
      <c r="I213" t="s">
        <v>273</v>
      </c>
      <c r="J213" t="s">
        <v>274</v>
      </c>
      <c r="K213" t="s">
        <v>57</v>
      </c>
      <c r="L213" t="s">
        <v>106</v>
      </c>
      <c r="M213" t="s">
        <v>212</v>
      </c>
      <c r="N213" t="s">
        <v>265</v>
      </c>
      <c r="O213" t="s">
        <v>109</v>
      </c>
      <c r="P213" s="1">
        <v>39496</v>
      </c>
      <c r="Q213">
        <v>16.3</v>
      </c>
      <c r="R213" t="s">
        <v>75</v>
      </c>
      <c r="S213" t="s">
        <v>196</v>
      </c>
      <c r="T213" t="s">
        <v>197</v>
      </c>
      <c r="U213">
        <v>0</v>
      </c>
      <c r="V213">
        <v>0</v>
      </c>
      <c r="W213" s="2">
        <v>5473</v>
      </c>
      <c r="X213" s="2">
        <v>0</v>
      </c>
      <c r="Y213" s="2">
        <v>422</v>
      </c>
      <c r="Z213" s="2">
        <v>5895</v>
      </c>
      <c r="AA213">
        <v>558</v>
      </c>
      <c r="AB213" t="s">
        <v>65</v>
      </c>
      <c r="AC213">
        <v>13.7</v>
      </c>
      <c r="AD213">
        <v>39</v>
      </c>
      <c r="AE213">
        <v>60</v>
      </c>
      <c r="AF213" t="s">
        <v>112</v>
      </c>
      <c r="AG213">
        <v>18</v>
      </c>
      <c r="AH213" t="s">
        <v>113</v>
      </c>
      <c r="AI213" t="s">
        <v>114</v>
      </c>
      <c r="AJ213" t="s">
        <v>96</v>
      </c>
      <c r="AK213" t="s">
        <v>70</v>
      </c>
      <c r="AL213" t="s">
        <v>71</v>
      </c>
      <c r="AM213" t="s">
        <v>70</v>
      </c>
      <c r="AN213" t="s">
        <v>72</v>
      </c>
      <c r="AO213" t="s">
        <v>116</v>
      </c>
      <c r="AP213" t="s">
        <v>97</v>
      </c>
      <c r="AQ213" t="s">
        <v>136</v>
      </c>
      <c r="AR213" s="1">
        <v>42575</v>
      </c>
      <c r="AS213" t="s">
        <v>118</v>
      </c>
      <c r="AT213" t="s">
        <v>71</v>
      </c>
      <c r="AU213">
        <v>685</v>
      </c>
      <c r="AV213" t="s">
        <v>76</v>
      </c>
      <c r="AW213" s="3">
        <v>70740</v>
      </c>
      <c r="AX213" t="s">
        <v>798</v>
      </c>
      <c r="AY213" t="s">
        <v>799</v>
      </c>
      <c r="AZ213" t="s">
        <v>76</v>
      </c>
      <c r="BA213" t="s">
        <v>800</v>
      </c>
      <c r="BB213" t="s">
        <v>801</v>
      </c>
      <c r="BC213" t="s">
        <v>802</v>
      </c>
      <c r="BD213" s="3">
        <v>9.465648854961832E-2</v>
      </c>
      <c r="BE213">
        <v>604.4</v>
      </c>
      <c r="BG213" s="2">
        <f t="shared" si="14"/>
        <v>70740</v>
      </c>
      <c r="BH213" t="str" cm="1">
        <f t="array" ref="BH213">_xlfn.IFS(Q213&lt;5,"0-5 Years",Q213&lt;10,"5-10 Years",Q213&lt;15,"10-15 Years",TRUE,"15+ Years")</f>
        <v>15+ Years</v>
      </c>
      <c r="BI213" t="str" cm="1">
        <f t="array" ref="BI213">_xlfn.IFS(AA213&gt;=540,"A",AA213&gt;=480,"B",AA213&gt;=420,"C",AA213&gt;=360,"D",TRUE,"F")</f>
        <v>A</v>
      </c>
      <c r="BJ213" t="str" cm="1">
        <f t="array" ref="BJ213">_xlfn.IFS(AU213&lt;0,"Separated",AU213&lt;=90,"High Risk",AU213&lt;=180,"Medium Risk",TRUE,"Retained")</f>
        <v>Retained</v>
      </c>
      <c r="BK213" t="str" cm="1">
        <f t="array" ref="BK213">_xlfn.IFS(V213=0,"No Combat",V213=1,"1 Tour",V213=2,"2 Tours",TRUE,"3+ Tours")</f>
        <v>No Combat</v>
      </c>
      <c r="BL213" t="str">
        <f t="shared" si="15"/>
        <v>Standard</v>
      </c>
      <c r="BM213" t="str">
        <f t="shared" si="16"/>
        <v>Not Ready</v>
      </c>
      <c r="BN213" s="3">
        <f t="shared" si="17"/>
        <v>9.465648854961832E-2</v>
      </c>
      <c r="BO213">
        <f t="shared" si="18"/>
        <v>604.4</v>
      </c>
    </row>
    <row r="214" spans="1:67" x14ac:dyDescent="0.25">
      <c r="A214" t="s">
        <v>500</v>
      </c>
      <c r="B214" t="s">
        <v>154</v>
      </c>
      <c r="C214" t="s">
        <v>501</v>
      </c>
      <c r="D214" t="s">
        <v>122</v>
      </c>
      <c r="E214">
        <v>33</v>
      </c>
      <c r="F214" t="s">
        <v>325</v>
      </c>
      <c r="G214" t="s">
        <v>142</v>
      </c>
      <c r="H214" t="s">
        <v>143</v>
      </c>
      <c r="I214" t="s">
        <v>185</v>
      </c>
      <c r="J214" t="s">
        <v>186</v>
      </c>
      <c r="K214" t="s">
        <v>187</v>
      </c>
      <c r="L214" t="s">
        <v>201</v>
      </c>
      <c r="M214" t="s">
        <v>59</v>
      </c>
      <c r="N214" t="s">
        <v>162</v>
      </c>
      <c r="O214" t="s">
        <v>149</v>
      </c>
      <c r="P214" s="1">
        <v>38572</v>
      </c>
      <c r="Q214">
        <v>18.8</v>
      </c>
      <c r="R214" t="s">
        <v>75</v>
      </c>
      <c r="S214" t="s">
        <v>196</v>
      </c>
      <c r="T214" t="s">
        <v>197</v>
      </c>
      <c r="U214">
        <v>0</v>
      </c>
      <c r="V214">
        <v>0</v>
      </c>
      <c r="W214" s="2">
        <v>5473</v>
      </c>
      <c r="X214" s="2">
        <v>0</v>
      </c>
      <c r="Y214" s="2">
        <v>422</v>
      </c>
      <c r="Z214" s="2">
        <v>5895</v>
      </c>
      <c r="AA214">
        <v>531</v>
      </c>
      <c r="AB214" t="s">
        <v>65</v>
      </c>
      <c r="AC214">
        <v>14.7</v>
      </c>
      <c r="AD214">
        <v>81</v>
      </c>
      <c r="AE214">
        <v>70</v>
      </c>
      <c r="AF214" t="s">
        <v>66</v>
      </c>
      <c r="AG214">
        <v>36</v>
      </c>
      <c r="AH214" t="s">
        <v>94</v>
      </c>
      <c r="AI214" t="s">
        <v>152</v>
      </c>
      <c r="AJ214" t="s">
        <v>188</v>
      </c>
      <c r="AK214" t="s">
        <v>71</v>
      </c>
      <c r="AL214" t="s">
        <v>71</v>
      </c>
      <c r="AM214" t="s">
        <v>70</v>
      </c>
      <c r="AN214" t="s">
        <v>115</v>
      </c>
      <c r="AO214" t="s">
        <v>72</v>
      </c>
      <c r="AP214" t="s">
        <v>227</v>
      </c>
      <c r="AQ214" t="s">
        <v>98</v>
      </c>
      <c r="AR214" s="1">
        <v>41925</v>
      </c>
      <c r="AS214" t="s">
        <v>75</v>
      </c>
      <c r="AT214" t="s">
        <v>71</v>
      </c>
      <c r="AU214">
        <v>556</v>
      </c>
      <c r="AV214" t="s">
        <v>76</v>
      </c>
      <c r="AW214" s="3">
        <v>70740</v>
      </c>
      <c r="AX214" t="s">
        <v>798</v>
      </c>
      <c r="AY214" t="s">
        <v>806</v>
      </c>
      <c r="AZ214" t="s">
        <v>76</v>
      </c>
      <c r="BA214" t="s">
        <v>800</v>
      </c>
      <c r="BB214" t="s">
        <v>801</v>
      </c>
      <c r="BC214" t="s">
        <v>802</v>
      </c>
      <c r="BD214" s="3">
        <v>9.0076335877862596E-2</v>
      </c>
      <c r="BE214">
        <v>623.4</v>
      </c>
      <c r="BG214" s="2">
        <f t="shared" si="14"/>
        <v>70740</v>
      </c>
      <c r="BH214" t="str" cm="1">
        <f t="array" ref="BH214">_xlfn.IFS(Q214&lt;5,"0-5 Years",Q214&lt;10,"5-10 Years",Q214&lt;15,"10-15 Years",TRUE,"15+ Years")</f>
        <v>15+ Years</v>
      </c>
      <c r="BI214" t="str" cm="1">
        <f t="array" ref="BI214">_xlfn.IFS(AA214&gt;=540,"A",AA214&gt;=480,"B",AA214&gt;=420,"C",AA214&gt;=360,"D",TRUE,"F")</f>
        <v>B</v>
      </c>
      <c r="BJ214" t="str" cm="1">
        <f t="array" ref="BJ214">_xlfn.IFS(AU214&lt;0,"Separated",AU214&lt;=90,"High Risk",AU214&lt;=180,"Medium Risk",TRUE,"Retained")</f>
        <v>Retained</v>
      </c>
      <c r="BK214" t="str" cm="1">
        <f t="array" ref="BK214">_xlfn.IFS(V214=0,"No Combat",V214=1,"1 Tour",V214=2,"2 Tours",TRUE,"3+ Tours")</f>
        <v>No Combat</v>
      </c>
      <c r="BL214" t="str">
        <f t="shared" si="15"/>
        <v>Standard</v>
      </c>
      <c r="BM214" t="str">
        <f t="shared" si="16"/>
        <v>Not Ready</v>
      </c>
      <c r="BN214" s="3">
        <f t="shared" si="17"/>
        <v>9.0076335877862596E-2</v>
      </c>
      <c r="BO214">
        <f t="shared" si="18"/>
        <v>623.4</v>
      </c>
    </row>
    <row r="215" spans="1:67" x14ac:dyDescent="0.25">
      <c r="A215" t="s">
        <v>502</v>
      </c>
      <c r="B215" t="s">
        <v>277</v>
      </c>
      <c r="C215" t="s">
        <v>396</v>
      </c>
      <c r="D215" t="s">
        <v>122</v>
      </c>
      <c r="E215">
        <v>34</v>
      </c>
      <c r="F215" t="s">
        <v>325</v>
      </c>
      <c r="G215" t="s">
        <v>301</v>
      </c>
      <c r="H215" t="s">
        <v>302</v>
      </c>
      <c r="I215" t="s">
        <v>103</v>
      </c>
      <c r="J215" t="s">
        <v>104</v>
      </c>
      <c r="K215" t="s">
        <v>105</v>
      </c>
      <c r="L215" t="s">
        <v>106</v>
      </c>
      <c r="M215" t="s">
        <v>87</v>
      </c>
      <c r="N215" t="s">
        <v>60</v>
      </c>
      <c r="O215" t="s">
        <v>176</v>
      </c>
      <c r="P215" s="1">
        <v>39687</v>
      </c>
      <c r="Q215">
        <v>15.8</v>
      </c>
      <c r="R215" t="s">
        <v>129</v>
      </c>
      <c r="S215" t="s">
        <v>63</v>
      </c>
      <c r="T215" t="s">
        <v>64</v>
      </c>
      <c r="U215">
        <v>0</v>
      </c>
      <c r="V215">
        <v>0</v>
      </c>
      <c r="W215" s="2">
        <v>4188</v>
      </c>
      <c r="X215" s="2">
        <v>0</v>
      </c>
      <c r="Y215" s="2">
        <v>266</v>
      </c>
      <c r="Z215" s="2">
        <v>4454</v>
      </c>
      <c r="AA215">
        <v>359</v>
      </c>
      <c r="AB215" t="s">
        <v>151</v>
      </c>
      <c r="AC215">
        <v>15.2</v>
      </c>
      <c r="AD215">
        <v>76</v>
      </c>
      <c r="AE215">
        <v>74</v>
      </c>
      <c r="AF215" t="s">
        <v>112</v>
      </c>
      <c r="AG215">
        <v>21</v>
      </c>
      <c r="AH215" t="s">
        <v>113</v>
      </c>
      <c r="AI215" t="s">
        <v>152</v>
      </c>
      <c r="AJ215" t="s">
        <v>96</v>
      </c>
      <c r="AK215" t="s">
        <v>71</v>
      </c>
      <c r="AL215" t="s">
        <v>70</v>
      </c>
      <c r="AM215" t="s">
        <v>70</v>
      </c>
      <c r="AN215" t="s">
        <v>202</v>
      </c>
      <c r="AO215" t="s">
        <v>135</v>
      </c>
      <c r="AP215" t="s">
        <v>72</v>
      </c>
      <c r="AQ215" t="s">
        <v>74</v>
      </c>
      <c r="AR215" s="1">
        <v>40222</v>
      </c>
      <c r="AS215" t="s">
        <v>118</v>
      </c>
      <c r="AT215" t="s">
        <v>71</v>
      </c>
      <c r="AU215">
        <v>184</v>
      </c>
      <c r="AV215" t="s">
        <v>76</v>
      </c>
      <c r="AW215" s="3">
        <v>53448</v>
      </c>
      <c r="AX215" t="s">
        <v>798</v>
      </c>
      <c r="AY215" t="s">
        <v>122</v>
      </c>
      <c r="AZ215" t="s">
        <v>76</v>
      </c>
      <c r="BA215" t="s">
        <v>800</v>
      </c>
      <c r="BB215" t="s">
        <v>801</v>
      </c>
      <c r="BC215" t="s">
        <v>802</v>
      </c>
      <c r="BD215" s="3">
        <v>8.0601706331387524E-2</v>
      </c>
      <c r="BE215">
        <v>411.4</v>
      </c>
      <c r="BG215" s="2">
        <f t="shared" si="14"/>
        <v>53448</v>
      </c>
      <c r="BH215" t="str" cm="1">
        <f t="array" ref="BH215">_xlfn.IFS(Q215&lt;5,"0-5 Years",Q215&lt;10,"5-10 Years",Q215&lt;15,"10-15 Years",TRUE,"15+ Years")</f>
        <v>15+ Years</v>
      </c>
      <c r="BI215" t="str" cm="1">
        <f t="array" ref="BI215">_xlfn.IFS(AA215&gt;=540,"A",AA215&gt;=480,"B",AA215&gt;=420,"C",AA215&gt;=360,"D",TRUE,"F")</f>
        <v>F</v>
      </c>
      <c r="BJ215" t="str" cm="1">
        <f t="array" ref="BJ215">_xlfn.IFS(AU215&lt;0,"Separated",AU215&lt;=90,"High Risk",AU215&lt;=180,"Medium Risk",TRUE,"Retained")</f>
        <v>Retained</v>
      </c>
      <c r="BK215" t="str" cm="1">
        <f t="array" ref="BK215">_xlfn.IFS(V215=0,"No Combat",V215=1,"1 Tour",V215=2,"2 Tours",TRUE,"3+ Tours")</f>
        <v>No Combat</v>
      </c>
      <c r="BL215" t="str">
        <f t="shared" si="15"/>
        <v>Standard</v>
      </c>
      <c r="BM215" t="str">
        <f t="shared" si="16"/>
        <v>Not Ready</v>
      </c>
      <c r="BN215" s="3">
        <f t="shared" si="17"/>
        <v>8.0601706331387524E-2</v>
      </c>
      <c r="BO215">
        <f t="shared" si="18"/>
        <v>411.4</v>
      </c>
    </row>
    <row r="216" spans="1:67" x14ac:dyDescent="0.25">
      <c r="A216" t="s">
        <v>503</v>
      </c>
      <c r="B216" t="s">
        <v>210</v>
      </c>
      <c r="C216" t="s">
        <v>360</v>
      </c>
      <c r="D216" t="s">
        <v>51</v>
      </c>
      <c r="E216">
        <v>25</v>
      </c>
      <c r="F216" t="s">
        <v>211</v>
      </c>
      <c r="G216" t="s">
        <v>142</v>
      </c>
      <c r="H216" t="s">
        <v>143</v>
      </c>
      <c r="I216" t="s">
        <v>217</v>
      </c>
      <c r="J216" t="s">
        <v>218</v>
      </c>
      <c r="K216" t="s">
        <v>146</v>
      </c>
      <c r="L216" t="s">
        <v>106</v>
      </c>
      <c r="M216" t="s">
        <v>59</v>
      </c>
      <c r="N216" t="s">
        <v>265</v>
      </c>
      <c r="O216" t="s">
        <v>176</v>
      </c>
      <c r="P216" s="1">
        <v>39138</v>
      </c>
      <c r="Q216">
        <v>17.3</v>
      </c>
      <c r="R216" t="s">
        <v>62</v>
      </c>
      <c r="S216" t="s">
        <v>63</v>
      </c>
      <c r="T216" t="s">
        <v>64</v>
      </c>
      <c r="U216">
        <v>0</v>
      </c>
      <c r="V216">
        <v>0</v>
      </c>
      <c r="W216" s="2">
        <v>5473</v>
      </c>
      <c r="X216" s="2">
        <v>1987</v>
      </c>
      <c r="Y216" s="2">
        <v>422</v>
      </c>
      <c r="Z216" s="2">
        <v>7882</v>
      </c>
      <c r="AA216">
        <v>555</v>
      </c>
      <c r="AB216" t="s">
        <v>65</v>
      </c>
      <c r="AC216">
        <v>19.5</v>
      </c>
      <c r="AD216">
        <v>20</v>
      </c>
      <c r="AE216">
        <v>38</v>
      </c>
      <c r="AF216" t="s">
        <v>112</v>
      </c>
      <c r="AG216">
        <v>27</v>
      </c>
      <c r="AH216" t="s">
        <v>113</v>
      </c>
      <c r="AI216" t="s">
        <v>152</v>
      </c>
      <c r="AJ216" t="s">
        <v>72</v>
      </c>
      <c r="AK216" t="s">
        <v>70</v>
      </c>
      <c r="AL216" t="s">
        <v>71</v>
      </c>
      <c r="AM216" t="s">
        <v>70</v>
      </c>
      <c r="AN216" t="s">
        <v>270</v>
      </c>
      <c r="AO216" t="s">
        <v>72</v>
      </c>
      <c r="AP216" t="s">
        <v>72</v>
      </c>
      <c r="AQ216" t="s">
        <v>117</v>
      </c>
      <c r="AR216" s="1">
        <v>40037</v>
      </c>
      <c r="AS216" t="s">
        <v>137</v>
      </c>
      <c r="AT216" t="s">
        <v>71</v>
      </c>
      <c r="AU216">
        <v>37</v>
      </c>
      <c r="AV216" t="s">
        <v>179</v>
      </c>
      <c r="AW216" s="3">
        <v>94584</v>
      </c>
      <c r="AX216" t="s">
        <v>798</v>
      </c>
      <c r="AY216" t="s">
        <v>799</v>
      </c>
      <c r="AZ216" t="s">
        <v>813</v>
      </c>
      <c r="BA216" t="s">
        <v>800</v>
      </c>
      <c r="BB216" t="s">
        <v>801</v>
      </c>
      <c r="BC216" t="s">
        <v>802</v>
      </c>
      <c r="BD216" s="3">
        <v>7.0413600608982496E-2</v>
      </c>
      <c r="BE216">
        <v>619.4</v>
      </c>
      <c r="BG216" s="2">
        <f t="shared" si="14"/>
        <v>94584</v>
      </c>
      <c r="BH216" t="str" cm="1">
        <f t="array" ref="BH216">_xlfn.IFS(Q216&lt;5,"0-5 Years",Q216&lt;10,"5-10 Years",Q216&lt;15,"10-15 Years",TRUE,"15+ Years")</f>
        <v>15+ Years</v>
      </c>
      <c r="BI216" t="str" cm="1">
        <f t="array" ref="BI216">_xlfn.IFS(AA216&gt;=540,"A",AA216&gt;=480,"B",AA216&gt;=420,"C",AA216&gt;=360,"D",TRUE,"F")</f>
        <v>A</v>
      </c>
      <c r="BJ216" t="str" cm="1">
        <f t="array" ref="BJ216">_xlfn.IFS(AU216&lt;0,"Separated",AU216&lt;=90,"High Risk",AU216&lt;=180,"Medium Risk",TRUE,"Retained")</f>
        <v>High Risk</v>
      </c>
      <c r="BK216" t="str" cm="1">
        <f t="array" ref="BK216">_xlfn.IFS(V216=0,"No Combat",V216=1,"1 Tour",V216=2,"2 Tours",TRUE,"3+ Tours")</f>
        <v>No Combat</v>
      </c>
      <c r="BL216" t="str">
        <f t="shared" si="15"/>
        <v>Standard</v>
      </c>
      <c r="BM216" t="str">
        <f t="shared" si="16"/>
        <v>Not Ready</v>
      </c>
      <c r="BN216" s="3">
        <f t="shared" si="17"/>
        <v>7.0413600608982496E-2</v>
      </c>
      <c r="BO216">
        <f t="shared" si="18"/>
        <v>619.4</v>
      </c>
    </row>
    <row r="217" spans="1:67" x14ac:dyDescent="0.25">
      <c r="A217" t="s">
        <v>504</v>
      </c>
      <c r="B217" t="s">
        <v>282</v>
      </c>
      <c r="C217" t="s">
        <v>167</v>
      </c>
      <c r="D217" t="s">
        <v>51</v>
      </c>
      <c r="E217">
        <v>31</v>
      </c>
      <c r="F217" t="s">
        <v>311</v>
      </c>
      <c r="G217" t="s">
        <v>142</v>
      </c>
      <c r="H217" t="s">
        <v>143</v>
      </c>
      <c r="I217" t="s">
        <v>260</v>
      </c>
      <c r="J217" t="s">
        <v>261</v>
      </c>
      <c r="K217" t="s">
        <v>173</v>
      </c>
      <c r="L217" t="s">
        <v>86</v>
      </c>
      <c r="M217" t="s">
        <v>275</v>
      </c>
      <c r="N217" t="s">
        <v>128</v>
      </c>
      <c r="O217" t="s">
        <v>109</v>
      </c>
      <c r="P217" s="1">
        <v>43248</v>
      </c>
      <c r="Q217">
        <v>6</v>
      </c>
      <c r="R217" t="s">
        <v>195</v>
      </c>
      <c r="S217" t="s">
        <v>63</v>
      </c>
      <c r="T217" t="s">
        <v>64</v>
      </c>
      <c r="U217">
        <v>0</v>
      </c>
      <c r="V217">
        <v>0</v>
      </c>
      <c r="W217" s="2">
        <v>5473</v>
      </c>
      <c r="X217" s="2">
        <v>0</v>
      </c>
      <c r="Y217" s="2">
        <v>422</v>
      </c>
      <c r="Z217" s="2">
        <v>5895</v>
      </c>
      <c r="AA217">
        <v>350</v>
      </c>
      <c r="AB217" t="s">
        <v>151</v>
      </c>
      <c r="AC217">
        <v>18.5</v>
      </c>
      <c r="AD217">
        <v>21</v>
      </c>
      <c r="AE217">
        <v>77</v>
      </c>
      <c r="AF217" t="s">
        <v>93</v>
      </c>
      <c r="AG217">
        <v>20</v>
      </c>
      <c r="AH217" t="s">
        <v>113</v>
      </c>
      <c r="AI217" t="s">
        <v>177</v>
      </c>
      <c r="AJ217" t="s">
        <v>188</v>
      </c>
      <c r="AK217" t="s">
        <v>70</v>
      </c>
      <c r="AL217" t="s">
        <v>71</v>
      </c>
      <c r="AM217" t="s">
        <v>71</v>
      </c>
      <c r="AN217" t="s">
        <v>231</v>
      </c>
      <c r="AO217" t="s">
        <v>72</v>
      </c>
      <c r="AP217" t="s">
        <v>72</v>
      </c>
      <c r="AQ217" t="s">
        <v>98</v>
      </c>
      <c r="AR217" s="1">
        <v>43275</v>
      </c>
      <c r="AS217" t="s">
        <v>137</v>
      </c>
      <c r="AT217" t="s">
        <v>71</v>
      </c>
      <c r="AU217">
        <v>304</v>
      </c>
      <c r="AV217" t="s">
        <v>76</v>
      </c>
      <c r="AW217" s="3">
        <v>70740</v>
      </c>
      <c r="AX217" t="s">
        <v>808</v>
      </c>
      <c r="AY217" t="s">
        <v>122</v>
      </c>
      <c r="AZ217" t="s">
        <v>76</v>
      </c>
      <c r="BA217" t="s">
        <v>800</v>
      </c>
      <c r="BB217" t="s">
        <v>801</v>
      </c>
      <c r="BC217" t="s">
        <v>802</v>
      </c>
      <c r="BD217" s="3">
        <v>5.937234944868533E-2</v>
      </c>
      <c r="BE217">
        <v>420.4</v>
      </c>
      <c r="BG217" s="2">
        <f t="shared" si="14"/>
        <v>70740</v>
      </c>
      <c r="BH217" t="str" cm="1">
        <f t="array" ref="BH217">_xlfn.IFS(Q217&lt;5,"0-5 Years",Q217&lt;10,"5-10 Years",Q217&lt;15,"10-15 Years",TRUE,"15+ Years")</f>
        <v>5-10 Years</v>
      </c>
      <c r="BI217" t="str" cm="1">
        <f t="array" ref="BI217">_xlfn.IFS(AA217&gt;=540,"A",AA217&gt;=480,"B",AA217&gt;=420,"C",AA217&gt;=360,"D",TRUE,"F")</f>
        <v>F</v>
      </c>
      <c r="BJ217" t="str" cm="1">
        <f t="array" ref="BJ217">_xlfn.IFS(AU217&lt;0,"Separated",AU217&lt;=90,"High Risk",AU217&lt;=180,"Medium Risk",TRUE,"Retained")</f>
        <v>Retained</v>
      </c>
      <c r="BK217" t="str" cm="1">
        <f t="array" ref="BK217">_xlfn.IFS(V217=0,"No Combat",V217=1,"1 Tour",V217=2,"2 Tours",TRUE,"3+ Tours")</f>
        <v>No Combat</v>
      </c>
      <c r="BL217" t="str">
        <f t="shared" si="15"/>
        <v>Standard</v>
      </c>
      <c r="BM217" t="str">
        <f t="shared" si="16"/>
        <v>Not Ready</v>
      </c>
      <c r="BN217" s="3">
        <f t="shared" si="17"/>
        <v>5.937234944868533E-2</v>
      </c>
      <c r="BO217">
        <f t="shared" si="18"/>
        <v>420.4</v>
      </c>
    </row>
    <row r="218" spans="1:67" x14ac:dyDescent="0.25">
      <c r="A218" t="s">
        <v>505</v>
      </c>
      <c r="B218" t="s">
        <v>210</v>
      </c>
      <c r="C218" t="s">
        <v>191</v>
      </c>
      <c r="D218" t="s">
        <v>51</v>
      </c>
      <c r="E218">
        <v>45</v>
      </c>
      <c r="F218" t="s">
        <v>283</v>
      </c>
      <c r="G218" t="s">
        <v>298</v>
      </c>
      <c r="H218" t="s">
        <v>299</v>
      </c>
      <c r="I218" t="s">
        <v>185</v>
      </c>
      <c r="J218" t="s">
        <v>186</v>
      </c>
      <c r="K218" t="s">
        <v>187</v>
      </c>
      <c r="L218" t="s">
        <v>174</v>
      </c>
      <c r="M218" t="s">
        <v>207</v>
      </c>
      <c r="N218" t="s">
        <v>60</v>
      </c>
      <c r="O218" t="s">
        <v>89</v>
      </c>
      <c r="P218" s="1">
        <v>40824</v>
      </c>
      <c r="Q218">
        <v>12.6</v>
      </c>
      <c r="R218" t="s">
        <v>62</v>
      </c>
      <c r="S218" t="s">
        <v>219</v>
      </c>
      <c r="T218" t="s">
        <v>220</v>
      </c>
      <c r="U218">
        <v>0</v>
      </c>
      <c r="V218">
        <v>0</v>
      </c>
      <c r="W218" s="2">
        <v>2149</v>
      </c>
      <c r="X218" s="2">
        <v>0</v>
      </c>
      <c r="Y218" s="2">
        <v>422</v>
      </c>
      <c r="Z218" s="2">
        <v>2571</v>
      </c>
      <c r="AA218">
        <v>395</v>
      </c>
      <c r="AB218" t="s">
        <v>65</v>
      </c>
      <c r="AC218">
        <v>19.2</v>
      </c>
      <c r="AD218">
        <v>78</v>
      </c>
      <c r="AE218">
        <v>68</v>
      </c>
      <c r="AF218" t="s">
        <v>93</v>
      </c>
      <c r="AG218">
        <v>21</v>
      </c>
      <c r="AH218" t="s">
        <v>113</v>
      </c>
      <c r="AI218" t="s">
        <v>152</v>
      </c>
      <c r="AJ218" t="s">
        <v>96</v>
      </c>
      <c r="AK218" t="s">
        <v>70</v>
      </c>
      <c r="AL218" t="s">
        <v>70</v>
      </c>
      <c r="AM218" t="s">
        <v>70</v>
      </c>
      <c r="AN218" t="s">
        <v>270</v>
      </c>
      <c r="AO218" t="s">
        <v>72</v>
      </c>
      <c r="AP218" t="s">
        <v>72</v>
      </c>
      <c r="AQ218" t="s">
        <v>136</v>
      </c>
      <c r="AR218" s="1">
        <v>41355</v>
      </c>
      <c r="AS218" t="s">
        <v>118</v>
      </c>
      <c r="AT218" t="s">
        <v>71</v>
      </c>
      <c r="AU218">
        <v>-443</v>
      </c>
      <c r="AV218" t="s">
        <v>179</v>
      </c>
      <c r="AW218" s="3">
        <v>30852</v>
      </c>
      <c r="AX218" t="s">
        <v>805</v>
      </c>
      <c r="AY218" t="s">
        <v>809</v>
      </c>
      <c r="AZ218" t="s">
        <v>810</v>
      </c>
      <c r="BA218" t="s">
        <v>800</v>
      </c>
      <c r="BB218" t="s">
        <v>801</v>
      </c>
      <c r="BC218" t="s">
        <v>802</v>
      </c>
      <c r="BD218" s="3">
        <v>0.15363671723064956</v>
      </c>
      <c r="BE218">
        <v>437.4</v>
      </c>
      <c r="BG218" s="2">
        <f t="shared" si="14"/>
        <v>30852</v>
      </c>
      <c r="BH218" t="str" cm="1">
        <f t="array" ref="BH218">_xlfn.IFS(Q218&lt;5,"0-5 Years",Q218&lt;10,"5-10 Years",Q218&lt;15,"10-15 Years",TRUE,"15+ Years")</f>
        <v>10-15 Years</v>
      </c>
      <c r="BI218" t="str" cm="1">
        <f t="array" ref="BI218">_xlfn.IFS(AA218&gt;=540,"A",AA218&gt;=480,"B",AA218&gt;=420,"C",AA218&gt;=360,"D",TRUE,"F")</f>
        <v>D</v>
      </c>
      <c r="BJ218" t="str" cm="1">
        <f t="array" ref="BJ218">_xlfn.IFS(AU218&lt;0,"Separated",AU218&lt;=90,"High Risk",AU218&lt;=180,"Medium Risk",TRUE,"Retained")</f>
        <v>Separated</v>
      </c>
      <c r="BK218" t="str" cm="1">
        <f t="array" ref="BK218">_xlfn.IFS(V218=0,"No Combat",V218=1,"1 Tour",V218=2,"2 Tours",TRUE,"3+ Tours")</f>
        <v>No Combat</v>
      </c>
      <c r="BL218" t="str">
        <f t="shared" si="15"/>
        <v>Standard</v>
      </c>
      <c r="BM218" t="str">
        <f t="shared" si="16"/>
        <v>Not Ready</v>
      </c>
      <c r="BN218" s="3">
        <f t="shared" si="17"/>
        <v>0.15363671723064956</v>
      </c>
      <c r="BO218">
        <f t="shared" si="18"/>
        <v>437.4</v>
      </c>
    </row>
    <row r="219" spans="1:67" x14ac:dyDescent="0.25">
      <c r="A219" t="s">
        <v>506</v>
      </c>
      <c r="B219" t="s">
        <v>154</v>
      </c>
      <c r="C219" t="s">
        <v>155</v>
      </c>
      <c r="D219" t="s">
        <v>51</v>
      </c>
      <c r="E219">
        <v>21</v>
      </c>
      <c r="F219" t="s">
        <v>283</v>
      </c>
      <c r="G219" t="s">
        <v>101</v>
      </c>
      <c r="H219" t="s">
        <v>102</v>
      </c>
      <c r="I219" t="s">
        <v>236</v>
      </c>
      <c r="J219" t="s">
        <v>237</v>
      </c>
      <c r="K219" t="s">
        <v>238</v>
      </c>
      <c r="L219" t="s">
        <v>201</v>
      </c>
      <c r="M219" t="s">
        <v>296</v>
      </c>
      <c r="N219" t="s">
        <v>265</v>
      </c>
      <c r="O219" t="s">
        <v>89</v>
      </c>
      <c r="P219" s="1">
        <v>40106</v>
      </c>
      <c r="Q219">
        <v>14.6</v>
      </c>
      <c r="R219" t="s">
        <v>75</v>
      </c>
      <c r="S219" t="s">
        <v>63</v>
      </c>
      <c r="T219" t="s">
        <v>64</v>
      </c>
      <c r="U219">
        <v>0</v>
      </c>
      <c r="V219">
        <v>0</v>
      </c>
      <c r="W219" s="2">
        <v>2980</v>
      </c>
      <c r="X219" s="2">
        <v>1772</v>
      </c>
      <c r="Y219" s="2">
        <v>422</v>
      </c>
      <c r="Z219" s="2">
        <v>5174</v>
      </c>
      <c r="AA219">
        <v>344</v>
      </c>
      <c r="AB219" t="s">
        <v>151</v>
      </c>
      <c r="AC219">
        <v>18.399999999999999</v>
      </c>
      <c r="AD219">
        <v>31</v>
      </c>
      <c r="AE219">
        <v>58</v>
      </c>
      <c r="AF219" t="s">
        <v>93</v>
      </c>
      <c r="AG219">
        <v>27</v>
      </c>
      <c r="AH219" t="s">
        <v>113</v>
      </c>
      <c r="AI219" t="s">
        <v>114</v>
      </c>
      <c r="AJ219" t="s">
        <v>72</v>
      </c>
      <c r="AK219" t="s">
        <v>70</v>
      </c>
      <c r="AL219" t="s">
        <v>71</v>
      </c>
      <c r="AM219" t="s">
        <v>70</v>
      </c>
      <c r="AN219" t="s">
        <v>133</v>
      </c>
      <c r="AO219" t="s">
        <v>227</v>
      </c>
      <c r="AP219" t="s">
        <v>72</v>
      </c>
      <c r="AQ219" t="s">
        <v>98</v>
      </c>
      <c r="AR219" s="1">
        <v>42175</v>
      </c>
      <c r="AS219" t="s">
        <v>198</v>
      </c>
      <c r="AT219" t="s">
        <v>71</v>
      </c>
      <c r="AU219">
        <v>1782</v>
      </c>
      <c r="AV219" t="s">
        <v>76</v>
      </c>
      <c r="AW219" s="3">
        <v>62088</v>
      </c>
      <c r="AX219" t="s">
        <v>805</v>
      </c>
      <c r="AY219" t="s">
        <v>122</v>
      </c>
      <c r="AZ219" t="s">
        <v>76</v>
      </c>
      <c r="BA219" t="s">
        <v>800</v>
      </c>
      <c r="BB219" t="s">
        <v>801</v>
      </c>
      <c r="BC219" t="s">
        <v>802</v>
      </c>
      <c r="BD219" s="3">
        <v>6.6486277541553923E-2</v>
      </c>
      <c r="BE219">
        <v>408.4</v>
      </c>
      <c r="BG219" s="2">
        <f t="shared" si="14"/>
        <v>62088</v>
      </c>
      <c r="BH219" t="str" cm="1">
        <f t="array" ref="BH219">_xlfn.IFS(Q219&lt;5,"0-5 Years",Q219&lt;10,"5-10 Years",Q219&lt;15,"10-15 Years",TRUE,"15+ Years")</f>
        <v>10-15 Years</v>
      </c>
      <c r="BI219" t="str" cm="1">
        <f t="array" ref="BI219">_xlfn.IFS(AA219&gt;=540,"A",AA219&gt;=480,"B",AA219&gt;=420,"C",AA219&gt;=360,"D",TRUE,"F")</f>
        <v>F</v>
      </c>
      <c r="BJ219" t="str" cm="1">
        <f t="array" ref="BJ219">_xlfn.IFS(AU219&lt;0,"Separated",AU219&lt;=90,"High Risk",AU219&lt;=180,"Medium Risk",TRUE,"Retained")</f>
        <v>Retained</v>
      </c>
      <c r="BK219" t="str" cm="1">
        <f t="array" ref="BK219">_xlfn.IFS(V219=0,"No Combat",V219=1,"1 Tour",V219=2,"2 Tours",TRUE,"3+ Tours")</f>
        <v>No Combat</v>
      </c>
      <c r="BL219" t="str">
        <f t="shared" si="15"/>
        <v>Standard</v>
      </c>
      <c r="BM219" t="str">
        <f t="shared" si="16"/>
        <v>Not Ready</v>
      </c>
      <c r="BN219" s="3">
        <f t="shared" si="17"/>
        <v>6.6486277541553923E-2</v>
      </c>
      <c r="BO219">
        <f t="shared" si="18"/>
        <v>408.4</v>
      </c>
    </row>
    <row r="220" spans="1:67" x14ac:dyDescent="0.25">
      <c r="A220" t="s">
        <v>507</v>
      </c>
      <c r="B220" t="s">
        <v>267</v>
      </c>
      <c r="C220" t="s">
        <v>79</v>
      </c>
      <c r="D220" t="s">
        <v>51</v>
      </c>
      <c r="E220">
        <v>34</v>
      </c>
      <c r="F220" t="s">
        <v>325</v>
      </c>
      <c r="G220" t="s">
        <v>285</v>
      </c>
      <c r="H220" t="s">
        <v>286</v>
      </c>
      <c r="I220" t="s">
        <v>171</v>
      </c>
      <c r="J220" t="s">
        <v>172</v>
      </c>
      <c r="K220" t="s">
        <v>173</v>
      </c>
      <c r="L220" t="s">
        <v>126</v>
      </c>
      <c r="M220" t="s">
        <v>207</v>
      </c>
      <c r="N220" t="s">
        <v>162</v>
      </c>
      <c r="O220" t="s">
        <v>61</v>
      </c>
      <c r="P220" s="1">
        <v>44383</v>
      </c>
      <c r="Q220">
        <v>2.9</v>
      </c>
      <c r="R220" t="s">
        <v>129</v>
      </c>
      <c r="S220" t="s">
        <v>110</v>
      </c>
      <c r="T220" t="s">
        <v>111</v>
      </c>
      <c r="U220">
        <v>14</v>
      </c>
      <c r="V220">
        <v>2</v>
      </c>
      <c r="W220" s="2">
        <v>7668</v>
      </c>
      <c r="X220" s="2">
        <v>1262</v>
      </c>
      <c r="Y220" s="2">
        <v>266</v>
      </c>
      <c r="Z220" s="2">
        <v>9196</v>
      </c>
      <c r="AA220">
        <v>386</v>
      </c>
      <c r="AB220" t="s">
        <v>65</v>
      </c>
      <c r="AC220">
        <v>15</v>
      </c>
      <c r="AD220">
        <v>74</v>
      </c>
      <c r="AE220">
        <v>57</v>
      </c>
      <c r="AF220" t="s">
        <v>66</v>
      </c>
      <c r="AG220">
        <v>31</v>
      </c>
      <c r="AH220" t="s">
        <v>67</v>
      </c>
      <c r="AI220" t="s">
        <v>177</v>
      </c>
      <c r="AJ220" t="s">
        <v>69</v>
      </c>
      <c r="AK220" t="s">
        <v>71</v>
      </c>
      <c r="AL220" t="s">
        <v>70</v>
      </c>
      <c r="AM220" t="s">
        <v>70</v>
      </c>
      <c r="AN220" t="s">
        <v>72</v>
      </c>
      <c r="AO220" t="s">
        <v>72</v>
      </c>
      <c r="AP220" t="s">
        <v>72</v>
      </c>
      <c r="AQ220" t="s">
        <v>136</v>
      </c>
      <c r="AR220" s="1">
        <v>45620</v>
      </c>
      <c r="AS220" t="s">
        <v>118</v>
      </c>
      <c r="AT220" t="s">
        <v>71</v>
      </c>
      <c r="AU220">
        <v>-84</v>
      </c>
      <c r="AV220" t="s">
        <v>179</v>
      </c>
      <c r="AW220" s="3">
        <v>110352</v>
      </c>
      <c r="AX220" t="s">
        <v>803</v>
      </c>
      <c r="AY220" t="s">
        <v>809</v>
      </c>
      <c r="AZ220" t="s">
        <v>810</v>
      </c>
      <c r="BA220" t="s">
        <v>811</v>
      </c>
      <c r="BB220" t="s">
        <v>801</v>
      </c>
      <c r="BC220" t="s">
        <v>802</v>
      </c>
      <c r="BD220" s="3">
        <v>4.1974771639843408E-2</v>
      </c>
      <c r="BE220">
        <v>458.4</v>
      </c>
      <c r="BG220" s="2">
        <f t="shared" si="14"/>
        <v>110352</v>
      </c>
      <c r="BH220" t="str" cm="1">
        <f t="array" ref="BH220">_xlfn.IFS(Q220&lt;5,"0-5 Years",Q220&lt;10,"5-10 Years",Q220&lt;15,"10-15 Years",TRUE,"15+ Years")</f>
        <v>0-5 Years</v>
      </c>
      <c r="BI220" t="str" cm="1">
        <f t="array" ref="BI220">_xlfn.IFS(AA220&gt;=540,"A",AA220&gt;=480,"B",AA220&gt;=420,"C",AA220&gt;=360,"D",TRUE,"F")</f>
        <v>D</v>
      </c>
      <c r="BJ220" t="str" cm="1">
        <f t="array" ref="BJ220">_xlfn.IFS(AU220&lt;0,"Separated",AU220&lt;=90,"High Risk",AU220&lt;=180,"Medium Risk",TRUE,"Retained")</f>
        <v>Separated</v>
      </c>
      <c r="BK220" t="str" cm="1">
        <f t="array" ref="BK220">_xlfn.IFS(V220=0,"No Combat",V220=1,"1 Tour",V220=2,"2 Tours",TRUE,"3+ Tours")</f>
        <v>2 Tours</v>
      </c>
      <c r="BL220" t="str">
        <f t="shared" si="15"/>
        <v>Standard</v>
      </c>
      <c r="BM220" t="str">
        <f t="shared" si="16"/>
        <v>Not Ready</v>
      </c>
      <c r="BN220" s="3">
        <f t="shared" si="17"/>
        <v>4.1974771639843408E-2</v>
      </c>
      <c r="BO220">
        <f t="shared" si="18"/>
        <v>458.4</v>
      </c>
    </row>
    <row r="221" spans="1:67" x14ac:dyDescent="0.25">
      <c r="A221" t="s">
        <v>508</v>
      </c>
      <c r="B221" t="s">
        <v>282</v>
      </c>
      <c r="C221" t="s">
        <v>79</v>
      </c>
      <c r="D221" t="s">
        <v>51</v>
      </c>
      <c r="E221">
        <v>22</v>
      </c>
      <c r="F221" t="s">
        <v>278</v>
      </c>
      <c r="G221" t="s">
        <v>169</v>
      </c>
      <c r="H221" t="s">
        <v>170</v>
      </c>
      <c r="I221" t="s">
        <v>83</v>
      </c>
      <c r="J221" t="s">
        <v>84</v>
      </c>
      <c r="K221" t="s">
        <v>85</v>
      </c>
      <c r="L221" t="s">
        <v>58</v>
      </c>
      <c r="M221" t="s">
        <v>87</v>
      </c>
      <c r="N221" t="s">
        <v>128</v>
      </c>
      <c r="O221" t="s">
        <v>109</v>
      </c>
      <c r="P221" s="1">
        <v>39358</v>
      </c>
      <c r="Q221">
        <v>16.7</v>
      </c>
      <c r="R221" t="s">
        <v>75</v>
      </c>
      <c r="S221" t="s">
        <v>130</v>
      </c>
      <c r="T221" t="s">
        <v>131</v>
      </c>
      <c r="U221">
        <v>13</v>
      </c>
      <c r="V221">
        <v>2</v>
      </c>
      <c r="W221" s="2">
        <v>3294</v>
      </c>
      <c r="X221" s="2">
        <v>1822</v>
      </c>
      <c r="Y221" s="2">
        <v>422</v>
      </c>
      <c r="Z221" s="2">
        <v>5538</v>
      </c>
      <c r="AA221">
        <v>593</v>
      </c>
      <c r="AB221" t="s">
        <v>65</v>
      </c>
      <c r="AC221">
        <v>19</v>
      </c>
      <c r="AD221">
        <v>69</v>
      </c>
      <c r="AE221">
        <v>67</v>
      </c>
      <c r="AF221" t="s">
        <v>112</v>
      </c>
      <c r="AG221">
        <v>40</v>
      </c>
      <c r="AH221" t="s">
        <v>94</v>
      </c>
      <c r="AI221" t="s">
        <v>177</v>
      </c>
      <c r="AJ221" t="s">
        <v>69</v>
      </c>
      <c r="AK221" t="s">
        <v>70</v>
      </c>
      <c r="AL221" t="s">
        <v>70</v>
      </c>
      <c r="AM221" t="s">
        <v>70</v>
      </c>
      <c r="AN221" t="s">
        <v>72</v>
      </c>
      <c r="AO221" t="s">
        <v>72</v>
      </c>
      <c r="AP221" t="s">
        <v>227</v>
      </c>
      <c r="AQ221" t="s">
        <v>117</v>
      </c>
      <c r="AR221" s="1">
        <v>43156</v>
      </c>
      <c r="AS221" t="s">
        <v>137</v>
      </c>
      <c r="AT221" t="s">
        <v>71</v>
      </c>
      <c r="AU221">
        <v>445</v>
      </c>
      <c r="AV221" t="s">
        <v>76</v>
      </c>
      <c r="AW221" s="3">
        <v>66456</v>
      </c>
      <c r="AX221" t="s">
        <v>798</v>
      </c>
      <c r="AY221" t="s">
        <v>799</v>
      </c>
      <c r="AZ221" t="s">
        <v>76</v>
      </c>
      <c r="BA221" t="s">
        <v>811</v>
      </c>
      <c r="BB221" t="s">
        <v>801</v>
      </c>
      <c r="BC221" t="s">
        <v>802</v>
      </c>
      <c r="BD221" s="3">
        <v>0.10707836764174793</v>
      </c>
      <c r="BE221">
        <v>673.4</v>
      </c>
      <c r="BG221" s="2">
        <f t="shared" si="14"/>
        <v>66456</v>
      </c>
      <c r="BH221" t="str" cm="1">
        <f t="array" ref="BH221">_xlfn.IFS(Q221&lt;5,"0-5 Years",Q221&lt;10,"5-10 Years",Q221&lt;15,"10-15 Years",TRUE,"15+ Years")</f>
        <v>15+ Years</v>
      </c>
      <c r="BI221" t="str" cm="1">
        <f t="array" ref="BI221">_xlfn.IFS(AA221&gt;=540,"A",AA221&gt;=480,"B",AA221&gt;=420,"C",AA221&gt;=360,"D",TRUE,"F")</f>
        <v>A</v>
      </c>
      <c r="BJ221" t="str" cm="1">
        <f t="array" ref="BJ221">_xlfn.IFS(AU221&lt;0,"Separated",AU221&lt;=90,"High Risk",AU221&lt;=180,"Medium Risk",TRUE,"Retained")</f>
        <v>Retained</v>
      </c>
      <c r="BK221" t="str" cm="1">
        <f t="array" ref="BK221">_xlfn.IFS(V221=0,"No Combat",V221=1,"1 Tour",V221=2,"2 Tours",TRUE,"3+ Tours")</f>
        <v>2 Tours</v>
      </c>
      <c r="BL221" t="str">
        <f t="shared" si="15"/>
        <v>Standard</v>
      </c>
      <c r="BM221" t="str">
        <f t="shared" si="16"/>
        <v>Not Ready</v>
      </c>
      <c r="BN221" s="3">
        <f t="shared" si="17"/>
        <v>0.10707836764174793</v>
      </c>
      <c r="BO221">
        <f t="shared" si="18"/>
        <v>673.4</v>
      </c>
    </row>
    <row r="222" spans="1:67" x14ac:dyDescent="0.25">
      <c r="A222" t="s">
        <v>509</v>
      </c>
      <c r="B222" t="s">
        <v>277</v>
      </c>
      <c r="C222" t="s">
        <v>50</v>
      </c>
      <c r="D222" t="s">
        <v>51</v>
      </c>
      <c r="E222">
        <v>18</v>
      </c>
      <c r="F222" t="s">
        <v>214</v>
      </c>
      <c r="G222" t="s">
        <v>298</v>
      </c>
      <c r="H222" t="s">
        <v>299</v>
      </c>
      <c r="I222" t="s">
        <v>144</v>
      </c>
      <c r="J222" t="s">
        <v>145</v>
      </c>
      <c r="K222" t="s">
        <v>146</v>
      </c>
      <c r="L222" t="s">
        <v>174</v>
      </c>
      <c r="M222" t="s">
        <v>249</v>
      </c>
      <c r="N222" t="s">
        <v>265</v>
      </c>
      <c r="O222" t="s">
        <v>89</v>
      </c>
      <c r="P222" s="1">
        <v>39820</v>
      </c>
      <c r="Q222">
        <v>15.4</v>
      </c>
      <c r="R222" t="s">
        <v>75</v>
      </c>
      <c r="S222" t="s">
        <v>91</v>
      </c>
      <c r="T222" t="s">
        <v>92</v>
      </c>
      <c r="U222">
        <v>10</v>
      </c>
      <c r="V222">
        <v>1</v>
      </c>
      <c r="W222" s="2">
        <v>2149</v>
      </c>
      <c r="X222" s="2">
        <v>1112</v>
      </c>
      <c r="Y222" s="2">
        <v>422</v>
      </c>
      <c r="Z222" s="2">
        <v>3683</v>
      </c>
      <c r="AA222">
        <v>329</v>
      </c>
      <c r="AB222" t="s">
        <v>151</v>
      </c>
      <c r="AC222">
        <v>17.8</v>
      </c>
      <c r="AD222">
        <v>26</v>
      </c>
      <c r="AE222">
        <v>78</v>
      </c>
      <c r="AF222" t="s">
        <v>132</v>
      </c>
      <c r="AG222">
        <v>30</v>
      </c>
      <c r="AH222" t="s">
        <v>67</v>
      </c>
      <c r="AI222" t="s">
        <v>95</v>
      </c>
      <c r="AJ222" t="s">
        <v>96</v>
      </c>
      <c r="AK222" t="s">
        <v>70</v>
      </c>
      <c r="AL222" t="s">
        <v>70</v>
      </c>
      <c r="AM222" t="s">
        <v>70</v>
      </c>
      <c r="AN222" t="s">
        <v>72</v>
      </c>
      <c r="AO222" t="s">
        <v>73</v>
      </c>
      <c r="AP222" t="s">
        <v>72</v>
      </c>
      <c r="AQ222" t="s">
        <v>74</v>
      </c>
      <c r="AR222" s="1">
        <v>42390</v>
      </c>
      <c r="AS222" t="s">
        <v>137</v>
      </c>
      <c r="AT222" t="s">
        <v>71</v>
      </c>
      <c r="AU222">
        <v>1041</v>
      </c>
      <c r="AV222" t="s">
        <v>76</v>
      </c>
      <c r="AW222" s="3">
        <v>44196</v>
      </c>
      <c r="AX222" t="s">
        <v>798</v>
      </c>
      <c r="AY222" t="s">
        <v>122</v>
      </c>
      <c r="AZ222" t="s">
        <v>76</v>
      </c>
      <c r="BA222" t="s">
        <v>807</v>
      </c>
      <c r="BB222" t="s">
        <v>801</v>
      </c>
      <c r="BC222" t="s">
        <v>802</v>
      </c>
      <c r="BD222" s="3">
        <v>8.9329351072495247E-2</v>
      </c>
      <c r="BE222">
        <v>389.4</v>
      </c>
      <c r="BG222" s="2">
        <f t="shared" si="14"/>
        <v>44196</v>
      </c>
      <c r="BH222" t="str" cm="1">
        <f t="array" ref="BH222">_xlfn.IFS(Q222&lt;5,"0-5 Years",Q222&lt;10,"5-10 Years",Q222&lt;15,"10-15 Years",TRUE,"15+ Years")</f>
        <v>15+ Years</v>
      </c>
      <c r="BI222" t="str" cm="1">
        <f t="array" ref="BI222">_xlfn.IFS(AA222&gt;=540,"A",AA222&gt;=480,"B",AA222&gt;=420,"C",AA222&gt;=360,"D",TRUE,"F")</f>
        <v>F</v>
      </c>
      <c r="BJ222" t="str" cm="1">
        <f t="array" ref="BJ222">_xlfn.IFS(AU222&lt;0,"Separated",AU222&lt;=90,"High Risk",AU222&lt;=180,"Medium Risk",TRUE,"Retained")</f>
        <v>Retained</v>
      </c>
      <c r="BK222" t="str" cm="1">
        <f t="array" ref="BK222">_xlfn.IFS(V222=0,"No Combat",V222=1,"1 Tour",V222=2,"2 Tours",TRUE,"3+ Tours")</f>
        <v>1 Tour</v>
      </c>
      <c r="BL222" t="str">
        <f t="shared" si="15"/>
        <v>Standard</v>
      </c>
      <c r="BM222" t="str">
        <f t="shared" si="16"/>
        <v>Not Ready</v>
      </c>
      <c r="BN222" s="3">
        <f t="shared" si="17"/>
        <v>8.9329351072495247E-2</v>
      </c>
      <c r="BO222">
        <f t="shared" si="18"/>
        <v>389.4</v>
      </c>
    </row>
    <row r="223" spans="1:67" x14ac:dyDescent="0.25">
      <c r="A223" t="s">
        <v>510</v>
      </c>
      <c r="B223" t="s">
        <v>205</v>
      </c>
      <c r="C223" t="s">
        <v>230</v>
      </c>
      <c r="D223" t="s">
        <v>122</v>
      </c>
      <c r="E223">
        <v>33</v>
      </c>
      <c r="F223" t="s">
        <v>241</v>
      </c>
      <c r="G223" t="s">
        <v>298</v>
      </c>
      <c r="H223" t="s">
        <v>299</v>
      </c>
      <c r="I223" t="s">
        <v>273</v>
      </c>
      <c r="J223" t="s">
        <v>274</v>
      </c>
      <c r="K223" t="s">
        <v>57</v>
      </c>
      <c r="L223" t="s">
        <v>201</v>
      </c>
      <c r="M223" t="s">
        <v>175</v>
      </c>
      <c r="N223" t="s">
        <v>128</v>
      </c>
      <c r="O223" t="s">
        <v>176</v>
      </c>
      <c r="P223" s="1">
        <v>44137</v>
      </c>
      <c r="Q223">
        <v>3.6</v>
      </c>
      <c r="R223" t="s">
        <v>75</v>
      </c>
      <c r="S223" t="s">
        <v>130</v>
      </c>
      <c r="T223" t="s">
        <v>131</v>
      </c>
      <c r="U223">
        <v>15</v>
      </c>
      <c r="V223">
        <v>2</v>
      </c>
      <c r="W223" s="2">
        <v>2149</v>
      </c>
      <c r="X223" s="2">
        <v>0</v>
      </c>
      <c r="Y223" s="2">
        <v>422</v>
      </c>
      <c r="Z223" s="2">
        <v>2571</v>
      </c>
      <c r="AA223">
        <v>346</v>
      </c>
      <c r="AB223" t="s">
        <v>151</v>
      </c>
      <c r="AC223">
        <v>15.2</v>
      </c>
      <c r="AD223">
        <v>44</v>
      </c>
      <c r="AE223">
        <v>61</v>
      </c>
      <c r="AF223" t="s">
        <v>132</v>
      </c>
      <c r="AG223">
        <v>37</v>
      </c>
      <c r="AH223" t="s">
        <v>94</v>
      </c>
      <c r="AI223" t="s">
        <v>95</v>
      </c>
      <c r="AJ223" t="s">
        <v>188</v>
      </c>
      <c r="AK223" t="s">
        <v>71</v>
      </c>
      <c r="AL223" t="s">
        <v>70</v>
      </c>
      <c r="AM223" t="s">
        <v>70</v>
      </c>
      <c r="AN223" t="s">
        <v>243</v>
      </c>
      <c r="AO223" t="s">
        <v>203</v>
      </c>
      <c r="AP223" t="s">
        <v>116</v>
      </c>
      <c r="AQ223" t="s">
        <v>74</v>
      </c>
      <c r="AR223" s="1">
        <v>44487</v>
      </c>
      <c r="AS223" t="s">
        <v>75</v>
      </c>
      <c r="AT223" t="s">
        <v>71</v>
      </c>
      <c r="AU223">
        <v>-249</v>
      </c>
      <c r="AV223" t="s">
        <v>179</v>
      </c>
      <c r="AW223" s="3">
        <v>30852</v>
      </c>
      <c r="AX223" t="s">
        <v>803</v>
      </c>
      <c r="AY223" t="s">
        <v>122</v>
      </c>
      <c r="AZ223" t="s">
        <v>810</v>
      </c>
      <c r="BA223" t="s">
        <v>811</v>
      </c>
      <c r="BB223" t="s">
        <v>801</v>
      </c>
      <c r="BC223" t="s">
        <v>802</v>
      </c>
      <c r="BD223" s="3">
        <v>0.13457798521975886</v>
      </c>
      <c r="BE223">
        <v>430.4</v>
      </c>
      <c r="BG223" s="2">
        <f t="shared" si="14"/>
        <v>30852</v>
      </c>
      <c r="BH223" t="str" cm="1">
        <f t="array" ref="BH223">_xlfn.IFS(Q223&lt;5,"0-5 Years",Q223&lt;10,"5-10 Years",Q223&lt;15,"10-15 Years",TRUE,"15+ Years")</f>
        <v>0-5 Years</v>
      </c>
      <c r="BI223" t="str" cm="1">
        <f t="array" ref="BI223">_xlfn.IFS(AA223&gt;=540,"A",AA223&gt;=480,"B",AA223&gt;=420,"C",AA223&gt;=360,"D",TRUE,"F")</f>
        <v>F</v>
      </c>
      <c r="BJ223" t="str" cm="1">
        <f t="array" ref="BJ223">_xlfn.IFS(AU223&lt;0,"Separated",AU223&lt;=90,"High Risk",AU223&lt;=180,"Medium Risk",TRUE,"Retained")</f>
        <v>Separated</v>
      </c>
      <c r="BK223" t="str" cm="1">
        <f t="array" ref="BK223">_xlfn.IFS(V223=0,"No Combat",V223=1,"1 Tour",V223=2,"2 Tours",TRUE,"3+ Tours")</f>
        <v>2 Tours</v>
      </c>
      <c r="BL223" t="str">
        <f t="shared" si="15"/>
        <v>Standard</v>
      </c>
      <c r="BM223" t="str">
        <f t="shared" si="16"/>
        <v>Not Ready</v>
      </c>
      <c r="BN223" s="3">
        <f t="shared" si="17"/>
        <v>0.13457798521975886</v>
      </c>
      <c r="BO223">
        <f t="shared" si="18"/>
        <v>430.4</v>
      </c>
    </row>
    <row r="224" spans="1:67" x14ac:dyDescent="0.25">
      <c r="A224" t="s">
        <v>511</v>
      </c>
      <c r="B224" t="s">
        <v>377</v>
      </c>
      <c r="C224" t="s">
        <v>191</v>
      </c>
      <c r="D224" t="s">
        <v>51</v>
      </c>
      <c r="E224">
        <v>23</v>
      </c>
      <c r="F224" t="s">
        <v>316</v>
      </c>
      <c r="G224" t="s">
        <v>301</v>
      </c>
      <c r="H224" t="s">
        <v>302</v>
      </c>
      <c r="I224" t="s">
        <v>83</v>
      </c>
      <c r="J224" t="s">
        <v>84</v>
      </c>
      <c r="K224" t="s">
        <v>85</v>
      </c>
      <c r="L224" t="s">
        <v>106</v>
      </c>
      <c r="M224" t="s">
        <v>87</v>
      </c>
      <c r="N224" t="s">
        <v>60</v>
      </c>
      <c r="O224" t="s">
        <v>176</v>
      </c>
      <c r="P224" s="1">
        <v>41470</v>
      </c>
      <c r="Q224">
        <v>10.9</v>
      </c>
      <c r="R224" t="s">
        <v>129</v>
      </c>
      <c r="S224" t="s">
        <v>163</v>
      </c>
      <c r="T224" t="s">
        <v>164</v>
      </c>
      <c r="U224">
        <v>13</v>
      </c>
      <c r="V224">
        <v>2</v>
      </c>
      <c r="W224" s="2">
        <v>4188</v>
      </c>
      <c r="X224" s="2">
        <v>1506</v>
      </c>
      <c r="Y224" s="2">
        <v>266</v>
      </c>
      <c r="Z224" s="2">
        <v>5960</v>
      </c>
      <c r="AA224">
        <v>415</v>
      </c>
      <c r="AB224" t="s">
        <v>65</v>
      </c>
      <c r="AC224">
        <v>16</v>
      </c>
      <c r="AD224">
        <v>23</v>
      </c>
      <c r="AE224">
        <v>72</v>
      </c>
      <c r="AF224" t="s">
        <v>93</v>
      </c>
      <c r="AG224">
        <v>23</v>
      </c>
      <c r="AH224" t="s">
        <v>113</v>
      </c>
      <c r="AI224" t="s">
        <v>152</v>
      </c>
      <c r="AJ224" t="s">
        <v>72</v>
      </c>
      <c r="AK224" t="s">
        <v>70</v>
      </c>
      <c r="AL224" t="s">
        <v>71</v>
      </c>
      <c r="AM224" t="s">
        <v>70</v>
      </c>
      <c r="AN224" t="s">
        <v>72</v>
      </c>
      <c r="AO224" t="s">
        <v>72</v>
      </c>
      <c r="AP224" t="s">
        <v>72</v>
      </c>
      <c r="AQ224" t="s">
        <v>136</v>
      </c>
      <c r="AR224" s="1">
        <v>44735</v>
      </c>
      <c r="AS224" t="s">
        <v>75</v>
      </c>
      <c r="AT224" t="s">
        <v>71</v>
      </c>
      <c r="AU224">
        <v>1608</v>
      </c>
      <c r="AV224" t="s">
        <v>76</v>
      </c>
      <c r="AW224" s="3">
        <v>71520</v>
      </c>
      <c r="AX224" t="s">
        <v>805</v>
      </c>
      <c r="AY224" t="s">
        <v>809</v>
      </c>
      <c r="AZ224" t="s">
        <v>76</v>
      </c>
      <c r="BA224" t="s">
        <v>811</v>
      </c>
      <c r="BB224" t="s">
        <v>801</v>
      </c>
      <c r="BC224" t="s">
        <v>802</v>
      </c>
      <c r="BD224" s="3">
        <v>6.9630872483221473E-2</v>
      </c>
      <c r="BE224">
        <v>471.4</v>
      </c>
      <c r="BG224" s="2">
        <f t="shared" si="14"/>
        <v>71520</v>
      </c>
      <c r="BH224" t="str" cm="1">
        <f t="array" ref="BH224">_xlfn.IFS(Q224&lt;5,"0-5 Years",Q224&lt;10,"5-10 Years",Q224&lt;15,"10-15 Years",TRUE,"15+ Years")</f>
        <v>10-15 Years</v>
      </c>
      <c r="BI224" t="str" cm="1">
        <f t="array" ref="BI224">_xlfn.IFS(AA224&gt;=540,"A",AA224&gt;=480,"B",AA224&gt;=420,"C",AA224&gt;=360,"D",TRUE,"F")</f>
        <v>D</v>
      </c>
      <c r="BJ224" t="str" cm="1">
        <f t="array" ref="BJ224">_xlfn.IFS(AU224&lt;0,"Separated",AU224&lt;=90,"High Risk",AU224&lt;=180,"Medium Risk",TRUE,"Retained")</f>
        <v>Retained</v>
      </c>
      <c r="BK224" t="str" cm="1">
        <f t="array" ref="BK224">_xlfn.IFS(V224=0,"No Combat",V224=1,"1 Tour",V224=2,"2 Tours",TRUE,"3+ Tours")</f>
        <v>2 Tours</v>
      </c>
      <c r="BL224" t="str">
        <f t="shared" si="15"/>
        <v>Standard</v>
      </c>
      <c r="BM224" t="str">
        <f t="shared" si="16"/>
        <v>Not Ready</v>
      </c>
      <c r="BN224" s="3">
        <f t="shared" si="17"/>
        <v>6.9630872483221473E-2</v>
      </c>
      <c r="BO224">
        <f t="shared" si="18"/>
        <v>471.4</v>
      </c>
    </row>
    <row r="225" spans="1:67" x14ac:dyDescent="0.25">
      <c r="A225" t="s">
        <v>512</v>
      </c>
      <c r="B225" t="s">
        <v>346</v>
      </c>
      <c r="C225" t="s">
        <v>206</v>
      </c>
      <c r="D225" t="s">
        <v>122</v>
      </c>
      <c r="E225">
        <v>27</v>
      </c>
      <c r="F225" t="s">
        <v>80</v>
      </c>
      <c r="G225" t="s">
        <v>285</v>
      </c>
      <c r="H225" t="s">
        <v>286</v>
      </c>
      <c r="I225" t="s">
        <v>225</v>
      </c>
      <c r="J225" t="s">
        <v>226</v>
      </c>
      <c r="K225" t="s">
        <v>105</v>
      </c>
      <c r="L225" t="s">
        <v>174</v>
      </c>
      <c r="M225" t="s">
        <v>161</v>
      </c>
      <c r="N225" t="s">
        <v>162</v>
      </c>
      <c r="O225" t="s">
        <v>61</v>
      </c>
      <c r="P225" s="1">
        <v>41550</v>
      </c>
      <c r="Q225">
        <v>10.7</v>
      </c>
      <c r="R225" t="s">
        <v>62</v>
      </c>
      <c r="S225" t="s">
        <v>110</v>
      </c>
      <c r="T225" t="s">
        <v>111</v>
      </c>
      <c r="U225">
        <v>3</v>
      </c>
      <c r="V225">
        <v>0</v>
      </c>
      <c r="W225" s="2">
        <v>7668</v>
      </c>
      <c r="X225" s="2">
        <v>0</v>
      </c>
      <c r="Y225" s="2">
        <v>266</v>
      </c>
      <c r="Z225" s="2">
        <v>7934</v>
      </c>
      <c r="AA225">
        <v>544</v>
      </c>
      <c r="AB225" t="s">
        <v>65</v>
      </c>
      <c r="AC225">
        <v>18.399999999999999</v>
      </c>
      <c r="AD225">
        <v>33</v>
      </c>
      <c r="AE225">
        <v>51</v>
      </c>
      <c r="AF225" t="s">
        <v>112</v>
      </c>
      <c r="AG225">
        <v>21</v>
      </c>
      <c r="AH225" t="s">
        <v>113</v>
      </c>
      <c r="AI225" t="s">
        <v>177</v>
      </c>
      <c r="AJ225" t="s">
        <v>69</v>
      </c>
      <c r="AK225" t="s">
        <v>71</v>
      </c>
      <c r="AL225" t="s">
        <v>70</v>
      </c>
      <c r="AM225" t="s">
        <v>70</v>
      </c>
      <c r="AN225" t="s">
        <v>231</v>
      </c>
      <c r="AO225" t="s">
        <v>116</v>
      </c>
      <c r="AP225" t="s">
        <v>72</v>
      </c>
      <c r="AQ225" t="s">
        <v>74</v>
      </c>
      <c r="AR225" s="1">
        <v>43125</v>
      </c>
      <c r="AS225" t="s">
        <v>75</v>
      </c>
      <c r="AT225" t="s">
        <v>71</v>
      </c>
      <c r="AU225">
        <v>-124</v>
      </c>
      <c r="AV225" t="s">
        <v>179</v>
      </c>
      <c r="AW225" s="3">
        <v>95208</v>
      </c>
      <c r="AX225" t="s">
        <v>805</v>
      </c>
      <c r="AY225" t="s">
        <v>799</v>
      </c>
      <c r="AZ225" t="s">
        <v>810</v>
      </c>
      <c r="BA225" t="s">
        <v>800</v>
      </c>
      <c r="BB225" t="s">
        <v>801</v>
      </c>
      <c r="BC225" t="s">
        <v>802</v>
      </c>
      <c r="BD225" s="3">
        <v>6.8565666750693213E-2</v>
      </c>
      <c r="BE225">
        <v>596.4</v>
      </c>
      <c r="BG225" s="2">
        <f t="shared" si="14"/>
        <v>95208</v>
      </c>
      <c r="BH225" t="str" cm="1">
        <f t="array" ref="BH225">_xlfn.IFS(Q225&lt;5,"0-5 Years",Q225&lt;10,"5-10 Years",Q225&lt;15,"10-15 Years",TRUE,"15+ Years")</f>
        <v>10-15 Years</v>
      </c>
      <c r="BI225" t="str" cm="1">
        <f t="array" ref="BI225">_xlfn.IFS(AA225&gt;=540,"A",AA225&gt;=480,"B",AA225&gt;=420,"C",AA225&gt;=360,"D",TRUE,"F")</f>
        <v>A</v>
      </c>
      <c r="BJ225" t="str" cm="1">
        <f t="array" ref="BJ225">_xlfn.IFS(AU225&lt;0,"Separated",AU225&lt;=90,"High Risk",AU225&lt;=180,"Medium Risk",TRUE,"Retained")</f>
        <v>Separated</v>
      </c>
      <c r="BK225" t="str" cm="1">
        <f t="array" ref="BK225">_xlfn.IFS(V225=0,"No Combat",V225=1,"1 Tour",V225=2,"2 Tours",TRUE,"3+ Tours")</f>
        <v>No Combat</v>
      </c>
      <c r="BL225" t="str">
        <f t="shared" si="15"/>
        <v>Standard</v>
      </c>
      <c r="BM225" t="str">
        <f t="shared" si="16"/>
        <v>Not Ready</v>
      </c>
      <c r="BN225" s="3">
        <f t="shared" si="17"/>
        <v>6.8565666750693213E-2</v>
      </c>
      <c r="BO225">
        <f t="shared" si="18"/>
        <v>596.4</v>
      </c>
    </row>
    <row r="226" spans="1:67" x14ac:dyDescent="0.25">
      <c r="A226" t="s">
        <v>513</v>
      </c>
      <c r="B226" t="s">
        <v>49</v>
      </c>
      <c r="C226" t="s">
        <v>360</v>
      </c>
      <c r="D226" t="s">
        <v>51</v>
      </c>
      <c r="E226">
        <v>45</v>
      </c>
      <c r="F226" t="s">
        <v>123</v>
      </c>
      <c r="G226" t="s">
        <v>193</v>
      </c>
      <c r="H226" t="s">
        <v>194</v>
      </c>
      <c r="I226" t="s">
        <v>225</v>
      </c>
      <c r="J226" t="s">
        <v>226</v>
      </c>
      <c r="K226" t="s">
        <v>105</v>
      </c>
      <c r="L226" t="s">
        <v>201</v>
      </c>
      <c r="M226" t="s">
        <v>249</v>
      </c>
      <c r="N226" t="s">
        <v>162</v>
      </c>
      <c r="O226" t="s">
        <v>149</v>
      </c>
      <c r="P226" s="1">
        <v>41198</v>
      </c>
      <c r="Q226">
        <v>11.6</v>
      </c>
      <c r="R226" t="s">
        <v>129</v>
      </c>
      <c r="S226" t="s">
        <v>196</v>
      </c>
      <c r="T226" t="s">
        <v>197</v>
      </c>
      <c r="U226">
        <v>0</v>
      </c>
      <c r="V226">
        <v>0</v>
      </c>
      <c r="W226" s="2">
        <v>2259</v>
      </c>
      <c r="X226" s="2">
        <v>957</v>
      </c>
      <c r="Y226" s="2">
        <v>422</v>
      </c>
      <c r="Z226" s="2">
        <v>3638</v>
      </c>
      <c r="AA226">
        <v>566</v>
      </c>
      <c r="AB226" t="s">
        <v>65</v>
      </c>
      <c r="AC226">
        <v>16.8</v>
      </c>
      <c r="AD226">
        <v>39</v>
      </c>
      <c r="AE226">
        <v>57</v>
      </c>
      <c r="AF226" t="s">
        <v>112</v>
      </c>
      <c r="AG226">
        <v>22</v>
      </c>
      <c r="AH226" t="s">
        <v>113</v>
      </c>
      <c r="AI226" t="s">
        <v>152</v>
      </c>
      <c r="AJ226" t="s">
        <v>188</v>
      </c>
      <c r="AK226" t="s">
        <v>71</v>
      </c>
      <c r="AL226" t="s">
        <v>70</v>
      </c>
      <c r="AM226" t="s">
        <v>70</v>
      </c>
      <c r="AN226" t="s">
        <v>72</v>
      </c>
      <c r="AO226" t="s">
        <v>227</v>
      </c>
      <c r="AP226" t="s">
        <v>72</v>
      </c>
      <c r="AQ226" t="s">
        <v>74</v>
      </c>
      <c r="AR226" s="1">
        <v>44737</v>
      </c>
      <c r="AS226" t="s">
        <v>198</v>
      </c>
      <c r="AT226" t="s">
        <v>71</v>
      </c>
      <c r="AU226">
        <v>597</v>
      </c>
      <c r="AV226" t="s">
        <v>76</v>
      </c>
      <c r="AW226" s="3">
        <v>43656</v>
      </c>
      <c r="AX226" t="s">
        <v>805</v>
      </c>
      <c r="AY226" t="s">
        <v>799</v>
      </c>
      <c r="AZ226" t="s">
        <v>76</v>
      </c>
      <c r="BA226" t="s">
        <v>800</v>
      </c>
      <c r="BB226" t="s">
        <v>801</v>
      </c>
      <c r="BC226" t="s">
        <v>802</v>
      </c>
      <c r="BD226" s="3">
        <v>0.15557998900494777</v>
      </c>
      <c r="BE226">
        <v>620.4</v>
      </c>
      <c r="BG226" s="2">
        <f t="shared" si="14"/>
        <v>43656</v>
      </c>
      <c r="BH226" t="str" cm="1">
        <f t="array" ref="BH226">_xlfn.IFS(Q226&lt;5,"0-5 Years",Q226&lt;10,"5-10 Years",Q226&lt;15,"10-15 Years",TRUE,"15+ Years")</f>
        <v>10-15 Years</v>
      </c>
      <c r="BI226" t="str" cm="1">
        <f t="array" ref="BI226">_xlfn.IFS(AA226&gt;=540,"A",AA226&gt;=480,"B",AA226&gt;=420,"C",AA226&gt;=360,"D",TRUE,"F")</f>
        <v>A</v>
      </c>
      <c r="BJ226" t="str" cm="1">
        <f t="array" ref="BJ226">_xlfn.IFS(AU226&lt;0,"Separated",AU226&lt;=90,"High Risk",AU226&lt;=180,"Medium Risk",TRUE,"Retained")</f>
        <v>Retained</v>
      </c>
      <c r="BK226" t="str" cm="1">
        <f t="array" ref="BK226">_xlfn.IFS(V226=0,"No Combat",V226=1,"1 Tour",V226=2,"2 Tours",TRUE,"3+ Tours")</f>
        <v>No Combat</v>
      </c>
      <c r="BL226" t="str">
        <f t="shared" si="15"/>
        <v>Standard</v>
      </c>
      <c r="BM226" t="str">
        <f t="shared" si="16"/>
        <v>Not Ready</v>
      </c>
      <c r="BN226" s="3">
        <f t="shared" si="17"/>
        <v>0.15557998900494777</v>
      </c>
      <c r="BO226">
        <f t="shared" si="18"/>
        <v>620.4</v>
      </c>
    </row>
    <row r="227" spans="1:67" x14ac:dyDescent="0.25">
      <c r="A227" t="s">
        <v>514</v>
      </c>
      <c r="B227" t="s">
        <v>139</v>
      </c>
      <c r="C227" t="s">
        <v>330</v>
      </c>
      <c r="D227" t="s">
        <v>122</v>
      </c>
      <c r="E227">
        <v>18</v>
      </c>
      <c r="F227" t="s">
        <v>322</v>
      </c>
      <c r="G227" t="s">
        <v>298</v>
      </c>
      <c r="H227" t="s">
        <v>299</v>
      </c>
      <c r="I227" t="s">
        <v>103</v>
      </c>
      <c r="J227" t="s">
        <v>104</v>
      </c>
      <c r="K227" t="s">
        <v>105</v>
      </c>
      <c r="L227" t="s">
        <v>58</v>
      </c>
      <c r="M227" t="s">
        <v>161</v>
      </c>
      <c r="N227" t="s">
        <v>162</v>
      </c>
      <c r="O227" t="s">
        <v>149</v>
      </c>
      <c r="P227" s="1">
        <v>40322</v>
      </c>
      <c r="Q227">
        <v>14</v>
      </c>
      <c r="R227" t="s">
        <v>75</v>
      </c>
      <c r="S227" t="s">
        <v>130</v>
      </c>
      <c r="T227" t="s">
        <v>131</v>
      </c>
      <c r="U227">
        <v>9</v>
      </c>
      <c r="V227">
        <v>1</v>
      </c>
      <c r="W227" s="2">
        <v>2149</v>
      </c>
      <c r="X227" s="2">
        <v>1691</v>
      </c>
      <c r="Y227" s="2">
        <v>422</v>
      </c>
      <c r="Z227" s="2">
        <v>4262</v>
      </c>
      <c r="AA227">
        <v>394</v>
      </c>
      <c r="AB227" t="s">
        <v>65</v>
      </c>
      <c r="AC227">
        <v>15.2</v>
      </c>
      <c r="AD227">
        <v>73</v>
      </c>
      <c r="AE227">
        <v>34</v>
      </c>
      <c r="AF227" t="s">
        <v>132</v>
      </c>
      <c r="AG227">
        <v>24</v>
      </c>
      <c r="AH227" t="s">
        <v>113</v>
      </c>
      <c r="AI227" t="s">
        <v>68</v>
      </c>
      <c r="AJ227" t="s">
        <v>188</v>
      </c>
      <c r="AK227" t="s">
        <v>71</v>
      </c>
      <c r="AL227" t="s">
        <v>71</v>
      </c>
      <c r="AM227" t="s">
        <v>70</v>
      </c>
      <c r="AN227" t="s">
        <v>231</v>
      </c>
      <c r="AO227" t="s">
        <v>134</v>
      </c>
      <c r="AP227" t="s">
        <v>134</v>
      </c>
      <c r="AQ227" t="s">
        <v>98</v>
      </c>
      <c r="AR227" s="1">
        <v>43636</v>
      </c>
      <c r="AS227" t="s">
        <v>198</v>
      </c>
      <c r="AT227" t="s">
        <v>71</v>
      </c>
      <c r="AU227">
        <v>-349</v>
      </c>
      <c r="AV227" t="s">
        <v>179</v>
      </c>
      <c r="AW227" s="3">
        <v>51144</v>
      </c>
      <c r="AX227" t="s">
        <v>805</v>
      </c>
      <c r="AY227" t="s">
        <v>809</v>
      </c>
      <c r="AZ227" t="s">
        <v>810</v>
      </c>
      <c r="BA227" t="s">
        <v>807</v>
      </c>
      <c r="BB227" t="s">
        <v>801</v>
      </c>
      <c r="BC227" t="s">
        <v>802</v>
      </c>
      <c r="BD227" s="3">
        <v>9.2444861567339276E-2</v>
      </c>
      <c r="BE227">
        <v>462.4</v>
      </c>
      <c r="BG227" s="2">
        <f t="shared" si="14"/>
        <v>51144</v>
      </c>
      <c r="BH227" t="str" cm="1">
        <f t="array" ref="BH227">_xlfn.IFS(Q227&lt;5,"0-5 Years",Q227&lt;10,"5-10 Years",Q227&lt;15,"10-15 Years",TRUE,"15+ Years")</f>
        <v>10-15 Years</v>
      </c>
      <c r="BI227" t="str" cm="1">
        <f t="array" ref="BI227">_xlfn.IFS(AA227&gt;=540,"A",AA227&gt;=480,"B",AA227&gt;=420,"C",AA227&gt;=360,"D",TRUE,"F")</f>
        <v>D</v>
      </c>
      <c r="BJ227" t="str" cm="1">
        <f t="array" ref="BJ227">_xlfn.IFS(AU227&lt;0,"Separated",AU227&lt;=90,"High Risk",AU227&lt;=180,"Medium Risk",TRUE,"Retained")</f>
        <v>Separated</v>
      </c>
      <c r="BK227" t="str" cm="1">
        <f t="array" ref="BK227">_xlfn.IFS(V227=0,"No Combat",V227=1,"1 Tour",V227=2,"2 Tours",TRUE,"3+ Tours")</f>
        <v>1 Tour</v>
      </c>
      <c r="BL227" t="str">
        <f t="shared" si="15"/>
        <v>Standard</v>
      </c>
      <c r="BM227" t="str">
        <f t="shared" si="16"/>
        <v>Not Ready</v>
      </c>
      <c r="BN227" s="3">
        <f t="shared" si="17"/>
        <v>9.2444861567339276E-2</v>
      </c>
      <c r="BO227">
        <f t="shared" si="18"/>
        <v>462.4</v>
      </c>
    </row>
    <row r="228" spans="1:67" x14ac:dyDescent="0.25">
      <c r="A228" t="s">
        <v>515</v>
      </c>
      <c r="B228" t="s">
        <v>49</v>
      </c>
      <c r="C228" t="s">
        <v>264</v>
      </c>
      <c r="D228" t="s">
        <v>51</v>
      </c>
      <c r="E228">
        <v>41</v>
      </c>
      <c r="F228" t="s">
        <v>283</v>
      </c>
      <c r="G228" t="s">
        <v>124</v>
      </c>
      <c r="H228" t="s">
        <v>125</v>
      </c>
      <c r="I228" t="s">
        <v>268</v>
      </c>
      <c r="J228" t="s">
        <v>269</v>
      </c>
      <c r="K228" t="s">
        <v>173</v>
      </c>
      <c r="L228" t="s">
        <v>86</v>
      </c>
      <c r="M228" t="s">
        <v>207</v>
      </c>
      <c r="N228" t="s">
        <v>265</v>
      </c>
      <c r="O228" t="s">
        <v>61</v>
      </c>
      <c r="P228" s="1">
        <v>39794</v>
      </c>
      <c r="Q228">
        <v>15.5</v>
      </c>
      <c r="R228" t="s">
        <v>75</v>
      </c>
      <c r="S228" t="s">
        <v>219</v>
      </c>
      <c r="T228" t="s">
        <v>220</v>
      </c>
      <c r="U228">
        <v>0</v>
      </c>
      <c r="V228">
        <v>0</v>
      </c>
      <c r="W228" s="2">
        <v>2730</v>
      </c>
      <c r="X228" s="2">
        <v>886</v>
      </c>
      <c r="Y228" s="2">
        <v>422</v>
      </c>
      <c r="Z228" s="2">
        <v>4038</v>
      </c>
      <c r="AA228">
        <v>450</v>
      </c>
      <c r="AB228" t="s">
        <v>65</v>
      </c>
      <c r="AC228">
        <v>19.100000000000001</v>
      </c>
      <c r="AD228">
        <v>23</v>
      </c>
      <c r="AE228">
        <v>35</v>
      </c>
      <c r="AF228" t="s">
        <v>112</v>
      </c>
      <c r="AG228">
        <v>18</v>
      </c>
      <c r="AH228" t="s">
        <v>113</v>
      </c>
      <c r="AI228" t="s">
        <v>177</v>
      </c>
      <c r="AJ228" t="s">
        <v>188</v>
      </c>
      <c r="AK228" t="s">
        <v>70</v>
      </c>
      <c r="AL228" t="s">
        <v>71</v>
      </c>
      <c r="AM228" t="s">
        <v>70</v>
      </c>
      <c r="AN228" t="s">
        <v>270</v>
      </c>
      <c r="AO228" t="s">
        <v>227</v>
      </c>
      <c r="AP228" t="s">
        <v>72</v>
      </c>
      <c r="AQ228" t="s">
        <v>136</v>
      </c>
      <c r="AR228" s="1">
        <v>41398</v>
      </c>
      <c r="AS228" t="s">
        <v>75</v>
      </c>
      <c r="AT228" t="s">
        <v>71</v>
      </c>
      <c r="AU228">
        <v>0</v>
      </c>
      <c r="AV228" t="s">
        <v>179</v>
      </c>
      <c r="AW228" s="3">
        <v>48456</v>
      </c>
      <c r="AX228" t="s">
        <v>798</v>
      </c>
      <c r="AY228" t="s">
        <v>804</v>
      </c>
      <c r="AZ228" t="s">
        <v>813</v>
      </c>
      <c r="BA228" t="s">
        <v>800</v>
      </c>
      <c r="BB228" t="s">
        <v>801</v>
      </c>
      <c r="BC228" t="s">
        <v>802</v>
      </c>
      <c r="BD228" s="3">
        <v>0.11144130757800892</v>
      </c>
      <c r="BE228">
        <v>496.4</v>
      </c>
      <c r="BG228" s="2">
        <f t="shared" si="14"/>
        <v>48456</v>
      </c>
      <c r="BH228" t="str" cm="1">
        <f t="array" ref="BH228">_xlfn.IFS(Q228&lt;5,"0-5 Years",Q228&lt;10,"5-10 Years",Q228&lt;15,"10-15 Years",TRUE,"15+ Years")</f>
        <v>15+ Years</v>
      </c>
      <c r="BI228" t="str" cm="1">
        <f t="array" ref="BI228">_xlfn.IFS(AA228&gt;=540,"A",AA228&gt;=480,"B",AA228&gt;=420,"C",AA228&gt;=360,"D",TRUE,"F")</f>
        <v>C</v>
      </c>
      <c r="BJ228" t="str" cm="1">
        <f t="array" ref="BJ228">_xlfn.IFS(AU228&lt;0,"Separated",AU228&lt;=90,"High Risk",AU228&lt;=180,"Medium Risk",TRUE,"Retained")</f>
        <v>High Risk</v>
      </c>
      <c r="BK228" t="str" cm="1">
        <f t="array" ref="BK228">_xlfn.IFS(V228=0,"No Combat",V228=1,"1 Tour",V228=2,"2 Tours",TRUE,"3+ Tours")</f>
        <v>No Combat</v>
      </c>
      <c r="BL228" t="str">
        <f t="shared" si="15"/>
        <v>Standard</v>
      </c>
      <c r="BM228" t="str">
        <f t="shared" si="16"/>
        <v>Not Ready</v>
      </c>
      <c r="BN228" s="3">
        <f t="shared" si="17"/>
        <v>0.11144130757800892</v>
      </c>
      <c r="BO228">
        <f t="shared" si="18"/>
        <v>496.4</v>
      </c>
    </row>
    <row r="229" spans="1:67" x14ac:dyDescent="0.25">
      <c r="A229" t="s">
        <v>516</v>
      </c>
      <c r="B229" t="s">
        <v>251</v>
      </c>
      <c r="C229" t="s">
        <v>360</v>
      </c>
      <c r="D229" t="s">
        <v>51</v>
      </c>
      <c r="E229">
        <v>26</v>
      </c>
      <c r="F229" t="s">
        <v>192</v>
      </c>
      <c r="G229" t="s">
        <v>156</v>
      </c>
      <c r="H229" t="s">
        <v>157</v>
      </c>
      <c r="I229" t="s">
        <v>292</v>
      </c>
      <c r="J229" t="s">
        <v>293</v>
      </c>
      <c r="K229" t="s">
        <v>294</v>
      </c>
      <c r="L229" t="s">
        <v>106</v>
      </c>
      <c r="M229" t="s">
        <v>59</v>
      </c>
      <c r="N229" t="s">
        <v>108</v>
      </c>
      <c r="O229" t="s">
        <v>109</v>
      </c>
      <c r="P229" s="1">
        <v>40138</v>
      </c>
      <c r="Q229">
        <v>14.5</v>
      </c>
      <c r="R229" t="s">
        <v>195</v>
      </c>
      <c r="S229" t="s">
        <v>130</v>
      </c>
      <c r="T229" t="s">
        <v>131</v>
      </c>
      <c r="U229">
        <v>3</v>
      </c>
      <c r="V229">
        <v>0</v>
      </c>
      <c r="W229" s="2">
        <v>4836</v>
      </c>
      <c r="X229" s="2">
        <v>0</v>
      </c>
      <c r="Y229" s="2">
        <v>266</v>
      </c>
      <c r="Z229" s="2">
        <v>5102</v>
      </c>
      <c r="AA229">
        <v>420</v>
      </c>
      <c r="AB229" t="s">
        <v>65</v>
      </c>
      <c r="AC229">
        <v>20.7</v>
      </c>
      <c r="AD229">
        <v>48</v>
      </c>
      <c r="AE229">
        <v>56</v>
      </c>
      <c r="AF229" t="s">
        <v>66</v>
      </c>
      <c r="AG229">
        <v>31</v>
      </c>
      <c r="AH229" t="s">
        <v>67</v>
      </c>
      <c r="AI229" t="s">
        <v>68</v>
      </c>
      <c r="AJ229" t="s">
        <v>69</v>
      </c>
      <c r="AK229" t="s">
        <v>70</v>
      </c>
      <c r="AL229" t="s">
        <v>70</v>
      </c>
      <c r="AM229" t="s">
        <v>70</v>
      </c>
      <c r="AN229" t="s">
        <v>243</v>
      </c>
      <c r="AO229" t="s">
        <v>203</v>
      </c>
      <c r="AP229" t="s">
        <v>72</v>
      </c>
      <c r="AQ229" t="s">
        <v>136</v>
      </c>
      <c r="AR229" s="1">
        <v>39986</v>
      </c>
      <c r="AS229" t="s">
        <v>198</v>
      </c>
      <c r="AT229" t="s">
        <v>71</v>
      </c>
      <c r="AU229">
        <v>-358</v>
      </c>
      <c r="AV229" t="s">
        <v>179</v>
      </c>
      <c r="AW229" s="3">
        <v>61224</v>
      </c>
      <c r="AX229" t="s">
        <v>805</v>
      </c>
      <c r="AY229" t="s">
        <v>804</v>
      </c>
      <c r="AZ229" t="s">
        <v>810</v>
      </c>
      <c r="BA229" t="s">
        <v>800</v>
      </c>
      <c r="BB229" t="s">
        <v>801</v>
      </c>
      <c r="BC229" t="s">
        <v>802</v>
      </c>
      <c r="BD229" s="3">
        <v>8.2320658565268517E-2</v>
      </c>
      <c r="BE229">
        <v>482.4</v>
      </c>
      <c r="BG229" s="2">
        <f t="shared" si="14"/>
        <v>61224</v>
      </c>
      <c r="BH229" t="str" cm="1">
        <f t="array" ref="BH229">_xlfn.IFS(Q229&lt;5,"0-5 Years",Q229&lt;10,"5-10 Years",Q229&lt;15,"10-15 Years",TRUE,"15+ Years")</f>
        <v>10-15 Years</v>
      </c>
      <c r="BI229" t="str" cm="1">
        <f t="array" ref="BI229">_xlfn.IFS(AA229&gt;=540,"A",AA229&gt;=480,"B",AA229&gt;=420,"C",AA229&gt;=360,"D",TRUE,"F")</f>
        <v>C</v>
      </c>
      <c r="BJ229" t="str" cm="1">
        <f t="array" ref="BJ229">_xlfn.IFS(AU229&lt;0,"Separated",AU229&lt;=90,"High Risk",AU229&lt;=180,"Medium Risk",TRUE,"Retained")</f>
        <v>Separated</v>
      </c>
      <c r="BK229" t="str" cm="1">
        <f t="array" ref="BK229">_xlfn.IFS(V229=0,"No Combat",V229=1,"1 Tour",V229=2,"2 Tours",TRUE,"3+ Tours")</f>
        <v>No Combat</v>
      </c>
      <c r="BL229" t="str">
        <f t="shared" si="15"/>
        <v>Standard</v>
      </c>
      <c r="BM229" t="str">
        <f t="shared" si="16"/>
        <v>Not Ready</v>
      </c>
      <c r="BN229" s="3">
        <f t="shared" si="17"/>
        <v>8.2320658565268517E-2</v>
      </c>
      <c r="BO229">
        <f t="shared" si="18"/>
        <v>482.4</v>
      </c>
    </row>
    <row r="230" spans="1:67" x14ac:dyDescent="0.25">
      <c r="A230" t="s">
        <v>517</v>
      </c>
      <c r="B230" t="s">
        <v>49</v>
      </c>
      <c r="C230" t="s">
        <v>182</v>
      </c>
      <c r="D230" t="s">
        <v>51</v>
      </c>
      <c r="E230">
        <v>43</v>
      </c>
      <c r="F230" t="s">
        <v>52</v>
      </c>
      <c r="G230" t="s">
        <v>156</v>
      </c>
      <c r="H230" t="s">
        <v>157</v>
      </c>
      <c r="I230" t="s">
        <v>217</v>
      </c>
      <c r="J230" t="s">
        <v>218</v>
      </c>
      <c r="K230" t="s">
        <v>146</v>
      </c>
      <c r="L230" t="s">
        <v>106</v>
      </c>
      <c r="M230" t="s">
        <v>59</v>
      </c>
      <c r="N230" t="s">
        <v>88</v>
      </c>
      <c r="O230" t="s">
        <v>89</v>
      </c>
      <c r="P230" s="1">
        <v>42734</v>
      </c>
      <c r="Q230">
        <v>7.4</v>
      </c>
      <c r="R230" t="s">
        <v>90</v>
      </c>
      <c r="S230" t="s">
        <v>196</v>
      </c>
      <c r="T230" t="s">
        <v>197</v>
      </c>
      <c r="U230">
        <v>0</v>
      </c>
      <c r="V230">
        <v>0</v>
      </c>
      <c r="W230" s="2">
        <v>4836</v>
      </c>
      <c r="X230" s="2">
        <v>1284</v>
      </c>
      <c r="Y230" s="2">
        <v>266</v>
      </c>
      <c r="Z230" s="2">
        <v>6386</v>
      </c>
      <c r="AA230">
        <v>420</v>
      </c>
      <c r="AB230" t="s">
        <v>65</v>
      </c>
      <c r="AC230">
        <v>15.8</v>
      </c>
      <c r="AD230">
        <v>78</v>
      </c>
      <c r="AE230">
        <v>55</v>
      </c>
      <c r="AF230" t="s">
        <v>112</v>
      </c>
      <c r="AG230">
        <v>18</v>
      </c>
      <c r="AH230" t="s">
        <v>113</v>
      </c>
      <c r="AI230" t="s">
        <v>177</v>
      </c>
      <c r="AJ230" t="s">
        <v>188</v>
      </c>
      <c r="AK230" t="s">
        <v>70</v>
      </c>
      <c r="AL230" t="s">
        <v>70</v>
      </c>
      <c r="AM230" t="s">
        <v>70</v>
      </c>
      <c r="AN230" t="s">
        <v>231</v>
      </c>
      <c r="AO230" t="s">
        <v>72</v>
      </c>
      <c r="AP230" t="s">
        <v>72</v>
      </c>
      <c r="AQ230" t="s">
        <v>98</v>
      </c>
      <c r="AR230" s="1">
        <v>44299</v>
      </c>
      <c r="AS230" t="s">
        <v>75</v>
      </c>
      <c r="AT230" t="s">
        <v>71</v>
      </c>
      <c r="AU230">
        <v>1191</v>
      </c>
      <c r="AV230" t="s">
        <v>76</v>
      </c>
      <c r="AW230" s="3">
        <v>76632</v>
      </c>
      <c r="AX230" t="s">
        <v>808</v>
      </c>
      <c r="AY230" t="s">
        <v>804</v>
      </c>
      <c r="AZ230" t="s">
        <v>76</v>
      </c>
      <c r="BA230" t="s">
        <v>800</v>
      </c>
      <c r="BB230" t="s">
        <v>801</v>
      </c>
      <c r="BC230" t="s">
        <v>802</v>
      </c>
      <c r="BD230" s="3">
        <v>6.5768869401816477E-2</v>
      </c>
      <c r="BE230">
        <v>456.4</v>
      </c>
      <c r="BG230" s="2">
        <f t="shared" si="14"/>
        <v>76632</v>
      </c>
      <c r="BH230" t="str" cm="1">
        <f t="array" ref="BH230">_xlfn.IFS(Q230&lt;5,"0-5 Years",Q230&lt;10,"5-10 Years",Q230&lt;15,"10-15 Years",TRUE,"15+ Years")</f>
        <v>5-10 Years</v>
      </c>
      <c r="BI230" t="str" cm="1">
        <f t="array" ref="BI230">_xlfn.IFS(AA230&gt;=540,"A",AA230&gt;=480,"B",AA230&gt;=420,"C",AA230&gt;=360,"D",TRUE,"F")</f>
        <v>C</v>
      </c>
      <c r="BJ230" t="str" cm="1">
        <f t="array" ref="BJ230">_xlfn.IFS(AU230&lt;0,"Separated",AU230&lt;=90,"High Risk",AU230&lt;=180,"Medium Risk",TRUE,"Retained")</f>
        <v>Retained</v>
      </c>
      <c r="BK230" t="str" cm="1">
        <f t="array" ref="BK230">_xlfn.IFS(V230=0,"No Combat",V230=1,"1 Tour",V230=2,"2 Tours",TRUE,"3+ Tours")</f>
        <v>No Combat</v>
      </c>
      <c r="BL230" t="str">
        <f t="shared" si="15"/>
        <v>Standard</v>
      </c>
      <c r="BM230" t="str">
        <f t="shared" si="16"/>
        <v>Not Ready</v>
      </c>
      <c r="BN230" s="3">
        <f t="shared" si="17"/>
        <v>6.5768869401816477E-2</v>
      </c>
      <c r="BO230">
        <f t="shared" si="18"/>
        <v>456.4</v>
      </c>
    </row>
    <row r="231" spans="1:67" x14ac:dyDescent="0.25">
      <c r="A231" t="s">
        <v>518</v>
      </c>
      <c r="B231" t="s">
        <v>277</v>
      </c>
      <c r="C231" t="s">
        <v>257</v>
      </c>
      <c r="D231" t="s">
        <v>51</v>
      </c>
      <c r="E231">
        <v>20</v>
      </c>
      <c r="F231" t="s">
        <v>311</v>
      </c>
      <c r="G231" t="s">
        <v>101</v>
      </c>
      <c r="H231" t="s">
        <v>102</v>
      </c>
      <c r="I231" t="s">
        <v>260</v>
      </c>
      <c r="J231" t="s">
        <v>261</v>
      </c>
      <c r="K231" t="s">
        <v>173</v>
      </c>
      <c r="L231" t="s">
        <v>86</v>
      </c>
      <c r="M231" t="s">
        <v>147</v>
      </c>
      <c r="N231" t="s">
        <v>60</v>
      </c>
      <c r="O231" t="s">
        <v>176</v>
      </c>
      <c r="P231" s="1">
        <v>41800</v>
      </c>
      <c r="Q231">
        <v>10</v>
      </c>
      <c r="R231" t="s">
        <v>75</v>
      </c>
      <c r="S231" t="s">
        <v>63</v>
      </c>
      <c r="T231" t="s">
        <v>64</v>
      </c>
      <c r="U231">
        <v>0</v>
      </c>
      <c r="V231">
        <v>0</v>
      </c>
      <c r="W231" s="2">
        <v>2980</v>
      </c>
      <c r="X231" s="2">
        <v>1921</v>
      </c>
      <c r="Y231" s="2">
        <v>422</v>
      </c>
      <c r="Z231" s="2">
        <v>5323</v>
      </c>
      <c r="AA231">
        <v>316</v>
      </c>
      <c r="AB231" t="s">
        <v>151</v>
      </c>
      <c r="AC231">
        <v>16.399999999999999</v>
      </c>
      <c r="AD231">
        <v>21</v>
      </c>
      <c r="AE231">
        <v>78</v>
      </c>
      <c r="AF231" t="s">
        <v>93</v>
      </c>
      <c r="AG231">
        <v>36</v>
      </c>
      <c r="AH231" t="s">
        <v>94</v>
      </c>
      <c r="AI231" t="s">
        <v>114</v>
      </c>
      <c r="AJ231" t="s">
        <v>188</v>
      </c>
      <c r="AK231" t="s">
        <v>70</v>
      </c>
      <c r="AL231" t="s">
        <v>70</v>
      </c>
      <c r="AM231" t="s">
        <v>70</v>
      </c>
      <c r="AN231" t="s">
        <v>133</v>
      </c>
      <c r="AO231" t="s">
        <v>287</v>
      </c>
      <c r="AP231" t="s">
        <v>178</v>
      </c>
      <c r="AQ231" t="s">
        <v>136</v>
      </c>
      <c r="AR231" s="1">
        <v>44765</v>
      </c>
      <c r="AS231" t="s">
        <v>118</v>
      </c>
      <c r="AT231" t="s">
        <v>71</v>
      </c>
      <c r="AU231">
        <v>32</v>
      </c>
      <c r="AV231" t="s">
        <v>179</v>
      </c>
      <c r="AW231" s="3">
        <v>63876</v>
      </c>
      <c r="AX231" t="s">
        <v>805</v>
      </c>
      <c r="AY231" t="s">
        <v>122</v>
      </c>
      <c r="AZ231" t="s">
        <v>813</v>
      </c>
      <c r="BA231" t="s">
        <v>800</v>
      </c>
      <c r="BB231" t="s">
        <v>801</v>
      </c>
      <c r="BC231" t="s">
        <v>802</v>
      </c>
      <c r="BD231" s="3">
        <v>5.936501972571858E-2</v>
      </c>
      <c r="BE231">
        <v>388.4</v>
      </c>
      <c r="BG231" s="2">
        <f t="shared" si="14"/>
        <v>63876</v>
      </c>
      <c r="BH231" t="str" cm="1">
        <f t="array" ref="BH231">_xlfn.IFS(Q231&lt;5,"0-5 Years",Q231&lt;10,"5-10 Years",Q231&lt;15,"10-15 Years",TRUE,"15+ Years")</f>
        <v>10-15 Years</v>
      </c>
      <c r="BI231" t="str" cm="1">
        <f t="array" ref="BI231">_xlfn.IFS(AA231&gt;=540,"A",AA231&gt;=480,"B",AA231&gt;=420,"C",AA231&gt;=360,"D",TRUE,"F")</f>
        <v>F</v>
      </c>
      <c r="BJ231" t="str" cm="1">
        <f t="array" ref="BJ231">_xlfn.IFS(AU231&lt;0,"Separated",AU231&lt;=90,"High Risk",AU231&lt;=180,"Medium Risk",TRUE,"Retained")</f>
        <v>High Risk</v>
      </c>
      <c r="BK231" t="str" cm="1">
        <f t="array" ref="BK231">_xlfn.IFS(V231=0,"No Combat",V231=1,"1 Tour",V231=2,"2 Tours",TRUE,"3+ Tours")</f>
        <v>No Combat</v>
      </c>
      <c r="BL231" t="str">
        <f t="shared" si="15"/>
        <v>Standard</v>
      </c>
      <c r="BM231" t="str">
        <f t="shared" si="16"/>
        <v>Not Ready</v>
      </c>
      <c r="BN231" s="3">
        <f t="shared" si="17"/>
        <v>5.936501972571858E-2</v>
      </c>
      <c r="BO231">
        <f t="shared" si="18"/>
        <v>388.4</v>
      </c>
    </row>
    <row r="232" spans="1:67" x14ac:dyDescent="0.25">
      <c r="A232" t="s">
        <v>519</v>
      </c>
      <c r="B232" t="s">
        <v>267</v>
      </c>
      <c r="C232" t="s">
        <v>394</v>
      </c>
      <c r="D232" t="s">
        <v>122</v>
      </c>
      <c r="E232">
        <v>26</v>
      </c>
      <c r="F232" t="s">
        <v>123</v>
      </c>
      <c r="G232" t="s">
        <v>279</v>
      </c>
      <c r="H232" t="s">
        <v>280</v>
      </c>
      <c r="I232" t="s">
        <v>185</v>
      </c>
      <c r="J232" t="s">
        <v>186</v>
      </c>
      <c r="K232" t="s">
        <v>187</v>
      </c>
      <c r="L232" t="s">
        <v>106</v>
      </c>
      <c r="M232" t="s">
        <v>275</v>
      </c>
      <c r="N232" t="s">
        <v>88</v>
      </c>
      <c r="O232" t="s">
        <v>149</v>
      </c>
      <c r="P232" s="1">
        <v>43984</v>
      </c>
      <c r="Q232">
        <v>4</v>
      </c>
      <c r="R232" t="s">
        <v>208</v>
      </c>
      <c r="S232" t="s">
        <v>63</v>
      </c>
      <c r="T232" t="s">
        <v>64</v>
      </c>
      <c r="U232">
        <v>0</v>
      </c>
      <c r="V232">
        <v>0</v>
      </c>
      <c r="W232" s="2">
        <v>6618</v>
      </c>
      <c r="X232" s="2">
        <v>1470</v>
      </c>
      <c r="Y232" s="2">
        <v>266</v>
      </c>
      <c r="Z232" s="2">
        <v>8354</v>
      </c>
      <c r="AA232">
        <v>383</v>
      </c>
      <c r="AB232" t="s">
        <v>65</v>
      </c>
      <c r="AC232">
        <v>14.2</v>
      </c>
      <c r="AD232">
        <v>46</v>
      </c>
      <c r="AE232">
        <v>53</v>
      </c>
      <c r="AF232" t="s">
        <v>132</v>
      </c>
      <c r="AG232">
        <v>28</v>
      </c>
      <c r="AH232" t="s">
        <v>113</v>
      </c>
      <c r="AI232" t="s">
        <v>177</v>
      </c>
      <c r="AJ232" t="s">
        <v>188</v>
      </c>
      <c r="AK232" t="s">
        <v>71</v>
      </c>
      <c r="AL232" t="s">
        <v>70</v>
      </c>
      <c r="AM232" t="s">
        <v>70</v>
      </c>
      <c r="AN232" t="s">
        <v>115</v>
      </c>
      <c r="AO232" t="s">
        <v>116</v>
      </c>
      <c r="AP232" t="s">
        <v>72</v>
      </c>
      <c r="AQ232" t="s">
        <v>136</v>
      </c>
      <c r="AR232" s="1">
        <v>44363</v>
      </c>
      <c r="AS232" t="s">
        <v>198</v>
      </c>
      <c r="AT232" t="s">
        <v>71</v>
      </c>
      <c r="AU232">
        <v>111</v>
      </c>
      <c r="AV232" t="s">
        <v>179</v>
      </c>
      <c r="AW232" s="3">
        <v>100248</v>
      </c>
      <c r="AX232" t="s">
        <v>803</v>
      </c>
      <c r="AY232" t="s">
        <v>809</v>
      </c>
      <c r="AZ232" t="s">
        <v>815</v>
      </c>
      <c r="BA232" t="s">
        <v>800</v>
      </c>
      <c r="BB232" t="s">
        <v>801</v>
      </c>
      <c r="BC232" t="s">
        <v>802</v>
      </c>
      <c r="BD232" s="3">
        <v>4.5846301173090735E-2</v>
      </c>
      <c r="BE232">
        <v>449.4</v>
      </c>
      <c r="BG232" s="2">
        <f t="shared" si="14"/>
        <v>100248</v>
      </c>
      <c r="BH232" t="str" cm="1">
        <f t="array" ref="BH232">_xlfn.IFS(Q232&lt;5,"0-5 Years",Q232&lt;10,"5-10 Years",Q232&lt;15,"10-15 Years",TRUE,"15+ Years")</f>
        <v>0-5 Years</v>
      </c>
      <c r="BI232" t="str" cm="1">
        <f t="array" ref="BI232">_xlfn.IFS(AA232&gt;=540,"A",AA232&gt;=480,"B",AA232&gt;=420,"C",AA232&gt;=360,"D",TRUE,"F")</f>
        <v>D</v>
      </c>
      <c r="BJ232" t="str" cm="1">
        <f t="array" ref="BJ232">_xlfn.IFS(AU232&lt;0,"Separated",AU232&lt;=90,"High Risk",AU232&lt;=180,"Medium Risk",TRUE,"Retained")</f>
        <v>Medium Risk</v>
      </c>
      <c r="BK232" t="str" cm="1">
        <f t="array" ref="BK232">_xlfn.IFS(V232=0,"No Combat",V232=1,"1 Tour",V232=2,"2 Tours",TRUE,"3+ Tours")</f>
        <v>No Combat</v>
      </c>
      <c r="BL232" t="str">
        <f t="shared" si="15"/>
        <v>Standard</v>
      </c>
      <c r="BM232" t="str">
        <f t="shared" si="16"/>
        <v>Not Ready</v>
      </c>
      <c r="BN232" s="3">
        <f t="shared" si="17"/>
        <v>4.5846301173090735E-2</v>
      </c>
      <c r="BO232">
        <f t="shared" si="18"/>
        <v>449.4</v>
      </c>
    </row>
    <row r="233" spans="1:67" x14ac:dyDescent="0.25">
      <c r="A233" t="s">
        <v>520</v>
      </c>
      <c r="B233" t="s">
        <v>181</v>
      </c>
      <c r="C233" t="s">
        <v>332</v>
      </c>
      <c r="D233" t="s">
        <v>51</v>
      </c>
      <c r="E233">
        <v>31</v>
      </c>
      <c r="F233" t="s">
        <v>123</v>
      </c>
      <c r="G233" t="s">
        <v>81</v>
      </c>
      <c r="H233" t="s">
        <v>82</v>
      </c>
      <c r="I233" t="s">
        <v>268</v>
      </c>
      <c r="J233" t="s">
        <v>269</v>
      </c>
      <c r="K233" t="s">
        <v>173</v>
      </c>
      <c r="L233" t="s">
        <v>106</v>
      </c>
      <c r="M233" t="s">
        <v>147</v>
      </c>
      <c r="N233" t="s">
        <v>162</v>
      </c>
      <c r="O233" t="s">
        <v>109</v>
      </c>
      <c r="P233" s="1">
        <v>43871</v>
      </c>
      <c r="Q233">
        <v>4.3</v>
      </c>
      <c r="R233" t="s">
        <v>90</v>
      </c>
      <c r="S233" t="s">
        <v>91</v>
      </c>
      <c r="T233" t="s">
        <v>92</v>
      </c>
      <c r="U233">
        <v>3</v>
      </c>
      <c r="V233">
        <v>0</v>
      </c>
      <c r="W233" s="2">
        <v>2504</v>
      </c>
      <c r="X233" s="2">
        <v>0</v>
      </c>
      <c r="Y233" s="2">
        <v>422</v>
      </c>
      <c r="Z233" s="2">
        <v>2926</v>
      </c>
      <c r="AA233">
        <v>426</v>
      </c>
      <c r="AB233" t="s">
        <v>65</v>
      </c>
      <c r="AC233">
        <v>14.1</v>
      </c>
      <c r="AD233">
        <v>75</v>
      </c>
      <c r="AE233">
        <v>80</v>
      </c>
      <c r="AF233" t="s">
        <v>112</v>
      </c>
      <c r="AG233">
        <v>39</v>
      </c>
      <c r="AH233" t="s">
        <v>94</v>
      </c>
      <c r="AI233" t="s">
        <v>95</v>
      </c>
      <c r="AJ233" t="s">
        <v>188</v>
      </c>
      <c r="AK233" t="s">
        <v>70</v>
      </c>
      <c r="AL233" t="s">
        <v>70</v>
      </c>
      <c r="AM233" t="s">
        <v>70</v>
      </c>
      <c r="AN233" t="s">
        <v>72</v>
      </c>
      <c r="AO233" t="s">
        <v>287</v>
      </c>
      <c r="AP233" t="s">
        <v>72</v>
      </c>
      <c r="AQ233" t="s">
        <v>74</v>
      </c>
      <c r="AR233" s="1">
        <v>44367</v>
      </c>
      <c r="AS233" t="s">
        <v>118</v>
      </c>
      <c r="AT233" t="s">
        <v>71</v>
      </c>
      <c r="AU233">
        <v>464</v>
      </c>
      <c r="AV233" t="s">
        <v>76</v>
      </c>
      <c r="AW233" s="3">
        <v>35112</v>
      </c>
      <c r="AX233" t="s">
        <v>803</v>
      </c>
      <c r="AY233" t="s">
        <v>804</v>
      </c>
      <c r="AZ233" t="s">
        <v>76</v>
      </c>
      <c r="BA233" t="s">
        <v>800</v>
      </c>
      <c r="BB233" t="s">
        <v>801</v>
      </c>
      <c r="BC233" t="s">
        <v>802</v>
      </c>
      <c r="BD233" s="3">
        <v>0.14559125085440874</v>
      </c>
      <c r="BE233">
        <v>504.4</v>
      </c>
      <c r="BG233" s="2">
        <f t="shared" si="14"/>
        <v>35112</v>
      </c>
      <c r="BH233" t="str" cm="1">
        <f t="array" ref="BH233">_xlfn.IFS(Q233&lt;5,"0-5 Years",Q233&lt;10,"5-10 Years",Q233&lt;15,"10-15 Years",TRUE,"15+ Years")</f>
        <v>0-5 Years</v>
      </c>
      <c r="BI233" t="str" cm="1">
        <f t="array" ref="BI233">_xlfn.IFS(AA233&gt;=540,"A",AA233&gt;=480,"B",AA233&gt;=420,"C",AA233&gt;=360,"D",TRUE,"F")</f>
        <v>C</v>
      </c>
      <c r="BJ233" t="str" cm="1">
        <f t="array" ref="BJ233">_xlfn.IFS(AU233&lt;0,"Separated",AU233&lt;=90,"High Risk",AU233&lt;=180,"Medium Risk",TRUE,"Retained")</f>
        <v>Retained</v>
      </c>
      <c r="BK233" t="str" cm="1">
        <f t="array" ref="BK233">_xlfn.IFS(V233=0,"No Combat",V233=1,"1 Tour",V233=2,"2 Tours",TRUE,"3+ Tours")</f>
        <v>No Combat</v>
      </c>
      <c r="BL233" t="str">
        <f t="shared" si="15"/>
        <v>Standard</v>
      </c>
      <c r="BM233" t="str">
        <f t="shared" si="16"/>
        <v>Not Ready</v>
      </c>
      <c r="BN233" s="3">
        <f t="shared" si="17"/>
        <v>0.14559125085440874</v>
      </c>
      <c r="BO233">
        <f t="shared" si="18"/>
        <v>504.4</v>
      </c>
    </row>
    <row r="234" spans="1:67" x14ac:dyDescent="0.25">
      <c r="A234" t="s">
        <v>521</v>
      </c>
      <c r="B234" t="s">
        <v>282</v>
      </c>
      <c r="C234" t="s">
        <v>353</v>
      </c>
      <c r="D234" t="s">
        <v>122</v>
      </c>
      <c r="E234">
        <v>37</v>
      </c>
      <c r="F234" t="s">
        <v>291</v>
      </c>
      <c r="G234" t="s">
        <v>279</v>
      </c>
      <c r="H234" t="s">
        <v>280</v>
      </c>
      <c r="I234" t="s">
        <v>171</v>
      </c>
      <c r="J234" t="s">
        <v>172</v>
      </c>
      <c r="K234" t="s">
        <v>173</v>
      </c>
      <c r="L234" t="s">
        <v>174</v>
      </c>
      <c r="M234" t="s">
        <v>249</v>
      </c>
      <c r="N234" t="s">
        <v>108</v>
      </c>
      <c r="O234" t="s">
        <v>176</v>
      </c>
      <c r="P234" s="1">
        <v>44030</v>
      </c>
      <c r="Q234">
        <v>3.9</v>
      </c>
      <c r="R234" t="s">
        <v>208</v>
      </c>
      <c r="S234" t="s">
        <v>91</v>
      </c>
      <c r="T234" t="s">
        <v>92</v>
      </c>
      <c r="U234">
        <v>6</v>
      </c>
      <c r="V234">
        <v>1</v>
      </c>
      <c r="W234" s="2">
        <v>6618</v>
      </c>
      <c r="X234" s="2">
        <v>1585</v>
      </c>
      <c r="Y234" s="2">
        <v>266</v>
      </c>
      <c r="Z234" s="2">
        <v>8469</v>
      </c>
      <c r="AA234">
        <v>338</v>
      </c>
      <c r="AB234" t="s">
        <v>151</v>
      </c>
      <c r="AC234">
        <v>18.8</v>
      </c>
      <c r="AD234">
        <v>36</v>
      </c>
      <c r="AE234">
        <v>34</v>
      </c>
      <c r="AF234" t="s">
        <v>66</v>
      </c>
      <c r="AG234">
        <v>17</v>
      </c>
      <c r="AH234" t="s">
        <v>113</v>
      </c>
      <c r="AI234" t="s">
        <v>68</v>
      </c>
      <c r="AJ234" t="s">
        <v>72</v>
      </c>
      <c r="AK234" t="s">
        <v>71</v>
      </c>
      <c r="AL234" t="s">
        <v>70</v>
      </c>
      <c r="AM234" t="s">
        <v>70</v>
      </c>
      <c r="AN234" t="s">
        <v>202</v>
      </c>
      <c r="AO234" t="s">
        <v>221</v>
      </c>
      <c r="AP234" t="s">
        <v>287</v>
      </c>
      <c r="AQ234" t="s">
        <v>117</v>
      </c>
      <c r="AR234" s="1">
        <v>44976</v>
      </c>
      <c r="AS234" t="s">
        <v>198</v>
      </c>
      <c r="AT234" t="s">
        <v>71</v>
      </c>
      <c r="AU234">
        <v>-332</v>
      </c>
      <c r="AV234" t="s">
        <v>179</v>
      </c>
      <c r="AW234" s="3">
        <v>101628</v>
      </c>
      <c r="AX234" t="s">
        <v>803</v>
      </c>
      <c r="AY234" t="s">
        <v>122</v>
      </c>
      <c r="AZ234" t="s">
        <v>810</v>
      </c>
      <c r="BA234" t="s">
        <v>807</v>
      </c>
      <c r="BB234" t="s">
        <v>801</v>
      </c>
      <c r="BC234" t="s">
        <v>802</v>
      </c>
      <c r="BD234" s="3">
        <v>3.9910260951706224E-2</v>
      </c>
      <c r="BE234">
        <v>382.4</v>
      </c>
      <c r="BG234" s="2">
        <f t="shared" si="14"/>
        <v>101628</v>
      </c>
      <c r="BH234" t="str" cm="1">
        <f t="array" ref="BH234">_xlfn.IFS(Q234&lt;5,"0-5 Years",Q234&lt;10,"5-10 Years",Q234&lt;15,"10-15 Years",TRUE,"15+ Years")</f>
        <v>0-5 Years</v>
      </c>
      <c r="BI234" t="str" cm="1">
        <f t="array" ref="BI234">_xlfn.IFS(AA234&gt;=540,"A",AA234&gt;=480,"B",AA234&gt;=420,"C",AA234&gt;=360,"D",TRUE,"F")</f>
        <v>F</v>
      </c>
      <c r="BJ234" t="str" cm="1">
        <f t="array" ref="BJ234">_xlfn.IFS(AU234&lt;0,"Separated",AU234&lt;=90,"High Risk",AU234&lt;=180,"Medium Risk",TRUE,"Retained")</f>
        <v>Separated</v>
      </c>
      <c r="BK234" t="str" cm="1">
        <f t="array" ref="BK234">_xlfn.IFS(V234=0,"No Combat",V234=1,"1 Tour",V234=2,"2 Tours",TRUE,"3+ Tours")</f>
        <v>1 Tour</v>
      </c>
      <c r="BL234" t="str">
        <f t="shared" si="15"/>
        <v>Standard</v>
      </c>
      <c r="BM234" t="str">
        <f t="shared" si="16"/>
        <v>Not Ready</v>
      </c>
      <c r="BN234" s="3">
        <f t="shared" si="17"/>
        <v>3.9910260951706224E-2</v>
      </c>
      <c r="BO234">
        <f t="shared" si="18"/>
        <v>382.4</v>
      </c>
    </row>
    <row r="235" spans="1:67" x14ac:dyDescent="0.25">
      <c r="A235" t="s">
        <v>522</v>
      </c>
      <c r="B235" t="s">
        <v>181</v>
      </c>
      <c r="C235" t="s">
        <v>272</v>
      </c>
      <c r="D235" t="s">
        <v>51</v>
      </c>
      <c r="E235">
        <v>28</v>
      </c>
      <c r="F235" t="s">
        <v>141</v>
      </c>
      <c r="G235" t="s">
        <v>285</v>
      </c>
      <c r="H235" t="s">
        <v>286</v>
      </c>
      <c r="I235" t="s">
        <v>236</v>
      </c>
      <c r="J235" t="s">
        <v>237</v>
      </c>
      <c r="K235" t="s">
        <v>238</v>
      </c>
      <c r="L235" t="s">
        <v>86</v>
      </c>
      <c r="M235" t="s">
        <v>249</v>
      </c>
      <c r="N235" t="s">
        <v>108</v>
      </c>
      <c r="O235" t="s">
        <v>89</v>
      </c>
      <c r="P235" s="1">
        <v>40952</v>
      </c>
      <c r="Q235">
        <v>12.3</v>
      </c>
      <c r="R235" t="s">
        <v>195</v>
      </c>
      <c r="S235" t="s">
        <v>219</v>
      </c>
      <c r="T235" t="s">
        <v>220</v>
      </c>
      <c r="U235">
        <v>0</v>
      </c>
      <c r="V235">
        <v>0</v>
      </c>
      <c r="W235" s="2">
        <v>7668</v>
      </c>
      <c r="X235" s="2">
        <v>1886</v>
      </c>
      <c r="Y235" s="2">
        <v>266</v>
      </c>
      <c r="Z235" s="2">
        <v>9820</v>
      </c>
      <c r="AA235">
        <v>312</v>
      </c>
      <c r="AB235" t="s">
        <v>151</v>
      </c>
      <c r="AC235">
        <v>13.7</v>
      </c>
      <c r="AD235">
        <v>27</v>
      </c>
      <c r="AE235">
        <v>50</v>
      </c>
      <c r="AF235" t="s">
        <v>93</v>
      </c>
      <c r="AG235">
        <v>31</v>
      </c>
      <c r="AH235" t="s">
        <v>67</v>
      </c>
      <c r="AI235" t="s">
        <v>114</v>
      </c>
      <c r="AJ235" t="s">
        <v>96</v>
      </c>
      <c r="AK235" t="s">
        <v>70</v>
      </c>
      <c r="AL235" t="s">
        <v>70</v>
      </c>
      <c r="AM235" t="s">
        <v>70</v>
      </c>
      <c r="AN235" t="s">
        <v>72</v>
      </c>
      <c r="AO235" t="s">
        <v>134</v>
      </c>
      <c r="AP235" t="s">
        <v>227</v>
      </c>
      <c r="AQ235" t="s">
        <v>117</v>
      </c>
      <c r="AR235" s="1">
        <v>42126</v>
      </c>
      <c r="AS235" t="s">
        <v>198</v>
      </c>
      <c r="AT235" t="s">
        <v>71</v>
      </c>
      <c r="AU235">
        <v>-277</v>
      </c>
      <c r="AV235" t="s">
        <v>179</v>
      </c>
      <c r="AW235" s="3">
        <v>117840</v>
      </c>
      <c r="AX235" t="s">
        <v>805</v>
      </c>
      <c r="AY235" t="s">
        <v>122</v>
      </c>
      <c r="AZ235" t="s">
        <v>810</v>
      </c>
      <c r="BA235" t="s">
        <v>800</v>
      </c>
      <c r="BB235" t="s">
        <v>801</v>
      </c>
      <c r="BC235" t="s">
        <v>802</v>
      </c>
      <c r="BD235" s="3">
        <v>3.1771894093686352E-2</v>
      </c>
      <c r="BE235">
        <v>374.4</v>
      </c>
      <c r="BG235" s="2">
        <f t="shared" si="14"/>
        <v>117840</v>
      </c>
      <c r="BH235" t="str" cm="1">
        <f t="array" ref="BH235">_xlfn.IFS(Q235&lt;5,"0-5 Years",Q235&lt;10,"5-10 Years",Q235&lt;15,"10-15 Years",TRUE,"15+ Years")</f>
        <v>10-15 Years</v>
      </c>
      <c r="BI235" t="str" cm="1">
        <f t="array" ref="BI235">_xlfn.IFS(AA235&gt;=540,"A",AA235&gt;=480,"B",AA235&gt;=420,"C",AA235&gt;=360,"D",TRUE,"F")</f>
        <v>F</v>
      </c>
      <c r="BJ235" t="str" cm="1">
        <f t="array" ref="BJ235">_xlfn.IFS(AU235&lt;0,"Separated",AU235&lt;=90,"High Risk",AU235&lt;=180,"Medium Risk",TRUE,"Retained")</f>
        <v>Separated</v>
      </c>
      <c r="BK235" t="str" cm="1">
        <f t="array" ref="BK235">_xlfn.IFS(V235=0,"No Combat",V235=1,"1 Tour",V235=2,"2 Tours",TRUE,"3+ Tours")</f>
        <v>No Combat</v>
      </c>
      <c r="BL235" t="str">
        <f t="shared" si="15"/>
        <v>Standard</v>
      </c>
      <c r="BM235" t="str">
        <f t="shared" si="16"/>
        <v>Not Ready</v>
      </c>
      <c r="BN235" s="3">
        <f t="shared" si="17"/>
        <v>3.1771894093686352E-2</v>
      </c>
      <c r="BO235">
        <f t="shared" si="18"/>
        <v>374.4</v>
      </c>
    </row>
    <row r="236" spans="1:67" x14ac:dyDescent="0.25">
      <c r="A236" t="s">
        <v>523</v>
      </c>
      <c r="B236" t="s">
        <v>205</v>
      </c>
      <c r="C236" t="s">
        <v>264</v>
      </c>
      <c r="D236" t="s">
        <v>51</v>
      </c>
      <c r="E236">
        <v>41</v>
      </c>
      <c r="F236" t="s">
        <v>283</v>
      </c>
      <c r="G236" t="s">
        <v>285</v>
      </c>
      <c r="H236" t="s">
        <v>286</v>
      </c>
      <c r="I236" t="s">
        <v>217</v>
      </c>
      <c r="J236" t="s">
        <v>218</v>
      </c>
      <c r="K236" t="s">
        <v>146</v>
      </c>
      <c r="L236" t="s">
        <v>58</v>
      </c>
      <c r="M236" t="s">
        <v>59</v>
      </c>
      <c r="N236" t="s">
        <v>162</v>
      </c>
      <c r="O236" t="s">
        <v>109</v>
      </c>
      <c r="P236" s="1">
        <v>39303</v>
      </c>
      <c r="Q236">
        <v>16.8</v>
      </c>
      <c r="R236" t="s">
        <v>150</v>
      </c>
      <c r="S236" t="s">
        <v>91</v>
      </c>
      <c r="T236" t="s">
        <v>92</v>
      </c>
      <c r="U236">
        <v>1</v>
      </c>
      <c r="V236">
        <v>0</v>
      </c>
      <c r="W236" s="2">
        <v>7668</v>
      </c>
      <c r="X236" s="2">
        <v>1704</v>
      </c>
      <c r="Y236" s="2">
        <v>266</v>
      </c>
      <c r="Z236" s="2">
        <v>9638</v>
      </c>
      <c r="AA236">
        <v>524</v>
      </c>
      <c r="AB236" t="s">
        <v>65</v>
      </c>
      <c r="AC236">
        <v>20.9</v>
      </c>
      <c r="AD236">
        <v>55</v>
      </c>
      <c r="AE236">
        <v>61</v>
      </c>
      <c r="AF236" t="s">
        <v>132</v>
      </c>
      <c r="AG236">
        <v>19</v>
      </c>
      <c r="AH236" t="s">
        <v>113</v>
      </c>
      <c r="AI236" t="s">
        <v>68</v>
      </c>
      <c r="AJ236" t="s">
        <v>188</v>
      </c>
      <c r="AK236" t="s">
        <v>70</v>
      </c>
      <c r="AL236" t="s">
        <v>71</v>
      </c>
      <c r="AM236" t="s">
        <v>70</v>
      </c>
      <c r="AN236" t="s">
        <v>270</v>
      </c>
      <c r="AO236" t="s">
        <v>72</v>
      </c>
      <c r="AP236" t="s">
        <v>97</v>
      </c>
      <c r="AQ236" t="s">
        <v>117</v>
      </c>
      <c r="AR236" s="1">
        <v>43392</v>
      </c>
      <c r="AS236" t="s">
        <v>118</v>
      </c>
      <c r="AT236" t="s">
        <v>71</v>
      </c>
      <c r="AU236">
        <v>239</v>
      </c>
      <c r="AV236" t="s">
        <v>76</v>
      </c>
      <c r="AW236" s="3">
        <v>115656</v>
      </c>
      <c r="AX236" t="s">
        <v>798</v>
      </c>
      <c r="AY236" t="s">
        <v>806</v>
      </c>
      <c r="AZ236" t="s">
        <v>76</v>
      </c>
      <c r="BA236" t="s">
        <v>800</v>
      </c>
      <c r="BB236" t="s">
        <v>801</v>
      </c>
      <c r="BC236" t="s">
        <v>802</v>
      </c>
      <c r="BD236" s="3">
        <v>5.4368126167254616E-2</v>
      </c>
      <c r="BE236">
        <v>572.4</v>
      </c>
      <c r="BG236" s="2">
        <f t="shared" si="14"/>
        <v>115656</v>
      </c>
      <c r="BH236" t="str" cm="1">
        <f t="array" ref="BH236">_xlfn.IFS(Q236&lt;5,"0-5 Years",Q236&lt;10,"5-10 Years",Q236&lt;15,"10-15 Years",TRUE,"15+ Years")</f>
        <v>15+ Years</v>
      </c>
      <c r="BI236" t="str" cm="1">
        <f t="array" ref="BI236">_xlfn.IFS(AA236&gt;=540,"A",AA236&gt;=480,"B",AA236&gt;=420,"C",AA236&gt;=360,"D",TRUE,"F")</f>
        <v>B</v>
      </c>
      <c r="BJ236" t="str" cm="1">
        <f t="array" ref="BJ236">_xlfn.IFS(AU236&lt;0,"Separated",AU236&lt;=90,"High Risk",AU236&lt;=180,"Medium Risk",TRUE,"Retained")</f>
        <v>Retained</v>
      </c>
      <c r="BK236" t="str" cm="1">
        <f t="array" ref="BK236">_xlfn.IFS(V236=0,"No Combat",V236=1,"1 Tour",V236=2,"2 Tours",TRUE,"3+ Tours")</f>
        <v>No Combat</v>
      </c>
      <c r="BL236" t="str">
        <f t="shared" si="15"/>
        <v>Standard</v>
      </c>
      <c r="BM236" t="str">
        <f t="shared" si="16"/>
        <v>Not Ready</v>
      </c>
      <c r="BN236" s="3">
        <f t="shared" si="17"/>
        <v>5.4368126167254616E-2</v>
      </c>
      <c r="BO236">
        <f t="shared" si="18"/>
        <v>572.4</v>
      </c>
    </row>
    <row r="237" spans="1:67" x14ac:dyDescent="0.25">
      <c r="A237" t="s">
        <v>524</v>
      </c>
      <c r="B237" t="s">
        <v>120</v>
      </c>
      <c r="C237" t="s">
        <v>223</v>
      </c>
      <c r="D237" t="s">
        <v>122</v>
      </c>
      <c r="E237">
        <v>38</v>
      </c>
      <c r="F237" t="s">
        <v>305</v>
      </c>
      <c r="G237" t="s">
        <v>285</v>
      </c>
      <c r="H237" t="s">
        <v>286</v>
      </c>
      <c r="I237" t="s">
        <v>158</v>
      </c>
      <c r="J237" t="s">
        <v>159</v>
      </c>
      <c r="K237" t="s">
        <v>160</v>
      </c>
      <c r="L237" t="s">
        <v>174</v>
      </c>
      <c r="M237" t="s">
        <v>161</v>
      </c>
      <c r="N237" t="s">
        <v>60</v>
      </c>
      <c r="O237" t="s">
        <v>176</v>
      </c>
      <c r="P237" s="1">
        <v>43934</v>
      </c>
      <c r="Q237">
        <v>4.0999999999999996</v>
      </c>
      <c r="R237" t="s">
        <v>75</v>
      </c>
      <c r="S237" t="s">
        <v>219</v>
      </c>
      <c r="T237" t="s">
        <v>220</v>
      </c>
      <c r="U237">
        <v>0</v>
      </c>
      <c r="V237">
        <v>0</v>
      </c>
      <c r="W237" s="2">
        <v>7668</v>
      </c>
      <c r="X237" s="2">
        <v>1049</v>
      </c>
      <c r="Y237" s="2">
        <v>266</v>
      </c>
      <c r="Z237" s="2">
        <v>8983</v>
      </c>
      <c r="AA237">
        <v>455</v>
      </c>
      <c r="AB237" t="s">
        <v>65</v>
      </c>
      <c r="AC237">
        <v>15.7</v>
      </c>
      <c r="AD237">
        <v>79</v>
      </c>
      <c r="AE237">
        <v>36</v>
      </c>
      <c r="AF237" t="s">
        <v>93</v>
      </c>
      <c r="AG237">
        <v>16</v>
      </c>
      <c r="AH237" t="s">
        <v>113</v>
      </c>
      <c r="AI237" t="s">
        <v>95</v>
      </c>
      <c r="AJ237" t="s">
        <v>96</v>
      </c>
      <c r="AK237" t="s">
        <v>71</v>
      </c>
      <c r="AL237" t="s">
        <v>70</v>
      </c>
      <c r="AM237" t="s">
        <v>71</v>
      </c>
      <c r="AN237" t="s">
        <v>133</v>
      </c>
      <c r="AO237" t="s">
        <v>97</v>
      </c>
      <c r="AP237" t="s">
        <v>72</v>
      </c>
      <c r="AQ237" t="s">
        <v>74</v>
      </c>
      <c r="AR237" s="1">
        <v>45463</v>
      </c>
      <c r="AS237" t="s">
        <v>75</v>
      </c>
      <c r="AT237" t="s">
        <v>71</v>
      </c>
      <c r="AU237">
        <v>29</v>
      </c>
      <c r="AV237" t="s">
        <v>179</v>
      </c>
      <c r="AW237" s="3">
        <v>107796</v>
      </c>
      <c r="AX237" t="s">
        <v>803</v>
      </c>
      <c r="AY237" t="s">
        <v>804</v>
      </c>
      <c r="AZ237" t="s">
        <v>813</v>
      </c>
      <c r="BA237" t="s">
        <v>800</v>
      </c>
      <c r="BB237" t="s">
        <v>801</v>
      </c>
      <c r="BC237" t="s">
        <v>802</v>
      </c>
      <c r="BD237" s="3">
        <v>5.0651230101302458E-2</v>
      </c>
      <c r="BE237">
        <v>517.4</v>
      </c>
      <c r="BG237" s="2">
        <f t="shared" si="14"/>
        <v>107796</v>
      </c>
      <c r="BH237" t="str" cm="1">
        <f t="array" ref="BH237">_xlfn.IFS(Q237&lt;5,"0-5 Years",Q237&lt;10,"5-10 Years",Q237&lt;15,"10-15 Years",TRUE,"15+ Years")</f>
        <v>0-5 Years</v>
      </c>
      <c r="BI237" t="str" cm="1">
        <f t="array" ref="BI237">_xlfn.IFS(AA237&gt;=540,"A",AA237&gt;=480,"B",AA237&gt;=420,"C",AA237&gt;=360,"D",TRUE,"F")</f>
        <v>C</v>
      </c>
      <c r="BJ237" t="str" cm="1">
        <f t="array" ref="BJ237">_xlfn.IFS(AU237&lt;0,"Separated",AU237&lt;=90,"High Risk",AU237&lt;=180,"Medium Risk",TRUE,"Retained")</f>
        <v>High Risk</v>
      </c>
      <c r="BK237" t="str" cm="1">
        <f t="array" ref="BK237">_xlfn.IFS(V237=0,"No Combat",V237=1,"1 Tour",V237=2,"2 Tours",TRUE,"3+ Tours")</f>
        <v>No Combat</v>
      </c>
      <c r="BL237" t="str">
        <f t="shared" si="15"/>
        <v>Standard</v>
      </c>
      <c r="BM237" t="str">
        <f t="shared" si="16"/>
        <v>Not Ready</v>
      </c>
      <c r="BN237" s="3">
        <f t="shared" si="17"/>
        <v>5.0651230101302458E-2</v>
      </c>
      <c r="BO237">
        <f t="shared" si="18"/>
        <v>517.4</v>
      </c>
    </row>
    <row r="238" spans="1:67" x14ac:dyDescent="0.25">
      <c r="A238" t="s">
        <v>525</v>
      </c>
      <c r="B238" t="s">
        <v>139</v>
      </c>
      <c r="C238" t="s">
        <v>191</v>
      </c>
      <c r="D238" t="s">
        <v>51</v>
      </c>
      <c r="E238">
        <v>43</v>
      </c>
      <c r="F238" t="s">
        <v>52</v>
      </c>
      <c r="G238" t="s">
        <v>142</v>
      </c>
      <c r="H238" t="s">
        <v>143</v>
      </c>
      <c r="I238" t="s">
        <v>83</v>
      </c>
      <c r="J238" t="s">
        <v>84</v>
      </c>
      <c r="K238" t="s">
        <v>85</v>
      </c>
      <c r="L238" t="s">
        <v>174</v>
      </c>
      <c r="M238" t="s">
        <v>59</v>
      </c>
      <c r="N238" t="s">
        <v>60</v>
      </c>
      <c r="O238" t="s">
        <v>61</v>
      </c>
      <c r="P238" s="1">
        <v>43286</v>
      </c>
      <c r="Q238">
        <v>5.9</v>
      </c>
      <c r="R238" t="s">
        <v>195</v>
      </c>
      <c r="S238" t="s">
        <v>91</v>
      </c>
      <c r="T238" t="s">
        <v>92</v>
      </c>
      <c r="U238">
        <v>2</v>
      </c>
      <c r="V238">
        <v>0</v>
      </c>
      <c r="W238" s="2">
        <v>5473</v>
      </c>
      <c r="X238" s="2">
        <v>1616</v>
      </c>
      <c r="Y238" s="2">
        <v>422</v>
      </c>
      <c r="Z238" s="2">
        <v>7511</v>
      </c>
      <c r="AA238">
        <v>494</v>
      </c>
      <c r="AB238" t="s">
        <v>65</v>
      </c>
      <c r="AC238">
        <v>14</v>
      </c>
      <c r="AD238">
        <v>81</v>
      </c>
      <c r="AE238">
        <v>79</v>
      </c>
      <c r="AF238" t="s">
        <v>66</v>
      </c>
      <c r="AG238">
        <v>16</v>
      </c>
      <c r="AH238" t="s">
        <v>113</v>
      </c>
      <c r="AI238" t="s">
        <v>68</v>
      </c>
      <c r="AJ238" t="s">
        <v>188</v>
      </c>
      <c r="AK238" t="s">
        <v>71</v>
      </c>
      <c r="AL238" t="s">
        <v>70</v>
      </c>
      <c r="AM238" t="s">
        <v>70</v>
      </c>
      <c r="AN238" t="s">
        <v>72</v>
      </c>
      <c r="AO238" t="s">
        <v>73</v>
      </c>
      <c r="AP238" t="s">
        <v>72</v>
      </c>
      <c r="AQ238" t="s">
        <v>74</v>
      </c>
      <c r="AR238" s="1">
        <v>43494</v>
      </c>
      <c r="AS238" t="s">
        <v>118</v>
      </c>
      <c r="AT238" t="s">
        <v>71</v>
      </c>
      <c r="AU238">
        <v>1005</v>
      </c>
      <c r="AV238" t="s">
        <v>76</v>
      </c>
      <c r="AW238" s="3">
        <v>90132</v>
      </c>
      <c r="AX238" t="s">
        <v>808</v>
      </c>
      <c r="AY238" t="s">
        <v>806</v>
      </c>
      <c r="AZ238" t="s">
        <v>76</v>
      </c>
      <c r="BA238" t="s">
        <v>800</v>
      </c>
      <c r="BB238" t="s">
        <v>801</v>
      </c>
      <c r="BC238" t="s">
        <v>802</v>
      </c>
      <c r="BD238" s="3">
        <v>6.5770203701238178E-2</v>
      </c>
      <c r="BE238">
        <v>536.4</v>
      </c>
      <c r="BG238" s="2">
        <f t="shared" si="14"/>
        <v>90132</v>
      </c>
      <c r="BH238" t="str" cm="1">
        <f t="array" ref="BH238">_xlfn.IFS(Q238&lt;5,"0-5 Years",Q238&lt;10,"5-10 Years",Q238&lt;15,"10-15 Years",TRUE,"15+ Years")</f>
        <v>5-10 Years</v>
      </c>
      <c r="BI238" t="str" cm="1">
        <f t="array" ref="BI238">_xlfn.IFS(AA238&gt;=540,"A",AA238&gt;=480,"B",AA238&gt;=420,"C",AA238&gt;=360,"D",TRUE,"F")</f>
        <v>B</v>
      </c>
      <c r="BJ238" t="str" cm="1">
        <f t="array" ref="BJ238">_xlfn.IFS(AU238&lt;0,"Separated",AU238&lt;=90,"High Risk",AU238&lt;=180,"Medium Risk",TRUE,"Retained")</f>
        <v>Retained</v>
      </c>
      <c r="BK238" t="str" cm="1">
        <f t="array" ref="BK238">_xlfn.IFS(V238=0,"No Combat",V238=1,"1 Tour",V238=2,"2 Tours",TRUE,"3+ Tours")</f>
        <v>No Combat</v>
      </c>
      <c r="BL238" t="str">
        <f t="shared" si="15"/>
        <v>Standard</v>
      </c>
      <c r="BM238" t="str">
        <f t="shared" si="16"/>
        <v>Not Ready</v>
      </c>
      <c r="BN238" s="3">
        <f t="shared" si="17"/>
        <v>6.5770203701238178E-2</v>
      </c>
      <c r="BO238">
        <f t="shared" si="18"/>
        <v>536.4</v>
      </c>
    </row>
    <row r="239" spans="1:67" x14ac:dyDescent="0.25">
      <c r="A239" t="s">
        <v>526</v>
      </c>
      <c r="B239" t="s">
        <v>229</v>
      </c>
      <c r="C239" t="s">
        <v>167</v>
      </c>
      <c r="D239" t="s">
        <v>51</v>
      </c>
      <c r="E239">
        <v>38</v>
      </c>
      <c r="F239" t="s">
        <v>283</v>
      </c>
      <c r="G239" t="s">
        <v>156</v>
      </c>
      <c r="H239" t="s">
        <v>157</v>
      </c>
      <c r="I239" t="s">
        <v>185</v>
      </c>
      <c r="J239" t="s">
        <v>186</v>
      </c>
      <c r="K239" t="s">
        <v>187</v>
      </c>
      <c r="L239" t="s">
        <v>86</v>
      </c>
      <c r="M239" t="s">
        <v>87</v>
      </c>
      <c r="N239" t="s">
        <v>148</v>
      </c>
      <c r="O239" t="s">
        <v>109</v>
      </c>
      <c r="P239" s="1">
        <v>39092</v>
      </c>
      <c r="Q239">
        <v>17.399999999999999</v>
      </c>
      <c r="R239" t="s">
        <v>129</v>
      </c>
      <c r="S239" t="s">
        <v>196</v>
      </c>
      <c r="T239" t="s">
        <v>197</v>
      </c>
      <c r="U239">
        <v>0</v>
      </c>
      <c r="V239">
        <v>0</v>
      </c>
      <c r="W239" s="2">
        <v>4836</v>
      </c>
      <c r="X239" s="2">
        <v>1665</v>
      </c>
      <c r="Y239" s="2">
        <v>266</v>
      </c>
      <c r="Z239" s="2">
        <v>6767</v>
      </c>
      <c r="AA239">
        <v>508</v>
      </c>
      <c r="AB239" t="s">
        <v>65</v>
      </c>
      <c r="AC239">
        <v>17.7</v>
      </c>
      <c r="AD239">
        <v>47</v>
      </c>
      <c r="AE239">
        <v>70</v>
      </c>
      <c r="AF239" t="s">
        <v>66</v>
      </c>
      <c r="AG239">
        <v>17</v>
      </c>
      <c r="AH239" t="s">
        <v>113</v>
      </c>
      <c r="AI239" t="s">
        <v>177</v>
      </c>
      <c r="AJ239" t="s">
        <v>188</v>
      </c>
      <c r="AK239" t="s">
        <v>70</v>
      </c>
      <c r="AL239" t="s">
        <v>70</v>
      </c>
      <c r="AM239" t="s">
        <v>70</v>
      </c>
      <c r="AN239" t="s">
        <v>270</v>
      </c>
      <c r="AO239" t="s">
        <v>203</v>
      </c>
      <c r="AP239" t="s">
        <v>72</v>
      </c>
      <c r="AQ239" t="s">
        <v>74</v>
      </c>
      <c r="AR239" s="1">
        <v>45649</v>
      </c>
      <c r="AS239" t="s">
        <v>75</v>
      </c>
      <c r="AT239" t="s">
        <v>71</v>
      </c>
      <c r="AU239">
        <v>1456</v>
      </c>
      <c r="AV239" t="s">
        <v>76</v>
      </c>
      <c r="AW239" s="3">
        <v>81204</v>
      </c>
      <c r="AX239" t="s">
        <v>798</v>
      </c>
      <c r="AY239" t="s">
        <v>806</v>
      </c>
      <c r="AZ239" t="s">
        <v>76</v>
      </c>
      <c r="BA239" t="s">
        <v>800</v>
      </c>
      <c r="BB239" t="s">
        <v>801</v>
      </c>
      <c r="BC239" t="s">
        <v>802</v>
      </c>
      <c r="BD239" s="3">
        <v>7.5070193586522838E-2</v>
      </c>
      <c r="BE239">
        <v>542.4</v>
      </c>
      <c r="BG239" s="2">
        <f t="shared" si="14"/>
        <v>81204</v>
      </c>
      <c r="BH239" t="str" cm="1">
        <f t="array" ref="BH239">_xlfn.IFS(Q239&lt;5,"0-5 Years",Q239&lt;10,"5-10 Years",Q239&lt;15,"10-15 Years",TRUE,"15+ Years")</f>
        <v>15+ Years</v>
      </c>
      <c r="BI239" t="str" cm="1">
        <f t="array" ref="BI239">_xlfn.IFS(AA239&gt;=540,"A",AA239&gt;=480,"B",AA239&gt;=420,"C",AA239&gt;=360,"D",TRUE,"F")</f>
        <v>B</v>
      </c>
      <c r="BJ239" t="str" cm="1">
        <f t="array" ref="BJ239">_xlfn.IFS(AU239&lt;0,"Separated",AU239&lt;=90,"High Risk",AU239&lt;=180,"Medium Risk",TRUE,"Retained")</f>
        <v>Retained</v>
      </c>
      <c r="BK239" t="str" cm="1">
        <f t="array" ref="BK239">_xlfn.IFS(V239=0,"No Combat",V239=1,"1 Tour",V239=2,"2 Tours",TRUE,"3+ Tours")</f>
        <v>No Combat</v>
      </c>
      <c r="BL239" t="str">
        <f t="shared" si="15"/>
        <v>Standard</v>
      </c>
      <c r="BM239" t="str">
        <f t="shared" si="16"/>
        <v>Not Ready</v>
      </c>
      <c r="BN239" s="3">
        <f t="shared" si="17"/>
        <v>7.5070193586522838E-2</v>
      </c>
      <c r="BO239">
        <f t="shared" si="18"/>
        <v>542.4</v>
      </c>
    </row>
    <row r="240" spans="1:67" x14ac:dyDescent="0.25">
      <c r="A240" t="s">
        <v>527</v>
      </c>
      <c r="B240" t="s">
        <v>377</v>
      </c>
      <c r="C240" t="s">
        <v>233</v>
      </c>
      <c r="D240" t="s">
        <v>51</v>
      </c>
      <c r="E240">
        <v>19</v>
      </c>
      <c r="F240" t="s">
        <v>325</v>
      </c>
      <c r="G240" t="s">
        <v>142</v>
      </c>
      <c r="H240" t="s">
        <v>143</v>
      </c>
      <c r="I240" t="s">
        <v>144</v>
      </c>
      <c r="J240" t="s">
        <v>145</v>
      </c>
      <c r="K240" t="s">
        <v>146</v>
      </c>
      <c r="L240" t="s">
        <v>58</v>
      </c>
      <c r="M240" t="s">
        <v>147</v>
      </c>
      <c r="N240" t="s">
        <v>162</v>
      </c>
      <c r="O240" t="s">
        <v>176</v>
      </c>
      <c r="P240" s="1">
        <v>43010</v>
      </c>
      <c r="Q240">
        <v>6.7</v>
      </c>
      <c r="R240" t="s">
        <v>150</v>
      </c>
      <c r="S240" t="s">
        <v>163</v>
      </c>
      <c r="T240" t="s">
        <v>164</v>
      </c>
      <c r="U240">
        <v>2</v>
      </c>
      <c r="V240">
        <v>0</v>
      </c>
      <c r="W240" s="2">
        <v>5473</v>
      </c>
      <c r="X240" s="2">
        <v>0</v>
      </c>
      <c r="Y240" s="2">
        <v>422</v>
      </c>
      <c r="Z240" s="2">
        <v>5895</v>
      </c>
      <c r="AA240">
        <v>527</v>
      </c>
      <c r="AB240" t="s">
        <v>65</v>
      </c>
      <c r="AC240">
        <v>16.8</v>
      </c>
      <c r="AD240">
        <v>46</v>
      </c>
      <c r="AE240">
        <v>36</v>
      </c>
      <c r="AF240" t="s">
        <v>112</v>
      </c>
      <c r="AG240">
        <v>27</v>
      </c>
      <c r="AH240" t="s">
        <v>113</v>
      </c>
      <c r="AI240" t="s">
        <v>95</v>
      </c>
      <c r="AJ240" t="s">
        <v>69</v>
      </c>
      <c r="AK240" t="s">
        <v>70</v>
      </c>
      <c r="AL240" t="s">
        <v>71</v>
      </c>
      <c r="AM240" t="s">
        <v>70</v>
      </c>
      <c r="AN240" t="s">
        <v>72</v>
      </c>
      <c r="AO240" t="s">
        <v>134</v>
      </c>
      <c r="AP240" t="s">
        <v>72</v>
      </c>
      <c r="AQ240" t="s">
        <v>136</v>
      </c>
      <c r="AR240" s="1">
        <v>44599</v>
      </c>
      <c r="AS240" t="s">
        <v>75</v>
      </c>
      <c r="AT240" t="s">
        <v>71</v>
      </c>
      <c r="AU240">
        <v>1342</v>
      </c>
      <c r="AV240" t="s">
        <v>76</v>
      </c>
      <c r="AW240" s="3">
        <v>70740</v>
      </c>
      <c r="AX240" t="s">
        <v>808</v>
      </c>
      <c r="AY240" t="s">
        <v>806</v>
      </c>
      <c r="AZ240" t="s">
        <v>76</v>
      </c>
      <c r="BA240" t="s">
        <v>800</v>
      </c>
      <c r="BB240" t="s">
        <v>801</v>
      </c>
      <c r="BC240" t="s">
        <v>802</v>
      </c>
      <c r="BD240" s="3">
        <v>8.9397794741306186E-2</v>
      </c>
      <c r="BE240">
        <v>591.4</v>
      </c>
      <c r="BG240" s="2">
        <f t="shared" si="14"/>
        <v>70740</v>
      </c>
      <c r="BH240" t="str" cm="1">
        <f t="array" ref="BH240">_xlfn.IFS(Q240&lt;5,"0-5 Years",Q240&lt;10,"5-10 Years",Q240&lt;15,"10-15 Years",TRUE,"15+ Years")</f>
        <v>5-10 Years</v>
      </c>
      <c r="BI240" t="str" cm="1">
        <f t="array" ref="BI240">_xlfn.IFS(AA240&gt;=540,"A",AA240&gt;=480,"B",AA240&gt;=420,"C",AA240&gt;=360,"D",TRUE,"F")</f>
        <v>B</v>
      </c>
      <c r="BJ240" t="str" cm="1">
        <f t="array" ref="BJ240">_xlfn.IFS(AU240&lt;0,"Separated",AU240&lt;=90,"High Risk",AU240&lt;=180,"Medium Risk",TRUE,"Retained")</f>
        <v>Retained</v>
      </c>
      <c r="BK240" t="str" cm="1">
        <f t="array" ref="BK240">_xlfn.IFS(V240=0,"No Combat",V240=1,"1 Tour",V240=2,"2 Tours",TRUE,"3+ Tours")</f>
        <v>No Combat</v>
      </c>
      <c r="BL240" t="str">
        <f t="shared" si="15"/>
        <v>Standard</v>
      </c>
      <c r="BM240" t="str">
        <f t="shared" si="16"/>
        <v>Not Ready</v>
      </c>
      <c r="BN240" s="3">
        <f t="shared" si="17"/>
        <v>8.9397794741306186E-2</v>
      </c>
      <c r="BO240">
        <f t="shared" si="18"/>
        <v>591.4</v>
      </c>
    </row>
    <row r="241" spans="1:67" x14ac:dyDescent="0.25">
      <c r="A241" t="s">
        <v>528</v>
      </c>
      <c r="B241" t="s">
        <v>181</v>
      </c>
      <c r="C241" t="s">
        <v>360</v>
      </c>
      <c r="D241" t="s">
        <v>51</v>
      </c>
      <c r="E241">
        <v>22</v>
      </c>
      <c r="F241" t="s">
        <v>192</v>
      </c>
      <c r="G241" t="s">
        <v>169</v>
      </c>
      <c r="H241" t="s">
        <v>170</v>
      </c>
      <c r="I241" t="s">
        <v>273</v>
      </c>
      <c r="J241" t="s">
        <v>274</v>
      </c>
      <c r="K241" t="s">
        <v>57</v>
      </c>
      <c r="L241" t="s">
        <v>174</v>
      </c>
      <c r="M241" t="s">
        <v>59</v>
      </c>
      <c r="N241" t="s">
        <v>148</v>
      </c>
      <c r="O241" t="s">
        <v>176</v>
      </c>
      <c r="P241" s="1">
        <v>43869</v>
      </c>
      <c r="Q241">
        <v>4.3</v>
      </c>
      <c r="R241" t="s">
        <v>195</v>
      </c>
      <c r="S241" t="s">
        <v>163</v>
      </c>
      <c r="T241" t="s">
        <v>164</v>
      </c>
      <c r="U241">
        <v>13</v>
      </c>
      <c r="V241">
        <v>2</v>
      </c>
      <c r="W241" s="2">
        <v>3294</v>
      </c>
      <c r="X241" s="2">
        <v>0</v>
      </c>
      <c r="Y241" s="2">
        <v>422</v>
      </c>
      <c r="Z241" s="2">
        <v>3716</v>
      </c>
      <c r="AA241">
        <v>377</v>
      </c>
      <c r="AB241" t="s">
        <v>65</v>
      </c>
      <c r="AC241">
        <v>12.5</v>
      </c>
      <c r="AD241">
        <v>27</v>
      </c>
      <c r="AE241">
        <v>30</v>
      </c>
      <c r="AF241" t="s">
        <v>132</v>
      </c>
      <c r="AG241">
        <v>30</v>
      </c>
      <c r="AH241" t="s">
        <v>67</v>
      </c>
      <c r="AI241" t="s">
        <v>177</v>
      </c>
      <c r="AJ241" t="s">
        <v>96</v>
      </c>
      <c r="AK241" t="s">
        <v>70</v>
      </c>
      <c r="AL241" t="s">
        <v>70</v>
      </c>
      <c r="AM241" t="s">
        <v>71</v>
      </c>
      <c r="AN241" t="s">
        <v>72</v>
      </c>
      <c r="AO241" t="s">
        <v>72</v>
      </c>
      <c r="AP241" t="s">
        <v>72</v>
      </c>
      <c r="AQ241" t="s">
        <v>74</v>
      </c>
      <c r="AR241" s="1">
        <v>43863</v>
      </c>
      <c r="AS241" t="s">
        <v>118</v>
      </c>
      <c r="AT241" t="s">
        <v>71</v>
      </c>
      <c r="AU241">
        <v>270</v>
      </c>
      <c r="AV241" t="s">
        <v>76</v>
      </c>
      <c r="AW241" s="3">
        <v>44592</v>
      </c>
      <c r="AX241" t="s">
        <v>803</v>
      </c>
      <c r="AY241" t="s">
        <v>809</v>
      </c>
      <c r="AZ241" t="s">
        <v>76</v>
      </c>
      <c r="BA241" t="s">
        <v>811</v>
      </c>
      <c r="BB241" t="s">
        <v>801</v>
      </c>
      <c r="BC241" t="s">
        <v>812</v>
      </c>
      <c r="BD241" s="3">
        <v>0.10145317545748116</v>
      </c>
      <c r="BE241">
        <v>457.4</v>
      </c>
      <c r="BG241" s="2">
        <f t="shared" si="14"/>
        <v>44592</v>
      </c>
      <c r="BH241" t="str" cm="1">
        <f t="array" ref="BH241">_xlfn.IFS(Q241&lt;5,"0-5 Years",Q241&lt;10,"5-10 Years",Q241&lt;15,"10-15 Years",TRUE,"15+ Years")</f>
        <v>0-5 Years</v>
      </c>
      <c r="BI241" t="str" cm="1">
        <f t="array" ref="BI241">_xlfn.IFS(AA241&gt;=540,"A",AA241&gt;=480,"B",AA241&gt;=420,"C",AA241&gt;=360,"D",TRUE,"F")</f>
        <v>D</v>
      </c>
      <c r="BJ241" t="str" cm="1">
        <f t="array" ref="BJ241">_xlfn.IFS(AU241&lt;0,"Separated",AU241&lt;=90,"High Risk",AU241&lt;=180,"Medium Risk",TRUE,"Retained")</f>
        <v>Retained</v>
      </c>
      <c r="BK241" t="str" cm="1">
        <f t="array" ref="BK241">_xlfn.IFS(V241=0,"No Combat",V241=1,"1 Tour",V241=2,"2 Tours",TRUE,"3+ Tours")</f>
        <v>2 Tours</v>
      </c>
      <c r="BL241" t="str">
        <f t="shared" si="15"/>
        <v>Standard</v>
      </c>
      <c r="BM241" t="str">
        <f t="shared" si="16"/>
        <v>Promotion Ready</v>
      </c>
      <c r="BN241" s="3">
        <f t="shared" si="17"/>
        <v>0.10145317545748116</v>
      </c>
      <c r="BO241">
        <f t="shared" si="18"/>
        <v>457.4</v>
      </c>
    </row>
    <row r="242" spans="1:67" x14ac:dyDescent="0.25">
      <c r="A242" t="s">
        <v>529</v>
      </c>
      <c r="B242" t="s">
        <v>308</v>
      </c>
      <c r="C242" t="s">
        <v>155</v>
      </c>
      <c r="D242" t="s">
        <v>51</v>
      </c>
      <c r="E242">
        <v>24</v>
      </c>
      <c r="F242" t="s">
        <v>224</v>
      </c>
      <c r="G242" t="s">
        <v>124</v>
      </c>
      <c r="H242" t="s">
        <v>125</v>
      </c>
      <c r="I242" t="s">
        <v>158</v>
      </c>
      <c r="J242" t="s">
        <v>159</v>
      </c>
      <c r="K242" t="s">
        <v>160</v>
      </c>
      <c r="L242" t="s">
        <v>58</v>
      </c>
      <c r="M242" t="s">
        <v>212</v>
      </c>
      <c r="N242" t="s">
        <v>128</v>
      </c>
      <c r="O242" t="s">
        <v>61</v>
      </c>
      <c r="P242" s="1">
        <v>39916</v>
      </c>
      <c r="Q242">
        <v>15.1</v>
      </c>
      <c r="R242" t="s">
        <v>75</v>
      </c>
      <c r="S242" t="s">
        <v>163</v>
      </c>
      <c r="T242" t="s">
        <v>164</v>
      </c>
      <c r="U242">
        <v>9</v>
      </c>
      <c r="V242">
        <v>1</v>
      </c>
      <c r="W242" s="2">
        <v>2730</v>
      </c>
      <c r="X242" s="2">
        <v>0</v>
      </c>
      <c r="Y242" s="2">
        <v>422</v>
      </c>
      <c r="Z242" s="2">
        <v>3152</v>
      </c>
      <c r="AA242">
        <v>375</v>
      </c>
      <c r="AB242" t="s">
        <v>65</v>
      </c>
      <c r="AC242">
        <v>16.5</v>
      </c>
      <c r="AD242">
        <v>21</v>
      </c>
      <c r="AE242">
        <v>37</v>
      </c>
      <c r="AF242" t="s">
        <v>93</v>
      </c>
      <c r="AG242">
        <v>39</v>
      </c>
      <c r="AH242" t="s">
        <v>94</v>
      </c>
      <c r="AI242" t="s">
        <v>152</v>
      </c>
      <c r="AJ242" t="s">
        <v>72</v>
      </c>
      <c r="AK242" t="s">
        <v>70</v>
      </c>
      <c r="AL242" t="s">
        <v>70</v>
      </c>
      <c r="AM242" t="s">
        <v>70</v>
      </c>
      <c r="AN242" t="s">
        <v>72</v>
      </c>
      <c r="AO242" t="s">
        <v>72</v>
      </c>
      <c r="AP242" t="s">
        <v>72</v>
      </c>
      <c r="AQ242" t="s">
        <v>74</v>
      </c>
      <c r="AR242" s="1">
        <v>39878</v>
      </c>
      <c r="AS242" t="s">
        <v>198</v>
      </c>
      <c r="AT242" t="s">
        <v>71</v>
      </c>
      <c r="AU242">
        <v>-80</v>
      </c>
      <c r="AV242" t="s">
        <v>179</v>
      </c>
      <c r="AW242" s="3">
        <v>37824</v>
      </c>
      <c r="AX242" t="s">
        <v>798</v>
      </c>
      <c r="AY242" t="s">
        <v>809</v>
      </c>
      <c r="AZ242" t="s">
        <v>810</v>
      </c>
      <c r="BA242" t="s">
        <v>807</v>
      </c>
      <c r="BB242" t="s">
        <v>801</v>
      </c>
      <c r="BC242" t="s">
        <v>812</v>
      </c>
      <c r="BD242" s="3">
        <v>0.11897208121827411</v>
      </c>
      <c r="BE242">
        <v>453.4</v>
      </c>
      <c r="BG242" s="2">
        <f t="shared" si="14"/>
        <v>37824</v>
      </c>
      <c r="BH242" t="str" cm="1">
        <f t="array" ref="BH242">_xlfn.IFS(Q242&lt;5,"0-5 Years",Q242&lt;10,"5-10 Years",Q242&lt;15,"10-15 Years",TRUE,"15+ Years")</f>
        <v>15+ Years</v>
      </c>
      <c r="BI242" t="str" cm="1">
        <f t="array" ref="BI242">_xlfn.IFS(AA242&gt;=540,"A",AA242&gt;=480,"B",AA242&gt;=420,"C",AA242&gt;=360,"D",TRUE,"F")</f>
        <v>D</v>
      </c>
      <c r="BJ242" t="str" cm="1">
        <f t="array" ref="BJ242">_xlfn.IFS(AU242&lt;0,"Separated",AU242&lt;=90,"High Risk",AU242&lt;=180,"Medium Risk",TRUE,"Retained")</f>
        <v>Separated</v>
      </c>
      <c r="BK242" t="str" cm="1">
        <f t="array" ref="BK242">_xlfn.IFS(V242=0,"No Combat",V242=1,"1 Tour",V242=2,"2 Tours",TRUE,"3+ Tours")</f>
        <v>1 Tour</v>
      </c>
      <c r="BL242" t="str">
        <f t="shared" si="15"/>
        <v>Standard</v>
      </c>
      <c r="BM242" t="str">
        <f t="shared" si="16"/>
        <v>Promotion Ready</v>
      </c>
      <c r="BN242" s="3">
        <f t="shared" si="17"/>
        <v>0.11897208121827411</v>
      </c>
      <c r="BO242">
        <f t="shared" si="18"/>
        <v>453.4</v>
      </c>
    </row>
    <row r="243" spans="1:67" x14ac:dyDescent="0.25">
      <c r="A243" t="s">
        <v>530</v>
      </c>
      <c r="B243" t="s">
        <v>308</v>
      </c>
      <c r="C243" t="s">
        <v>369</v>
      </c>
      <c r="D243" t="s">
        <v>122</v>
      </c>
      <c r="E243">
        <v>32</v>
      </c>
      <c r="F243" t="s">
        <v>52</v>
      </c>
      <c r="G243" t="s">
        <v>142</v>
      </c>
      <c r="H243" t="s">
        <v>143</v>
      </c>
      <c r="I243" t="s">
        <v>268</v>
      </c>
      <c r="J243" t="s">
        <v>269</v>
      </c>
      <c r="K243" t="s">
        <v>173</v>
      </c>
      <c r="L243" t="s">
        <v>126</v>
      </c>
      <c r="M243" t="s">
        <v>212</v>
      </c>
      <c r="N243" t="s">
        <v>162</v>
      </c>
      <c r="O243" t="s">
        <v>61</v>
      </c>
      <c r="P243" s="1">
        <v>43194</v>
      </c>
      <c r="Q243">
        <v>6.2</v>
      </c>
      <c r="R243" t="s">
        <v>75</v>
      </c>
      <c r="S243" t="s">
        <v>219</v>
      </c>
      <c r="T243" t="s">
        <v>220</v>
      </c>
      <c r="U243">
        <v>0</v>
      </c>
      <c r="V243">
        <v>0</v>
      </c>
      <c r="W243" s="2">
        <v>5473</v>
      </c>
      <c r="X243" s="2">
        <v>2052</v>
      </c>
      <c r="Y243" s="2">
        <v>422</v>
      </c>
      <c r="Z243" s="2">
        <v>7947</v>
      </c>
      <c r="AA243">
        <v>299</v>
      </c>
      <c r="AB243" t="s">
        <v>151</v>
      </c>
      <c r="AC243">
        <v>14.5</v>
      </c>
      <c r="AD243">
        <v>23</v>
      </c>
      <c r="AE243">
        <v>63</v>
      </c>
      <c r="AF243" t="s">
        <v>132</v>
      </c>
      <c r="AG243">
        <v>34</v>
      </c>
      <c r="AH243" t="s">
        <v>67</v>
      </c>
      <c r="AI243" t="s">
        <v>177</v>
      </c>
      <c r="AJ243" t="s">
        <v>72</v>
      </c>
      <c r="AK243" t="s">
        <v>70</v>
      </c>
      <c r="AL243" t="s">
        <v>70</v>
      </c>
      <c r="AM243" t="s">
        <v>70</v>
      </c>
      <c r="AN243" t="s">
        <v>72</v>
      </c>
      <c r="AO243" t="s">
        <v>221</v>
      </c>
      <c r="AP243" t="s">
        <v>134</v>
      </c>
      <c r="AQ243" t="s">
        <v>74</v>
      </c>
      <c r="AR243" s="1">
        <v>43888</v>
      </c>
      <c r="AS243" t="s">
        <v>118</v>
      </c>
      <c r="AT243" t="s">
        <v>71</v>
      </c>
      <c r="AU243">
        <v>1422</v>
      </c>
      <c r="AV243" t="s">
        <v>76</v>
      </c>
      <c r="AW243" s="3">
        <v>95364</v>
      </c>
      <c r="AX243" t="s">
        <v>808</v>
      </c>
      <c r="AY243" t="s">
        <v>122</v>
      </c>
      <c r="AZ243" t="s">
        <v>76</v>
      </c>
      <c r="BA243" t="s">
        <v>800</v>
      </c>
      <c r="BB243" t="s">
        <v>801</v>
      </c>
      <c r="BC243" t="s">
        <v>802</v>
      </c>
      <c r="BD243" s="3">
        <v>3.7624260727318483E-2</v>
      </c>
      <c r="BE243">
        <v>367.4</v>
      </c>
      <c r="BG243" s="2">
        <f t="shared" si="14"/>
        <v>95364</v>
      </c>
      <c r="BH243" t="str" cm="1">
        <f t="array" ref="BH243">_xlfn.IFS(Q243&lt;5,"0-5 Years",Q243&lt;10,"5-10 Years",Q243&lt;15,"10-15 Years",TRUE,"15+ Years")</f>
        <v>5-10 Years</v>
      </c>
      <c r="BI243" t="str" cm="1">
        <f t="array" ref="BI243">_xlfn.IFS(AA243&gt;=540,"A",AA243&gt;=480,"B",AA243&gt;=420,"C",AA243&gt;=360,"D",TRUE,"F")</f>
        <v>F</v>
      </c>
      <c r="BJ243" t="str" cm="1">
        <f t="array" ref="BJ243">_xlfn.IFS(AU243&lt;0,"Separated",AU243&lt;=90,"High Risk",AU243&lt;=180,"Medium Risk",TRUE,"Retained")</f>
        <v>Retained</v>
      </c>
      <c r="BK243" t="str" cm="1">
        <f t="array" ref="BK243">_xlfn.IFS(V243=0,"No Combat",V243=1,"1 Tour",V243=2,"2 Tours",TRUE,"3+ Tours")</f>
        <v>No Combat</v>
      </c>
      <c r="BL243" t="str">
        <f t="shared" si="15"/>
        <v>Standard</v>
      </c>
      <c r="BM243" t="str">
        <f t="shared" si="16"/>
        <v>Not Ready</v>
      </c>
      <c r="BN243" s="3">
        <f t="shared" si="17"/>
        <v>3.7624260727318483E-2</v>
      </c>
      <c r="BO243">
        <f t="shared" si="18"/>
        <v>367.4</v>
      </c>
    </row>
    <row r="244" spans="1:67" x14ac:dyDescent="0.25">
      <c r="A244" t="s">
        <v>531</v>
      </c>
      <c r="B244" t="s">
        <v>120</v>
      </c>
      <c r="C244" t="s">
        <v>200</v>
      </c>
      <c r="D244" t="s">
        <v>51</v>
      </c>
      <c r="E244">
        <v>33</v>
      </c>
      <c r="F244" t="s">
        <v>311</v>
      </c>
      <c r="G244" t="s">
        <v>53</v>
      </c>
      <c r="H244" t="s">
        <v>54</v>
      </c>
      <c r="I244" t="s">
        <v>225</v>
      </c>
      <c r="J244" t="s">
        <v>226</v>
      </c>
      <c r="K244" t="s">
        <v>105</v>
      </c>
      <c r="L244" t="s">
        <v>106</v>
      </c>
      <c r="M244" t="s">
        <v>161</v>
      </c>
      <c r="N244" t="s">
        <v>148</v>
      </c>
      <c r="O244" t="s">
        <v>109</v>
      </c>
      <c r="P244" s="1">
        <v>39427</v>
      </c>
      <c r="Q244">
        <v>16.5</v>
      </c>
      <c r="R244" t="s">
        <v>62</v>
      </c>
      <c r="S244" t="s">
        <v>110</v>
      </c>
      <c r="T244" t="s">
        <v>111</v>
      </c>
      <c r="U244">
        <v>12</v>
      </c>
      <c r="V244">
        <v>2</v>
      </c>
      <c r="W244" s="2">
        <v>4739</v>
      </c>
      <c r="X244" s="2">
        <v>1653</v>
      </c>
      <c r="Y244" s="2">
        <v>422</v>
      </c>
      <c r="Z244" s="2">
        <v>6814</v>
      </c>
      <c r="AA244">
        <v>396</v>
      </c>
      <c r="AB244" t="s">
        <v>65</v>
      </c>
      <c r="AC244">
        <v>19.3</v>
      </c>
      <c r="AD244">
        <v>71</v>
      </c>
      <c r="AE244">
        <v>40</v>
      </c>
      <c r="AF244" t="s">
        <v>112</v>
      </c>
      <c r="AG244">
        <v>38</v>
      </c>
      <c r="AH244" t="s">
        <v>94</v>
      </c>
      <c r="AI244" t="s">
        <v>95</v>
      </c>
      <c r="AJ244" t="s">
        <v>188</v>
      </c>
      <c r="AK244" t="s">
        <v>70</v>
      </c>
      <c r="AL244" t="s">
        <v>71</v>
      </c>
      <c r="AM244" t="s">
        <v>70</v>
      </c>
      <c r="AN244" t="s">
        <v>72</v>
      </c>
      <c r="AO244" t="s">
        <v>72</v>
      </c>
      <c r="AP244" t="s">
        <v>72</v>
      </c>
      <c r="AQ244" t="s">
        <v>74</v>
      </c>
      <c r="AR244" s="1">
        <v>40798</v>
      </c>
      <c r="AS244" t="s">
        <v>198</v>
      </c>
      <c r="AT244" t="s">
        <v>71</v>
      </c>
      <c r="AU244">
        <v>1780</v>
      </c>
      <c r="AV244" t="s">
        <v>76</v>
      </c>
      <c r="AW244" s="3">
        <v>81768</v>
      </c>
      <c r="AX244" t="s">
        <v>798</v>
      </c>
      <c r="AY244" t="s">
        <v>809</v>
      </c>
      <c r="AZ244" t="s">
        <v>76</v>
      </c>
      <c r="BA244" t="s">
        <v>811</v>
      </c>
      <c r="BB244" t="s">
        <v>801</v>
      </c>
      <c r="BC244" t="s">
        <v>802</v>
      </c>
      <c r="BD244" s="3">
        <v>5.8115644261813912E-2</v>
      </c>
      <c r="BE244">
        <v>482.4</v>
      </c>
      <c r="BG244" s="2">
        <f t="shared" si="14"/>
        <v>81768</v>
      </c>
      <c r="BH244" t="str" cm="1">
        <f t="array" ref="BH244">_xlfn.IFS(Q244&lt;5,"0-5 Years",Q244&lt;10,"5-10 Years",Q244&lt;15,"10-15 Years",TRUE,"15+ Years")</f>
        <v>15+ Years</v>
      </c>
      <c r="BI244" t="str" cm="1">
        <f t="array" ref="BI244">_xlfn.IFS(AA244&gt;=540,"A",AA244&gt;=480,"B",AA244&gt;=420,"C",AA244&gt;=360,"D",TRUE,"F")</f>
        <v>D</v>
      </c>
      <c r="BJ244" t="str" cm="1">
        <f t="array" ref="BJ244">_xlfn.IFS(AU244&lt;0,"Separated",AU244&lt;=90,"High Risk",AU244&lt;=180,"Medium Risk",TRUE,"Retained")</f>
        <v>Retained</v>
      </c>
      <c r="BK244" t="str" cm="1">
        <f t="array" ref="BK244">_xlfn.IFS(V244=0,"No Combat",V244=1,"1 Tour",V244=2,"2 Tours",TRUE,"3+ Tours")</f>
        <v>2 Tours</v>
      </c>
      <c r="BL244" t="str">
        <f t="shared" si="15"/>
        <v>Standard</v>
      </c>
      <c r="BM244" t="str">
        <f t="shared" si="16"/>
        <v>Not Ready</v>
      </c>
      <c r="BN244" s="3">
        <f t="shared" si="17"/>
        <v>5.8115644261813912E-2</v>
      </c>
      <c r="BO244">
        <f t="shared" si="18"/>
        <v>482.4</v>
      </c>
    </row>
    <row r="245" spans="1:67" x14ac:dyDescent="0.25">
      <c r="A245" t="s">
        <v>532</v>
      </c>
      <c r="B245" t="s">
        <v>282</v>
      </c>
      <c r="C245" t="s">
        <v>50</v>
      </c>
      <c r="D245" t="s">
        <v>51</v>
      </c>
      <c r="E245">
        <v>37</v>
      </c>
      <c r="F245" t="s">
        <v>311</v>
      </c>
      <c r="G245" t="s">
        <v>242</v>
      </c>
      <c r="H245" t="s">
        <v>54</v>
      </c>
      <c r="I245" t="s">
        <v>83</v>
      </c>
      <c r="J245" t="s">
        <v>84</v>
      </c>
      <c r="K245" t="s">
        <v>85</v>
      </c>
      <c r="L245" t="s">
        <v>106</v>
      </c>
      <c r="M245" t="s">
        <v>275</v>
      </c>
      <c r="N245" t="s">
        <v>108</v>
      </c>
      <c r="O245" t="s">
        <v>61</v>
      </c>
      <c r="P245" s="1">
        <v>38614</v>
      </c>
      <c r="Q245">
        <v>18.7</v>
      </c>
      <c r="R245" t="s">
        <v>90</v>
      </c>
      <c r="S245" t="s">
        <v>196</v>
      </c>
      <c r="T245" t="s">
        <v>197</v>
      </c>
      <c r="U245">
        <v>0</v>
      </c>
      <c r="V245">
        <v>0</v>
      </c>
      <c r="W245" s="2">
        <v>4739</v>
      </c>
      <c r="X245" s="2">
        <v>930</v>
      </c>
      <c r="Y245" s="2">
        <v>422</v>
      </c>
      <c r="Z245" s="2">
        <v>6091</v>
      </c>
      <c r="AA245">
        <v>351</v>
      </c>
      <c r="AB245" t="s">
        <v>151</v>
      </c>
      <c r="AC245">
        <v>16.2</v>
      </c>
      <c r="AD245">
        <v>59</v>
      </c>
      <c r="AE245">
        <v>44</v>
      </c>
      <c r="AF245" t="s">
        <v>93</v>
      </c>
      <c r="AG245">
        <v>31</v>
      </c>
      <c r="AH245" t="s">
        <v>67</v>
      </c>
      <c r="AI245" t="s">
        <v>177</v>
      </c>
      <c r="AJ245" t="s">
        <v>72</v>
      </c>
      <c r="AK245" t="s">
        <v>70</v>
      </c>
      <c r="AL245" t="s">
        <v>71</v>
      </c>
      <c r="AM245" t="s">
        <v>70</v>
      </c>
      <c r="AN245" t="s">
        <v>270</v>
      </c>
      <c r="AO245" t="s">
        <v>134</v>
      </c>
      <c r="AP245" t="s">
        <v>72</v>
      </c>
      <c r="AQ245" t="s">
        <v>117</v>
      </c>
      <c r="AR245" s="1">
        <v>39220</v>
      </c>
      <c r="AS245" t="s">
        <v>198</v>
      </c>
      <c r="AT245" t="s">
        <v>71</v>
      </c>
      <c r="AU245">
        <v>-83</v>
      </c>
      <c r="AV245" t="s">
        <v>179</v>
      </c>
      <c r="AW245" s="3">
        <v>73092</v>
      </c>
      <c r="AX245" t="s">
        <v>798</v>
      </c>
      <c r="AY245" t="s">
        <v>122</v>
      </c>
      <c r="AZ245" t="s">
        <v>810</v>
      </c>
      <c r="BA245" t="s">
        <v>800</v>
      </c>
      <c r="BB245" t="s">
        <v>801</v>
      </c>
      <c r="BC245" t="s">
        <v>802</v>
      </c>
      <c r="BD245" s="3">
        <v>5.7626005582006236E-2</v>
      </c>
      <c r="BE245">
        <v>423.4</v>
      </c>
      <c r="BG245" s="2">
        <f t="shared" si="14"/>
        <v>73092</v>
      </c>
      <c r="BH245" t="str" cm="1">
        <f t="array" ref="BH245">_xlfn.IFS(Q245&lt;5,"0-5 Years",Q245&lt;10,"5-10 Years",Q245&lt;15,"10-15 Years",TRUE,"15+ Years")</f>
        <v>15+ Years</v>
      </c>
      <c r="BI245" t="str" cm="1">
        <f t="array" ref="BI245">_xlfn.IFS(AA245&gt;=540,"A",AA245&gt;=480,"B",AA245&gt;=420,"C",AA245&gt;=360,"D",TRUE,"F")</f>
        <v>F</v>
      </c>
      <c r="BJ245" t="str" cm="1">
        <f t="array" ref="BJ245">_xlfn.IFS(AU245&lt;0,"Separated",AU245&lt;=90,"High Risk",AU245&lt;=180,"Medium Risk",TRUE,"Retained")</f>
        <v>Separated</v>
      </c>
      <c r="BK245" t="str" cm="1">
        <f t="array" ref="BK245">_xlfn.IFS(V245=0,"No Combat",V245=1,"1 Tour",V245=2,"2 Tours",TRUE,"3+ Tours")</f>
        <v>No Combat</v>
      </c>
      <c r="BL245" t="str">
        <f t="shared" si="15"/>
        <v>Standard</v>
      </c>
      <c r="BM245" t="str">
        <f t="shared" si="16"/>
        <v>Not Ready</v>
      </c>
      <c r="BN245" s="3">
        <f t="shared" si="17"/>
        <v>5.7626005582006236E-2</v>
      </c>
      <c r="BO245">
        <f t="shared" si="18"/>
        <v>423.4</v>
      </c>
    </row>
    <row r="246" spans="1:67" x14ac:dyDescent="0.25">
      <c r="A246" t="s">
        <v>533</v>
      </c>
      <c r="B246" t="s">
        <v>181</v>
      </c>
      <c r="C246" t="s">
        <v>140</v>
      </c>
      <c r="D246" t="s">
        <v>51</v>
      </c>
      <c r="E246">
        <v>23</v>
      </c>
      <c r="F246" t="s">
        <v>325</v>
      </c>
      <c r="G246" t="s">
        <v>81</v>
      </c>
      <c r="H246" t="s">
        <v>82</v>
      </c>
      <c r="I246" t="s">
        <v>144</v>
      </c>
      <c r="J246" t="s">
        <v>145</v>
      </c>
      <c r="K246" t="s">
        <v>146</v>
      </c>
      <c r="L246" t="s">
        <v>58</v>
      </c>
      <c r="M246" t="s">
        <v>161</v>
      </c>
      <c r="N246" t="s">
        <v>108</v>
      </c>
      <c r="O246" t="s">
        <v>176</v>
      </c>
      <c r="P246" s="1">
        <v>44154</v>
      </c>
      <c r="Q246">
        <v>3.5</v>
      </c>
      <c r="R246" t="s">
        <v>90</v>
      </c>
      <c r="S246" t="s">
        <v>91</v>
      </c>
      <c r="T246" t="s">
        <v>92</v>
      </c>
      <c r="U246">
        <v>15</v>
      </c>
      <c r="V246">
        <v>2</v>
      </c>
      <c r="W246" s="2">
        <v>2504</v>
      </c>
      <c r="X246" s="2">
        <v>0</v>
      </c>
      <c r="Y246" s="2">
        <v>422</v>
      </c>
      <c r="Z246" s="2">
        <v>2926</v>
      </c>
      <c r="AA246">
        <v>352</v>
      </c>
      <c r="AB246" t="s">
        <v>151</v>
      </c>
      <c r="AC246">
        <v>18</v>
      </c>
      <c r="AD246">
        <v>41</v>
      </c>
      <c r="AE246">
        <v>38</v>
      </c>
      <c r="AF246" t="s">
        <v>93</v>
      </c>
      <c r="AG246">
        <v>30</v>
      </c>
      <c r="AH246" t="s">
        <v>67</v>
      </c>
      <c r="AI246" t="s">
        <v>68</v>
      </c>
      <c r="AJ246" t="s">
        <v>69</v>
      </c>
      <c r="AK246" t="s">
        <v>70</v>
      </c>
      <c r="AL246" t="s">
        <v>70</v>
      </c>
      <c r="AM246" t="s">
        <v>70</v>
      </c>
      <c r="AN246" t="s">
        <v>231</v>
      </c>
      <c r="AO246" t="s">
        <v>227</v>
      </c>
      <c r="AP246" t="s">
        <v>135</v>
      </c>
      <c r="AQ246" t="s">
        <v>98</v>
      </c>
      <c r="AR246" s="1">
        <v>44569</v>
      </c>
      <c r="AS246" t="s">
        <v>75</v>
      </c>
      <c r="AT246" t="s">
        <v>71</v>
      </c>
      <c r="AU246">
        <v>505</v>
      </c>
      <c r="AV246" t="s">
        <v>76</v>
      </c>
      <c r="AW246" s="3">
        <v>35112</v>
      </c>
      <c r="AX246" t="s">
        <v>803</v>
      </c>
      <c r="AY246" t="s">
        <v>122</v>
      </c>
      <c r="AZ246" t="s">
        <v>76</v>
      </c>
      <c r="BA246" t="s">
        <v>811</v>
      </c>
      <c r="BB246" t="s">
        <v>801</v>
      </c>
      <c r="BC246" t="s">
        <v>802</v>
      </c>
      <c r="BD246" s="3">
        <v>0.12030075187969924</v>
      </c>
      <c r="BE246">
        <v>412.4</v>
      </c>
      <c r="BG246" s="2">
        <f t="shared" si="14"/>
        <v>35112</v>
      </c>
      <c r="BH246" t="str" cm="1">
        <f t="array" ref="BH246">_xlfn.IFS(Q246&lt;5,"0-5 Years",Q246&lt;10,"5-10 Years",Q246&lt;15,"10-15 Years",TRUE,"15+ Years")</f>
        <v>0-5 Years</v>
      </c>
      <c r="BI246" t="str" cm="1">
        <f t="array" ref="BI246">_xlfn.IFS(AA246&gt;=540,"A",AA246&gt;=480,"B",AA246&gt;=420,"C",AA246&gt;=360,"D",TRUE,"F")</f>
        <v>F</v>
      </c>
      <c r="BJ246" t="str" cm="1">
        <f t="array" ref="BJ246">_xlfn.IFS(AU246&lt;0,"Separated",AU246&lt;=90,"High Risk",AU246&lt;=180,"Medium Risk",TRUE,"Retained")</f>
        <v>Retained</v>
      </c>
      <c r="BK246" t="str" cm="1">
        <f t="array" ref="BK246">_xlfn.IFS(V246=0,"No Combat",V246=1,"1 Tour",V246=2,"2 Tours",TRUE,"3+ Tours")</f>
        <v>2 Tours</v>
      </c>
      <c r="BL246" t="str">
        <f t="shared" si="15"/>
        <v>Standard</v>
      </c>
      <c r="BM246" t="str">
        <f t="shared" si="16"/>
        <v>Not Ready</v>
      </c>
      <c r="BN246" s="3">
        <f t="shared" si="17"/>
        <v>0.12030075187969924</v>
      </c>
      <c r="BO246">
        <f t="shared" si="18"/>
        <v>412.4</v>
      </c>
    </row>
    <row r="247" spans="1:67" x14ac:dyDescent="0.25">
      <c r="A247" t="s">
        <v>534</v>
      </c>
      <c r="B247" t="s">
        <v>120</v>
      </c>
      <c r="C247" t="s">
        <v>257</v>
      </c>
      <c r="D247" t="s">
        <v>51</v>
      </c>
      <c r="E247">
        <v>36</v>
      </c>
      <c r="F247" t="s">
        <v>214</v>
      </c>
      <c r="G247" t="s">
        <v>124</v>
      </c>
      <c r="H247" t="s">
        <v>125</v>
      </c>
      <c r="I247" t="s">
        <v>292</v>
      </c>
      <c r="J247" t="s">
        <v>293</v>
      </c>
      <c r="K247" t="s">
        <v>294</v>
      </c>
      <c r="L247" t="s">
        <v>126</v>
      </c>
      <c r="M247" t="s">
        <v>212</v>
      </c>
      <c r="N247" t="s">
        <v>162</v>
      </c>
      <c r="O247" t="s">
        <v>109</v>
      </c>
      <c r="P247" s="1">
        <v>42581</v>
      </c>
      <c r="Q247">
        <v>7.8</v>
      </c>
      <c r="R247" t="s">
        <v>75</v>
      </c>
      <c r="S247" t="s">
        <v>196</v>
      </c>
      <c r="T247" t="s">
        <v>197</v>
      </c>
      <c r="U247">
        <v>0</v>
      </c>
      <c r="V247">
        <v>0</v>
      </c>
      <c r="W247" s="2">
        <v>2730</v>
      </c>
      <c r="X247" s="2">
        <v>2197</v>
      </c>
      <c r="Y247" s="2">
        <v>422</v>
      </c>
      <c r="Z247" s="2">
        <v>5349</v>
      </c>
      <c r="AA247">
        <v>295</v>
      </c>
      <c r="AB247" t="s">
        <v>151</v>
      </c>
      <c r="AC247">
        <v>20.5</v>
      </c>
      <c r="AD247">
        <v>48</v>
      </c>
      <c r="AE247">
        <v>39</v>
      </c>
      <c r="AF247" t="s">
        <v>66</v>
      </c>
      <c r="AG247">
        <v>18</v>
      </c>
      <c r="AH247" t="s">
        <v>113</v>
      </c>
      <c r="AI247" t="s">
        <v>152</v>
      </c>
      <c r="AJ247" t="s">
        <v>72</v>
      </c>
      <c r="AK247" t="s">
        <v>70</v>
      </c>
      <c r="AL247" t="s">
        <v>71</v>
      </c>
      <c r="AM247" t="s">
        <v>70</v>
      </c>
      <c r="AN247" t="s">
        <v>133</v>
      </c>
      <c r="AO247" t="s">
        <v>221</v>
      </c>
      <c r="AP247" t="s">
        <v>72</v>
      </c>
      <c r="AQ247" t="s">
        <v>98</v>
      </c>
      <c r="AR247" s="1">
        <v>45240</v>
      </c>
      <c r="AS247" t="s">
        <v>75</v>
      </c>
      <c r="AT247" t="s">
        <v>71</v>
      </c>
      <c r="AU247">
        <v>1767</v>
      </c>
      <c r="AV247" t="s">
        <v>76</v>
      </c>
      <c r="AW247" s="3">
        <v>64188</v>
      </c>
      <c r="AX247" t="s">
        <v>808</v>
      </c>
      <c r="AY247" t="s">
        <v>122</v>
      </c>
      <c r="AZ247" t="s">
        <v>76</v>
      </c>
      <c r="BA247" t="s">
        <v>800</v>
      </c>
      <c r="BB247" t="s">
        <v>801</v>
      </c>
      <c r="BC247" t="s">
        <v>802</v>
      </c>
      <c r="BD247" s="3">
        <v>5.5150495419704619E-2</v>
      </c>
      <c r="BE247">
        <v>341.4</v>
      </c>
      <c r="BG247" s="2">
        <f t="shared" si="14"/>
        <v>64188</v>
      </c>
      <c r="BH247" t="str" cm="1">
        <f t="array" ref="BH247">_xlfn.IFS(Q247&lt;5,"0-5 Years",Q247&lt;10,"5-10 Years",Q247&lt;15,"10-15 Years",TRUE,"15+ Years")</f>
        <v>5-10 Years</v>
      </c>
      <c r="BI247" t="str" cm="1">
        <f t="array" ref="BI247">_xlfn.IFS(AA247&gt;=540,"A",AA247&gt;=480,"B",AA247&gt;=420,"C",AA247&gt;=360,"D",TRUE,"F")</f>
        <v>F</v>
      </c>
      <c r="BJ247" t="str" cm="1">
        <f t="array" ref="BJ247">_xlfn.IFS(AU247&lt;0,"Separated",AU247&lt;=90,"High Risk",AU247&lt;=180,"Medium Risk",TRUE,"Retained")</f>
        <v>Retained</v>
      </c>
      <c r="BK247" t="str" cm="1">
        <f t="array" ref="BK247">_xlfn.IFS(V247=0,"No Combat",V247=1,"1 Tour",V247=2,"2 Tours",TRUE,"3+ Tours")</f>
        <v>No Combat</v>
      </c>
      <c r="BL247" t="str">
        <f t="shared" si="15"/>
        <v>Standard</v>
      </c>
      <c r="BM247" t="str">
        <f t="shared" si="16"/>
        <v>Not Ready</v>
      </c>
      <c r="BN247" s="3">
        <f t="shared" si="17"/>
        <v>5.5150495419704619E-2</v>
      </c>
      <c r="BO247">
        <f t="shared" si="18"/>
        <v>341.4</v>
      </c>
    </row>
    <row r="248" spans="1:67" x14ac:dyDescent="0.25">
      <c r="A248" t="s">
        <v>535</v>
      </c>
      <c r="B248" t="s">
        <v>282</v>
      </c>
      <c r="C248" t="s">
        <v>360</v>
      </c>
      <c r="D248" t="s">
        <v>51</v>
      </c>
      <c r="E248">
        <v>34</v>
      </c>
      <c r="F248" t="s">
        <v>168</v>
      </c>
      <c r="G248" t="s">
        <v>234</v>
      </c>
      <c r="H248" t="s">
        <v>235</v>
      </c>
      <c r="I248" t="s">
        <v>144</v>
      </c>
      <c r="J248" t="s">
        <v>145</v>
      </c>
      <c r="K248" t="s">
        <v>146</v>
      </c>
      <c r="L248" t="s">
        <v>86</v>
      </c>
      <c r="M248" t="s">
        <v>147</v>
      </c>
      <c r="N248" t="s">
        <v>148</v>
      </c>
      <c r="O248" t="s">
        <v>149</v>
      </c>
      <c r="P248" s="1">
        <v>44089</v>
      </c>
      <c r="Q248">
        <v>3.7</v>
      </c>
      <c r="R248" t="s">
        <v>150</v>
      </c>
      <c r="S248" t="s">
        <v>91</v>
      </c>
      <c r="T248" t="s">
        <v>92</v>
      </c>
      <c r="U248">
        <v>14</v>
      </c>
      <c r="V248">
        <v>2</v>
      </c>
      <c r="W248" s="2">
        <v>1917</v>
      </c>
      <c r="X248" s="2">
        <v>0</v>
      </c>
      <c r="Y248" s="2">
        <v>422</v>
      </c>
      <c r="Z248" s="2">
        <v>2339</v>
      </c>
      <c r="AA248">
        <v>516</v>
      </c>
      <c r="AB248" t="s">
        <v>65</v>
      </c>
      <c r="AC248">
        <v>20</v>
      </c>
      <c r="AD248">
        <v>59</v>
      </c>
      <c r="AE248">
        <v>80</v>
      </c>
      <c r="AF248" t="s">
        <v>112</v>
      </c>
      <c r="AG248">
        <v>36</v>
      </c>
      <c r="AH248" t="s">
        <v>94</v>
      </c>
      <c r="AI248" t="s">
        <v>68</v>
      </c>
      <c r="AJ248" t="s">
        <v>96</v>
      </c>
      <c r="AK248" t="s">
        <v>70</v>
      </c>
      <c r="AL248" t="s">
        <v>70</v>
      </c>
      <c r="AM248" t="s">
        <v>70</v>
      </c>
      <c r="AN248" t="s">
        <v>72</v>
      </c>
      <c r="AO248" t="s">
        <v>227</v>
      </c>
      <c r="AP248" t="s">
        <v>134</v>
      </c>
      <c r="AQ248" t="s">
        <v>136</v>
      </c>
      <c r="AR248" s="1">
        <v>44961</v>
      </c>
      <c r="AS248" t="s">
        <v>118</v>
      </c>
      <c r="AT248" t="s">
        <v>71</v>
      </c>
      <c r="AU248">
        <v>778</v>
      </c>
      <c r="AV248" t="s">
        <v>76</v>
      </c>
      <c r="AW248" s="3">
        <v>28068</v>
      </c>
      <c r="AX248" t="s">
        <v>803</v>
      </c>
      <c r="AY248" t="s">
        <v>806</v>
      </c>
      <c r="AZ248" t="s">
        <v>76</v>
      </c>
      <c r="BA248" t="s">
        <v>811</v>
      </c>
      <c r="BB248" t="s">
        <v>801</v>
      </c>
      <c r="BC248" t="s">
        <v>802</v>
      </c>
      <c r="BD248" s="3">
        <v>0.22060709705002138</v>
      </c>
      <c r="BE248">
        <v>588.4</v>
      </c>
      <c r="BG248" s="2">
        <f t="shared" si="14"/>
        <v>28068</v>
      </c>
      <c r="BH248" t="str" cm="1">
        <f t="array" ref="BH248">_xlfn.IFS(Q248&lt;5,"0-5 Years",Q248&lt;10,"5-10 Years",Q248&lt;15,"10-15 Years",TRUE,"15+ Years")</f>
        <v>0-5 Years</v>
      </c>
      <c r="BI248" t="str" cm="1">
        <f t="array" ref="BI248">_xlfn.IFS(AA248&gt;=540,"A",AA248&gt;=480,"B",AA248&gt;=420,"C",AA248&gt;=360,"D",TRUE,"F")</f>
        <v>B</v>
      </c>
      <c r="BJ248" t="str" cm="1">
        <f t="array" ref="BJ248">_xlfn.IFS(AU248&lt;0,"Separated",AU248&lt;=90,"High Risk",AU248&lt;=180,"Medium Risk",TRUE,"Retained")</f>
        <v>Retained</v>
      </c>
      <c r="BK248" t="str" cm="1">
        <f t="array" ref="BK248">_xlfn.IFS(V248=0,"No Combat",V248=1,"1 Tour",V248=2,"2 Tours",TRUE,"3+ Tours")</f>
        <v>2 Tours</v>
      </c>
      <c r="BL248" t="str">
        <f t="shared" si="15"/>
        <v>Standard</v>
      </c>
      <c r="BM248" t="str">
        <f t="shared" si="16"/>
        <v>Not Ready</v>
      </c>
      <c r="BN248" s="3">
        <f t="shared" si="17"/>
        <v>0.22060709705002138</v>
      </c>
      <c r="BO248">
        <f t="shared" si="18"/>
        <v>588.4</v>
      </c>
    </row>
    <row r="249" spans="1:67" x14ac:dyDescent="0.25">
      <c r="A249" t="s">
        <v>536</v>
      </c>
      <c r="B249" t="s">
        <v>346</v>
      </c>
      <c r="C249" t="s">
        <v>264</v>
      </c>
      <c r="D249" t="s">
        <v>51</v>
      </c>
      <c r="E249">
        <v>43</v>
      </c>
      <c r="F249" t="s">
        <v>241</v>
      </c>
      <c r="G249" t="s">
        <v>234</v>
      </c>
      <c r="H249" t="s">
        <v>235</v>
      </c>
      <c r="I249" t="s">
        <v>236</v>
      </c>
      <c r="J249" t="s">
        <v>237</v>
      </c>
      <c r="K249" t="s">
        <v>238</v>
      </c>
      <c r="L249" t="s">
        <v>201</v>
      </c>
      <c r="M249" t="s">
        <v>87</v>
      </c>
      <c r="N249" t="s">
        <v>88</v>
      </c>
      <c r="O249" t="s">
        <v>149</v>
      </c>
      <c r="P249" s="1">
        <v>44694</v>
      </c>
      <c r="Q249">
        <v>2.1</v>
      </c>
      <c r="R249" t="s">
        <v>195</v>
      </c>
      <c r="S249" t="s">
        <v>110</v>
      </c>
      <c r="T249" t="s">
        <v>111</v>
      </c>
      <c r="U249">
        <v>13</v>
      </c>
      <c r="V249">
        <v>2</v>
      </c>
      <c r="W249" s="2">
        <v>1917</v>
      </c>
      <c r="X249" s="2">
        <v>0</v>
      </c>
      <c r="Y249" s="2">
        <v>422</v>
      </c>
      <c r="Z249" s="2">
        <v>2339</v>
      </c>
      <c r="AA249">
        <v>422</v>
      </c>
      <c r="AB249" t="s">
        <v>65</v>
      </c>
      <c r="AC249">
        <v>18.7</v>
      </c>
      <c r="AD249">
        <v>73</v>
      </c>
      <c r="AE249">
        <v>53</v>
      </c>
      <c r="AF249" t="s">
        <v>112</v>
      </c>
      <c r="AG249">
        <v>19</v>
      </c>
      <c r="AH249" t="s">
        <v>113</v>
      </c>
      <c r="AI249" t="s">
        <v>152</v>
      </c>
      <c r="AJ249" t="s">
        <v>72</v>
      </c>
      <c r="AK249" t="s">
        <v>70</v>
      </c>
      <c r="AL249" t="s">
        <v>70</v>
      </c>
      <c r="AM249" t="s">
        <v>70</v>
      </c>
      <c r="AN249" t="s">
        <v>72</v>
      </c>
      <c r="AO249" t="s">
        <v>135</v>
      </c>
      <c r="AP249" t="s">
        <v>97</v>
      </c>
      <c r="AQ249" t="s">
        <v>74</v>
      </c>
      <c r="AR249" s="1">
        <v>45144</v>
      </c>
      <c r="AS249" t="s">
        <v>118</v>
      </c>
      <c r="AT249" t="s">
        <v>71</v>
      </c>
      <c r="AU249">
        <v>73</v>
      </c>
      <c r="AV249" t="s">
        <v>179</v>
      </c>
      <c r="AW249" s="3">
        <v>28068</v>
      </c>
      <c r="AX249" t="s">
        <v>803</v>
      </c>
      <c r="AY249" t="s">
        <v>804</v>
      </c>
      <c r="AZ249" t="s">
        <v>813</v>
      </c>
      <c r="BA249" t="s">
        <v>811</v>
      </c>
      <c r="BB249" t="s">
        <v>801</v>
      </c>
      <c r="BC249" t="s">
        <v>802</v>
      </c>
      <c r="BD249" s="3">
        <v>0.18041898247114152</v>
      </c>
      <c r="BE249">
        <v>460.4</v>
      </c>
      <c r="BG249" s="2">
        <f t="shared" si="14"/>
        <v>28068</v>
      </c>
      <c r="BH249" t="str" cm="1">
        <f t="array" ref="BH249">_xlfn.IFS(Q249&lt;5,"0-5 Years",Q249&lt;10,"5-10 Years",Q249&lt;15,"10-15 Years",TRUE,"15+ Years")</f>
        <v>0-5 Years</v>
      </c>
      <c r="BI249" t="str" cm="1">
        <f t="array" ref="BI249">_xlfn.IFS(AA249&gt;=540,"A",AA249&gt;=480,"B",AA249&gt;=420,"C",AA249&gt;=360,"D",TRUE,"F")</f>
        <v>C</v>
      </c>
      <c r="BJ249" t="str" cm="1">
        <f t="array" ref="BJ249">_xlfn.IFS(AU249&lt;0,"Separated",AU249&lt;=90,"High Risk",AU249&lt;=180,"Medium Risk",TRUE,"Retained")</f>
        <v>High Risk</v>
      </c>
      <c r="BK249" t="str" cm="1">
        <f t="array" ref="BK249">_xlfn.IFS(V249=0,"No Combat",V249=1,"1 Tour",V249=2,"2 Tours",TRUE,"3+ Tours")</f>
        <v>2 Tours</v>
      </c>
      <c r="BL249" t="str">
        <f t="shared" si="15"/>
        <v>Standard</v>
      </c>
      <c r="BM249" t="str">
        <f t="shared" si="16"/>
        <v>Not Ready</v>
      </c>
      <c r="BN249" s="3">
        <f t="shared" si="17"/>
        <v>0.18041898247114152</v>
      </c>
      <c r="BO249">
        <f t="shared" si="18"/>
        <v>460.4</v>
      </c>
    </row>
    <row r="250" spans="1:67" x14ac:dyDescent="0.25">
      <c r="A250" t="s">
        <v>537</v>
      </c>
      <c r="B250" t="s">
        <v>120</v>
      </c>
      <c r="C250" t="s">
        <v>246</v>
      </c>
      <c r="D250" t="s">
        <v>122</v>
      </c>
      <c r="E250">
        <v>38</v>
      </c>
      <c r="F250" t="s">
        <v>52</v>
      </c>
      <c r="G250" t="s">
        <v>81</v>
      </c>
      <c r="H250" t="s">
        <v>82</v>
      </c>
      <c r="I250" t="s">
        <v>83</v>
      </c>
      <c r="J250" t="s">
        <v>84</v>
      </c>
      <c r="K250" t="s">
        <v>85</v>
      </c>
      <c r="L250" t="s">
        <v>201</v>
      </c>
      <c r="M250" t="s">
        <v>87</v>
      </c>
      <c r="N250" t="s">
        <v>108</v>
      </c>
      <c r="O250" t="s">
        <v>176</v>
      </c>
      <c r="P250" s="1">
        <v>42074</v>
      </c>
      <c r="Q250">
        <v>9.1999999999999993</v>
      </c>
      <c r="R250" t="s">
        <v>208</v>
      </c>
      <c r="S250" t="s">
        <v>163</v>
      </c>
      <c r="T250" t="s">
        <v>164</v>
      </c>
      <c r="U250">
        <v>4</v>
      </c>
      <c r="V250">
        <v>0</v>
      </c>
      <c r="W250" s="2">
        <v>2504</v>
      </c>
      <c r="X250" s="2">
        <v>1671</v>
      </c>
      <c r="Y250" s="2">
        <v>422</v>
      </c>
      <c r="Z250" s="2">
        <v>4597</v>
      </c>
      <c r="AA250">
        <v>356</v>
      </c>
      <c r="AB250" t="s">
        <v>151</v>
      </c>
      <c r="AC250">
        <v>13.2</v>
      </c>
      <c r="AD250">
        <v>23</v>
      </c>
      <c r="AE250">
        <v>57</v>
      </c>
      <c r="AF250" t="s">
        <v>132</v>
      </c>
      <c r="AG250">
        <v>22</v>
      </c>
      <c r="AH250" t="s">
        <v>113</v>
      </c>
      <c r="AI250" t="s">
        <v>95</v>
      </c>
      <c r="AJ250" t="s">
        <v>69</v>
      </c>
      <c r="AK250" t="s">
        <v>70</v>
      </c>
      <c r="AL250" t="s">
        <v>70</v>
      </c>
      <c r="AM250" t="s">
        <v>70</v>
      </c>
      <c r="AN250" t="s">
        <v>231</v>
      </c>
      <c r="AO250" t="s">
        <v>287</v>
      </c>
      <c r="AP250" t="s">
        <v>72</v>
      </c>
      <c r="AQ250" t="s">
        <v>74</v>
      </c>
      <c r="AR250" s="1">
        <v>45379</v>
      </c>
      <c r="AS250" t="s">
        <v>198</v>
      </c>
      <c r="AT250" t="s">
        <v>71</v>
      </c>
      <c r="AU250">
        <v>167</v>
      </c>
      <c r="AV250" t="s">
        <v>179</v>
      </c>
      <c r="AW250" s="3">
        <v>55164</v>
      </c>
      <c r="AX250" t="s">
        <v>808</v>
      </c>
      <c r="AY250" t="s">
        <v>122</v>
      </c>
      <c r="AZ250" t="s">
        <v>815</v>
      </c>
      <c r="BA250" t="s">
        <v>800</v>
      </c>
      <c r="BB250" t="s">
        <v>801</v>
      </c>
      <c r="BC250" t="s">
        <v>802</v>
      </c>
      <c r="BD250" s="3">
        <v>7.7441809876006087E-2</v>
      </c>
      <c r="BE250">
        <v>400.4</v>
      </c>
      <c r="BG250" s="2">
        <f t="shared" si="14"/>
        <v>55164</v>
      </c>
      <c r="BH250" t="str" cm="1">
        <f t="array" ref="BH250">_xlfn.IFS(Q250&lt;5,"0-5 Years",Q250&lt;10,"5-10 Years",Q250&lt;15,"10-15 Years",TRUE,"15+ Years")</f>
        <v>5-10 Years</v>
      </c>
      <c r="BI250" t="str" cm="1">
        <f t="array" ref="BI250">_xlfn.IFS(AA250&gt;=540,"A",AA250&gt;=480,"B",AA250&gt;=420,"C",AA250&gt;=360,"D",TRUE,"F")</f>
        <v>F</v>
      </c>
      <c r="BJ250" t="str" cm="1">
        <f t="array" ref="BJ250">_xlfn.IFS(AU250&lt;0,"Separated",AU250&lt;=90,"High Risk",AU250&lt;=180,"Medium Risk",TRUE,"Retained")</f>
        <v>Medium Risk</v>
      </c>
      <c r="BK250" t="str" cm="1">
        <f t="array" ref="BK250">_xlfn.IFS(V250=0,"No Combat",V250=1,"1 Tour",V250=2,"2 Tours",TRUE,"3+ Tours")</f>
        <v>No Combat</v>
      </c>
      <c r="BL250" t="str">
        <f t="shared" si="15"/>
        <v>Standard</v>
      </c>
      <c r="BM250" t="str">
        <f t="shared" si="16"/>
        <v>Not Ready</v>
      </c>
      <c r="BN250" s="3">
        <f t="shared" si="17"/>
        <v>7.7441809876006087E-2</v>
      </c>
      <c r="BO250">
        <f t="shared" si="18"/>
        <v>400.4</v>
      </c>
    </row>
    <row r="251" spans="1:67" x14ac:dyDescent="0.25">
      <c r="A251" t="s">
        <v>538</v>
      </c>
      <c r="B251" t="s">
        <v>308</v>
      </c>
      <c r="C251" t="s">
        <v>233</v>
      </c>
      <c r="D251" t="s">
        <v>51</v>
      </c>
      <c r="E251">
        <v>21</v>
      </c>
      <c r="F251" t="s">
        <v>248</v>
      </c>
      <c r="G251" t="s">
        <v>279</v>
      </c>
      <c r="H251" t="s">
        <v>280</v>
      </c>
      <c r="I251" t="s">
        <v>273</v>
      </c>
      <c r="J251" t="s">
        <v>274</v>
      </c>
      <c r="K251" t="s">
        <v>57</v>
      </c>
      <c r="L251" t="s">
        <v>106</v>
      </c>
      <c r="M251" t="s">
        <v>147</v>
      </c>
      <c r="N251" t="s">
        <v>128</v>
      </c>
      <c r="O251" t="s">
        <v>61</v>
      </c>
      <c r="P251" s="1">
        <v>39320</v>
      </c>
      <c r="Q251">
        <v>16.8</v>
      </c>
      <c r="R251" t="s">
        <v>195</v>
      </c>
      <c r="S251" t="s">
        <v>219</v>
      </c>
      <c r="T251" t="s">
        <v>220</v>
      </c>
      <c r="U251">
        <v>0</v>
      </c>
      <c r="V251">
        <v>0</v>
      </c>
      <c r="W251" s="2">
        <v>6618</v>
      </c>
      <c r="X251" s="2">
        <v>1235</v>
      </c>
      <c r="Y251" s="2">
        <v>266</v>
      </c>
      <c r="Z251" s="2">
        <v>8119</v>
      </c>
      <c r="AA251">
        <v>576</v>
      </c>
      <c r="AB251" t="s">
        <v>65</v>
      </c>
      <c r="AC251">
        <v>16.5</v>
      </c>
      <c r="AD251">
        <v>67</v>
      </c>
      <c r="AE251">
        <v>40</v>
      </c>
      <c r="AF251" t="s">
        <v>112</v>
      </c>
      <c r="AG251">
        <v>19</v>
      </c>
      <c r="AH251" t="s">
        <v>113</v>
      </c>
      <c r="AI251" t="s">
        <v>68</v>
      </c>
      <c r="AJ251" t="s">
        <v>96</v>
      </c>
      <c r="AK251" t="s">
        <v>71</v>
      </c>
      <c r="AL251" t="s">
        <v>70</v>
      </c>
      <c r="AM251" t="s">
        <v>70</v>
      </c>
      <c r="AN251" t="s">
        <v>72</v>
      </c>
      <c r="AO251" t="s">
        <v>116</v>
      </c>
      <c r="AP251" t="s">
        <v>97</v>
      </c>
      <c r="AQ251" t="s">
        <v>136</v>
      </c>
      <c r="AR251" s="1">
        <v>43063</v>
      </c>
      <c r="AS251" t="s">
        <v>75</v>
      </c>
      <c r="AT251" t="s">
        <v>71</v>
      </c>
      <c r="AU251">
        <v>-386</v>
      </c>
      <c r="AV251" t="s">
        <v>179</v>
      </c>
      <c r="AW251" s="3">
        <v>97428</v>
      </c>
      <c r="AX251" t="s">
        <v>798</v>
      </c>
      <c r="AY251" t="s">
        <v>799</v>
      </c>
      <c r="AZ251" t="s">
        <v>810</v>
      </c>
      <c r="BA251" t="s">
        <v>800</v>
      </c>
      <c r="BB251" t="s">
        <v>801</v>
      </c>
      <c r="BC251" t="s">
        <v>802</v>
      </c>
      <c r="BD251" s="3">
        <v>7.0944697622859959E-2</v>
      </c>
      <c r="BE251">
        <v>624.4</v>
      </c>
      <c r="BG251" s="2">
        <f t="shared" si="14"/>
        <v>97428</v>
      </c>
      <c r="BH251" t="str" cm="1">
        <f t="array" ref="BH251">_xlfn.IFS(Q251&lt;5,"0-5 Years",Q251&lt;10,"5-10 Years",Q251&lt;15,"10-15 Years",TRUE,"15+ Years")</f>
        <v>15+ Years</v>
      </c>
      <c r="BI251" t="str" cm="1">
        <f t="array" ref="BI251">_xlfn.IFS(AA251&gt;=540,"A",AA251&gt;=480,"B",AA251&gt;=420,"C",AA251&gt;=360,"D",TRUE,"F")</f>
        <v>A</v>
      </c>
      <c r="BJ251" t="str" cm="1">
        <f t="array" ref="BJ251">_xlfn.IFS(AU251&lt;0,"Separated",AU251&lt;=90,"High Risk",AU251&lt;=180,"Medium Risk",TRUE,"Retained")</f>
        <v>Separated</v>
      </c>
      <c r="BK251" t="str" cm="1">
        <f t="array" ref="BK251">_xlfn.IFS(V251=0,"No Combat",V251=1,"1 Tour",V251=2,"2 Tours",TRUE,"3+ Tours")</f>
        <v>No Combat</v>
      </c>
      <c r="BL251" t="str">
        <f t="shared" si="15"/>
        <v>Standard</v>
      </c>
      <c r="BM251" t="str">
        <f t="shared" si="16"/>
        <v>Not Ready</v>
      </c>
      <c r="BN251" s="3">
        <f t="shared" si="17"/>
        <v>7.0944697622859959E-2</v>
      </c>
      <c r="BO251">
        <f t="shared" si="18"/>
        <v>624.4</v>
      </c>
    </row>
    <row r="252" spans="1:67" x14ac:dyDescent="0.25">
      <c r="A252" t="s">
        <v>539</v>
      </c>
      <c r="B252" t="s">
        <v>251</v>
      </c>
      <c r="C252" t="s">
        <v>233</v>
      </c>
      <c r="D252" t="s">
        <v>51</v>
      </c>
      <c r="E252">
        <v>42</v>
      </c>
      <c r="F252" t="s">
        <v>278</v>
      </c>
      <c r="G252" t="s">
        <v>183</v>
      </c>
      <c r="H252" t="s">
        <v>184</v>
      </c>
      <c r="I252" t="s">
        <v>268</v>
      </c>
      <c r="J252" t="s">
        <v>269</v>
      </c>
      <c r="K252" t="s">
        <v>173</v>
      </c>
      <c r="L252" t="s">
        <v>86</v>
      </c>
      <c r="M252" t="s">
        <v>207</v>
      </c>
      <c r="N252" t="s">
        <v>108</v>
      </c>
      <c r="O252" t="s">
        <v>149</v>
      </c>
      <c r="P252" s="1">
        <v>44412</v>
      </c>
      <c r="Q252">
        <v>2.8</v>
      </c>
      <c r="R252" t="s">
        <v>75</v>
      </c>
      <c r="S252" t="s">
        <v>91</v>
      </c>
      <c r="T252" t="s">
        <v>92</v>
      </c>
      <c r="U252">
        <v>0</v>
      </c>
      <c r="V252">
        <v>0</v>
      </c>
      <c r="W252" s="2">
        <v>5696</v>
      </c>
      <c r="X252" s="2">
        <v>1050</v>
      </c>
      <c r="Y252" s="2">
        <v>266</v>
      </c>
      <c r="Z252" s="2">
        <v>7012</v>
      </c>
      <c r="AA252">
        <v>536</v>
      </c>
      <c r="AB252" t="s">
        <v>65</v>
      </c>
      <c r="AC252">
        <v>13.1</v>
      </c>
      <c r="AD252">
        <v>22</v>
      </c>
      <c r="AE252">
        <v>56</v>
      </c>
      <c r="AF252" t="s">
        <v>112</v>
      </c>
      <c r="AG252">
        <v>34</v>
      </c>
      <c r="AH252" t="s">
        <v>67</v>
      </c>
      <c r="AI252" t="s">
        <v>95</v>
      </c>
      <c r="AJ252" t="s">
        <v>188</v>
      </c>
      <c r="AK252" t="s">
        <v>70</v>
      </c>
      <c r="AL252" t="s">
        <v>70</v>
      </c>
      <c r="AM252" t="s">
        <v>70</v>
      </c>
      <c r="AN252" t="s">
        <v>243</v>
      </c>
      <c r="AO252" t="s">
        <v>287</v>
      </c>
      <c r="AP252" t="s">
        <v>72</v>
      </c>
      <c r="AQ252" t="s">
        <v>74</v>
      </c>
      <c r="AR252" s="1">
        <v>44379</v>
      </c>
      <c r="AS252" t="s">
        <v>118</v>
      </c>
      <c r="AT252" t="s">
        <v>71</v>
      </c>
      <c r="AU252">
        <v>1177</v>
      </c>
      <c r="AV252" t="s">
        <v>76</v>
      </c>
      <c r="AW252" s="3">
        <v>84144</v>
      </c>
      <c r="AX252" t="s">
        <v>803</v>
      </c>
      <c r="AY252" t="s">
        <v>806</v>
      </c>
      <c r="AZ252" t="s">
        <v>76</v>
      </c>
      <c r="BA252" t="s">
        <v>800</v>
      </c>
      <c r="BB252" t="s">
        <v>801</v>
      </c>
      <c r="BC252" t="s">
        <v>802</v>
      </c>
      <c r="BD252" s="3">
        <v>7.6440387906446097E-2</v>
      </c>
      <c r="BE252">
        <v>604.4</v>
      </c>
      <c r="BG252" s="2">
        <f t="shared" si="14"/>
        <v>84144</v>
      </c>
      <c r="BH252" t="str" cm="1">
        <f t="array" ref="BH252">_xlfn.IFS(Q252&lt;5,"0-5 Years",Q252&lt;10,"5-10 Years",Q252&lt;15,"10-15 Years",TRUE,"15+ Years")</f>
        <v>0-5 Years</v>
      </c>
      <c r="BI252" t="str" cm="1">
        <f t="array" ref="BI252">_xlfn.IFS(AA252&gt;=540,"A",AA252&gt;=480,"B",AA252&gt;=420,"C",AA252&gt;=360,"D",TRUE,"F")</f>
        <v>B</v>
      </c>
      <c r="BJ252" t="str" cm="1">
        <f t="array" ref="BJ252">_xlfn.IFS(AU252&lt;0,"Separated",AU252&lt;=90,"High Risk",AU252&lt;=180,"Medium Risk",TRUE,"Retained")</f>
        <v>Retained</v>
      </c>
      <c r="BK252" t="str" cm="1">
        <f t="array" ref="BK252">_xlfn.IFS(V252=0,"No Combat",V252=1,"1 Tour",V252=2,"2 Tours",TRUE,"3+ Tours")</f>
        <v>No Combat</v>
      </c>
      <c r="BL252" t="str">
        <f t="shared" si="15"/>
        <v>Standard</v>
      </c>
      <c r="BM252" t="str">
        <f t="shared" si="16"/>
        <v>Not Ready</v>
      </c>
      <c r="BN252" s="3">
        <f t="shared" si="17"/>
        <v>7.6440387906446097E-2</v>
      </c>
      <c r="BO252">
        <f t="shared" si="18"/>
        <v>604.4</v>
      </c>
    </row>
    <row r="253" spans="1:67" x14ac:dyDescent="0.25">
      <c r="A253" t="s">
        <v>540</v>
      </c>
      <c r="B253" t="s">
        <v>78</v>
      </c>
      <c r="C253" t="s">
        <v>353</v>
      </c>
      <c r="D253" t="s">
        <v>122</v>
      </c>
      <c r="E253">
        <v>21</v>
      </c>
      <c r="F253" t="s">
        <v>168</v>
      </c>
      <c r="G253" t="s">
        <v>215</v>
      </c>
      <c r="H253" t="s">
        <v>216</v>
      </c>
      <c r="I253" t="s">
        <v>103</v>
      </c>
      <c r="J253" t="s">
        <v>104</v>
      </c>
      <c r="K253" t="s">
        <v>105</v>
      </c>
      <c r="L253" t="s">
        <v>174</v>
      </c>
      <c r="M253" t="s">
        <v>175</v>
      </c>
      <c r="N253" t="s">
        <v>162</v>
      </c>
      <c r="O253" t="s">
        <v>176</v>
      </c>
      <c r="P253" s="1">
        <v>43644</v>
      </c>
      <c r="Q253">
        <v>4.9000000000000004</v>
      </c>
      <c r="R253" t="s">
        <v>208</v>
      </c>
      <c r="S253" t="s">
        <v>163</v>
      </c>
      <c r="T253" t="s">
        <v>164</v>
      </c>
      <c r="U253">
        <v>5</v>
      </c>
      <c r="V253">
        <v>0</v>
      </c>
      <c r="W253" s="2">
        <v>3637</v>
      </c>
      <c r="X253" s="2">
        <v>850</v>
      </c>
      <c r="Y253" s="2">
        <v>266</v>
      </c>
      <c r="Z253" s="2">
        <v>4753</v>
      </c>
      <c r="AA253">
        <v>576</v>
      </c>
      <c r="AB253" t="s">
        <v>65</v>
      </c>
      <c r="AC253">
        <v>17.3</v>
      </c>
      <c r="AD253">
        <v>27</v>
      </c>
      <c r="AE253">
        <v>71</v>
      </c>
      <c r="AF253" t="s">
        <v>66</v>
      </c>
      <c r="AG253">
        <v>22</v>
      </c>
      <c r="AH253" t="s">
        <v>113</v>
      </c>
      <c r="AI253" t="s">
        <v>114</v>
      </c>
      <c r="AJ253" t="s">
        <v>188</v>
      </c>
      <c r="AK253" t="s">
        <v>70</v>
      </c>
      <c r="AL253" t="s">
        <v>70</v>
      </c>
      <c r="AM253" t="s">
        <v>71</v>
      </c>
      <c r="AN253" t="s">
        <v>72</v>
      </c>
      <c r="AO253" t="s">
        <v>116</v>
      </c>
      <c r="AP253" t="s">
        <v>72</v>
      </c>
      <c r="AQ253" t="s">
        <v>136</v>
      </c>
      <c r="AR253" s="1">
        <v>44308</v>
      </c>
      <c r="AS253" t="s">
        <v>137</v>
      </c>
      <c r="AT253" t="s">
        <v>71</v>
      </c>
      <c r="AU253">
        <v>504</v>
      </c>
      <c r="AV253" t="s">
        <v>76</v>
      </c>
      <c r="AW253" s="3">
        <v>57036</v>
      </c>
      <c r="AX253" t="s">
        <v>803</v>
      </c>
      <c r="AY253" t="s">
        <v>799</v>
      </c>
      <c r="AZ253" t="s">
        <v>76</v>
      </c>
      <c r="BA253" t="s">
        <v>800</v>
      </c>
      <c r="BB253" t="s">
        <v>801</v>
      </c>
      <c r="BC253" t="s">
        <v>802</v>
      </c>
      <c r="BD253" s="3">
        <v>0.12118661897748791</v>
      </c>
      <c r="BE253">
        <v>640.4</v>
      </c>
      <c r="BG253" s="2">
        <f t="shared" si="14"/>
        <v>57036</v>
      </c>
      <c r="BH253" t="str" cm="1">
        <f t="array" ref="BH253">_xlfn.IFS(Q253&lt;5,"0-5 Years",Q253&lt;10,"5-10 Years",Q253&lt;15,"10-15 Years",TRUE,"15+ Years")</f>
        <v>0-5 Years</v>
      </c>
      <c r="BI253" t="str" cm="1">
        <f t="array" ref="BI253">_xlfn.IFS(AA253&gt;=540,"A",AA253&gt;=480,"B",AA253&gt;=420,"C",AA253&gt;=360,"D",TRUE,"F")</f>
        <v>A</v>
      </c>
      <c r="BJ253" t="str" cm="1">
        <f t="array" ref="BJ253">_xlfn.IFS(AU253&lt;0,"Separated",AU253&lt;=90,"High Risk",AU253&lt;=180,"Medium Risk",TRUE,"Retained")</f>
        <v>Retained</v>
      </c>
      <c r="BK253" t="str" cm="1">
        <f t="array" ref="BK253">_xlfn.IFS(V253=0,"No Combat",V253=1,"1 Tour",V253=2,"2 Tours",TRUE,"3+ Tours")</f>
        <v>No Combat</v>
      </c>
      <c r="BL253" t="str">
        <f t="shared" si="15"/>
        <v>Standard</v>
      </c>
      <c r="BM253" t="str">
        <f t="shared" si="16"/>
        <v>Not Ready</v>
      </c>
      <c r="BN253" s="3">
        <f t="shared" si="17"/>
        <v>0.12118661897748791</v>
      </c>
      <c r="BO253">
        <f t="shared" si="18"/>
        <v>640.4</v>
      </c>
    </row>
    <row r="254" spans="1:67" x14ac:dyDescent="0.25">
      <c r="A254" t="s">
        <v>541</v>
      </c>
      <c r="B254" t="s">
        <v>245</v>
      </c>
      <c r="C254" t="s">
        <v>223</v>
      </c>
      <c r="D254" t="s">
        <v>122</v>
      </c>
      <c r="E254">
        <v>31</v>
      </c>
      <c r="F254" t="s">
        <v>123</v>
      </c>
      <c r="G254" t="s">
        <v>215</v>
      </c>
      <c r="H254" t="s">
        <v>216</v>
      </c>
      <c r="I254" t="s">
        <v>253</v>
      </c>
      <c r="J254" t="s">
        <v>254</v>
      </c>
      <c r="K254" t="s">
        <v>255</v>
      </c>
      <c r="L254" t="s">
        <v>201</v>
      </c>
      <c r="M254" t="s">
        <v>296</v>
      </c>
      <c r="N254" t="s">
        <v>162</v>
      </c>
      <c r="O254" t="s">
        <v>89</v>
      </c>
      <c r="P254" s="1">
        <v>41137</v>
      </c>
      <c r="Q254">
        <v>11.8</v>
      </c>
      <c r="R254" t="s">
        <v>62</v>
      </c>
      <c r="S254" t="s">
        <v>91</v>
      </c>
      <c r="T254" t="s">
        <v>92</v>
      </c>
      <c r="U254">
        <v>5</v>
      </c>
      <c r="V254">
        <v>0</v>
      </c>
      <c r="W254" s="2">
        <v>3637</v>
      </c>
      <c r="X254" s="2">
        <v>0</v>
      </c>
      <c r="Y254" s="2">
        <v>266</v>
      </c>
      <c r="Z254" s="2">
        <v>3903</v>
      </c>
      <c r="AA254">
        <v>421</v>
      </c>
      <c r="AB254" t="s">
        <v>65</v>
      </c>
      <c r="AC254">
        <v>19.8</v>
      </c>
      <c r="AD254">
        <v>40</v>
      </c>
      <c r="AE254">
        <v>54</v>
      </c>
      <c r="AF254" t="s">
        <v>66</v>
      </c>
      <c r="AG254">
        <v>19</v>
      </c>
      <c r="AH254" t="s">
        <v>113</v>
      </c>
      <c r="AI254" t="s">
        <v>177</v>
      </c>
      <c r="AJ254" t="s">
        <v>96</v>
      </c>
      <c r="AK254" t="s">
        <v>71</v>
      </c>
      <c r="AL254" t="s">
        <v>71</v>
      </c>
      <c r="AM254" t="s">
        <v>70</v>
      </c>
      <c r="AN254" t="s">
        <v>72</v>
      </c>
      <c r="AO254" t="s">
        <v>97</v>
      </c>
      <c r="AP254" t="s">
        <v>134</v>
      </c>
      <c r="AQ254" t="s">
        <v>98</v>
      </c>
      <c r="AR254" s="1">
        <v>41388</v>
      </c>
      <c r="AS254" t="s">
        <v>75</v>
      </c>
      <c r="AT254" t="s">
        <v>71</v>
      </c>
      <c r="AU254">
        <v>720</v>
      </c>
      <c r="AV254" t="s">
        <v>76</v>
      </c>
      <c r="AW254" s="3">
        <v>46836</v>
      </c>
      <c r="AX254" t="s">
        <v>805</v>
      </c>
      <c r="AY254" t="s">
        <v>804</v>
      </c>
      <c r="AZ254" t="s">
        <v>76</v>
      </c>
      <c r="BA254" t="s">
        <v>800</v>
      </c>
      <c r="BB254" t="s">
        <v>801</v>
      </c>
      <c r="BC254" t="s">
        <v>802</v>
      </c>
      <c r="BD254" s="3">
        <v>0.10786574429925698</v>
      </c>
      <c r="BE254">
        <v>479.4</v>
      </c>
      <c r="BG254" s="2">
        <f t="shared" si="14"/>
        <v>46836</v>
      </c>
      <c r="BH254" t="str" cm="1">
        <f t="array" ref="BH254">_xlfn.IFS(Q254&lt;5,"0-5 Years",Q254&lt;10,"5-10 Years",Q254&lt;15,"10-15 Years",TRUE,"15+ Years")</f>
        <v>10-15 Years</v>
      </c>
      <c r="BI254" t="str" cm="1">
        <f t="array" ref="BI254">_xlfn.IFS(AA254&gt;=540,"A",AA254&gt;=480,"B",AA254&gt;=420,"C",AA254&gt;=360,"D",TRUE,"F")</f>
        <v>C</v>
      </c>
      <c r="BJ254" t="str" cm="1">
        <f t="array" ref="BJ254">_xlfn.IFS(AU254&lt;0,"Separated",AU254&lt;=90,"High Risk",AU254&lt;=180,"Medium Risk",TRUE,"Retained")</f>
        <v>Retained</v>
      </c>
      <c r="BK254" t="str" cm="1">
        <f t="array" ref="BK254">_xlfn.IFS(V254=0,"No Combat",V254=1,"1 Tour",V254=2,"2 Tours",TRUE,"3+ Tours")</f>
        <v>No Combat</v>
      </c>
      <c r="BL254" t="str">
        <f t="shared" si="15"/>
        <v>Standard</v>
      </c>
      <c r="BM254" t="str">
        <f t="shared" si="16"/>
        <v>Not Ready</v>
      </c>
      <c r="BN254" s="3">
        <f t="shared" si="17"/>
        <v>0.10786574429925698</v>
      </c>
      <c r="BO254">
        <f t="shared" si="18"/>
        <v>479.4</v>
      </c>
    </row>
    <row r="255" spans="1:67" x14ac:dyDescent="0.25">
      <c r="A255" t="s">
        <v>542</v>
      </c>
      <c r="B255" t="s">
        <v>267</v>
      </c>
      <c r="C255" t="s">
        <v>223</v>
      </c>
      <c r="D255" t="s">
        <v>122</v>
      </c>
      <c r="E255">
        <v>18</v>
      </c>
      <c r="F255" t="s">
        <v>80</v>
      </c>
      <c r="G255" t="s">
        <v>124</v>
      </c>
      <c r="H255" t="s">
        <v>125</v>
      </c>
      <c r="I255" t="s">
        <v>253</v>
      </c>
      <c r="J255" t="s">
        <v>254</v>
      </c>
      <c r="K255" t="s">
        <v>255</v>
      </c>
      <c r="L255" t="s">
        <v>86</v>
      </c>
      <c r="M255" t="s">
        <v>207</v>
      </c>
      <c r="N255" t="s">
        <v>162</v>
      </c>
      <c r="O255" t="s">
        <v>89</v>
      </c>
      <c r="P255" s="1">
        <v>38777</v>
      </c>
      <c r="Q255">
        <v>18.3</v>
      </c>
      <c r="R255" t="s">
        <v>150</v>
      </c>
      <c r="S255" t="s">
        <v>130</v>
      </c>
      <c r="T255" t="s">
        <v>131</v>
      </c>
      <c r="U255">
        <v>7</v>
      </c>
      <c r="V255">
        <v>1</v>
      </c>
      <c r="W255" s="2">
        <v>2730</v>
      </c>
      <c r="X255" s="2">
        <v>0</v>
      </c>
      <c r="Y255" s="2">
        <v>422</v>
      </c>
      <c r="Z255" s="2">
        <v>3152</v>
      </c>
      <c r="AA255">
        <v>487</v>
      </c>
      <c r="AB255" t="s">
        <v>65</v>
      </c>
      <c r="AC255">
        <v>16.7</v>
      </c>
      <c r="AD255">
        <v>68</v>
      </c>
      <c r="AE255">
        <v>62</v>
      </c>
      <c r="AF255" t="s">
        <v>66</v>
      </c>
      <c r="AG255">
        <v>24</v>
      </c>
      <c r="AH255" t="s">
        <v>113</v>
      </c>
      <c r="AI255" t="s">
        <v>152</v>
      </c>
      <c r="AJ255" t="s">
        <v>69</v>
      </c>
      <c r="AK255" t="s">
        <v>71</v>
      </c>
      <c r="AL255" t="s">
        <v>70</v>
      </c>
      <c r="AM255" t="s">
        <v>70</v>
      </c>
      <c r="AN255" t="s">
        <v>72</v>
      </c>
      <c r="AO255" t="s">
        <v>135</v>
      </c>
      <c r="AP255" t="s">
        <v>72</v>
      </c>
      <c r="AQ255" t="s">
        <v>74</v>
      </c>
      <c r="AR255" s="1">
        <v>43262</v>
      </c>
      <c r="AS255" t="s">
        <v>137</v>
      </c>
      <c r="AT255" t="s">
        <v>71</v>
      </c>
      <c r="AU255">
        <v>14</v>
      </c>
      <c r="AV255" t="s">
        <v>179</v>
      </c>
      <c r="AW255" s="3">
        <v>37824</v>
      </c>
      <c r="AX255" t="s">
        <v>798</v>
      </c>
      <c r="AY255" t="s">
        <v>806</v>
      </c>
      <c r="AZ255" t="s">
        <v>813</v>
      </c>
      <c r="BA255" t="s">
        <v>807</v>
      </c>
      <c r="BB255" t="s">
        <v>801</v>
      </c>
      <c r="BC255" t="s">
        <v>812</v>
      </c>
      <c r="BD255" s="3">
        <v>0.15450507614213199</v>
      </c>
      <c r="BE255">
        <v>545.4</v>
      </c>
      <c r="BG255" s="2">
        <f t="shared" si="14"/>
        <v>37824</v>
      </c>
      <c r="BH255" t="str" cm="1">
        <f t="array" ref="BH255">_xlfn.IFS(Q255&lt;5,"0-5 Years",Q255&lt;10,"5-10 Years",Q255&lt;15,"10-15 Years",TRUE,"15+ Years")</f>
        <v>15+ Years</v>
      </c>
      <c r="BI255" t="str" cm="1">
        <f t="array" ref="BI255">_xlfn.IFS(AA255&gt;=540,"A",AA255&gt;=480,"B",AA255&gt;=420,"C",AA255&gt;=360,"D",TRUE,"F")</f>
        <v>B</v>
      </c>
      <c r="BJ255" t="str" cm="1">
        <f t="array" ref="BJ255">_xlfn.IFS(AU255&lt;0,"Separated",AU255&lt;=90,"High Risk",AU255&lt;=180,"Medium Risk",TRUE,"Retained")</f>
        <v>High Risk</v>
      </c>
      <c r="BK255" t="str" cm="1">
        <f t="array" ref="BK255">_xlfn.IFS(V255=0,"No Combat",V255=1,"1 Tour",V255=2,"2 Tours",TRUE,"3+ Tours")</f>
        <v>1 Tour</v>
      </c>
      <c r="BL255" t="str">
        <f t="shared" si="15"/>
        <v>Standard</v>
      </c>
      <c r="BM255" t="str">
        <f t="shared" si="16"/>
        <v>Promotion Ready</v>
      </c>
      <c r="BN255" s="3">
        <f t="shared" si="17"/>
        <v>0.15450507614213199</v>
      </c>
      <c r="BO255">
        <f t="shared" si="18"/>
        <v>545.4</v>
      </c>
    </row>
    <row r="256" spans="1:67" x14ac:dyDescent="0.25">
      <c r="A256" t="s">
        <v>543</v>
      </c>
      <c r="B256" t="s">
        <v>229</v>
      </c>
      <c r="C256" t="s">
        <v>257</v>
      </c>
      <c r="D256" t="s">
        <v>51</v>
      </c>
      <c r="E256">
        <v>26</v>
      </c>
      <c r="F256" t="s">
        <v>305</v>
      </c>
      <c r="G256" t="s">
        <v>193</v>
      </c>
      <c r="H256" t="s">
        <v>194</v>
      </c>
      <c r="I256" t="s">
        <v>144</v>
      </c>
      <c r="J256" t="s">
        <v>145</v>
      </c>
      <c r="K256" t="s">
        <v>146</v>
      </c>
      <c r="L256" t="s">
        <v>106</v>
      </c>
      <c r="M256" t="s">
        <v>147</v>
      </c>
      <c r="N256" t="s">
        <v>108</v>
      </c>
      <c r="O256" t="s">
        <v>149</v>
      </c>
      <c r="P256" s="1">
        <v>41411</v>
      </c>
      <c r="Q256">
        <v>11</v>
      </c>
      <c r="R256" t="s">
        <v>129</v>
      </c>
      <c r="S256" t="s">
        <v>63</v>
      </c>
      <c r="T256" t="s">
        <v>64</v>
      </c>
      <c r="U256">
        <v>0</v>
      </c>
      <c r="V256">
        <v>0</v>
      </c>
      <c r="W256" s="2">
        <v>2259</v>
      </c>
      <c r="X256" s="2">
        <v>0</v>
      </c>
      <c r="Y256" s="2">
        <v>422</v>
      </c>
      <c r="Z256" s="2">
        <v>2681</v>
      </c>
      <c r="AA256">
        <v>521</v>
      </c>
      <c r="AB256" t="s">
        <v>65</v>
      </c>
      <c r="AC256">
        <v>17.100000000000001</v>
      </c>
      <c r="AD256">
        <v>47</v>
      </c>
      <c r="AE256">
        <v>65</v>
      </c>
      <c r="AF256" t="s">
        <v>66</v>
      </c>
      <c r="AG256">
        <v>16</v>
      </c>
      <c r="AH256" t="s">
        <v>113</v>
      </c>
      <c r="AI256" t="s">
        <v>68</v>
      </c>
      <c r="AJ256" t="s">
        <v>188</v>
      </c>
      <c r="AK256" t="s">
        <v>71</v>
      </c>
      <c r="AL256" t="s">
        <v>71</v>
      </c>
      <c r="AM256" t="s">
        <v>70</v>
      </c>
      <c r="AN256" t="s">
        <v>133</v>
      </c>
      <c r="AO256" t="s">
        <v>287</v>
      </c>
      <c r="AP256" t="s">
        <v>116</v>
      </c>
      <c r="AQ256" t="s">
        <v>117</v>
      </c>
      <c r="AR256" s="1">
        <v>43017</v>
      </c>
      <c r="AS256" t="s">
        <v>198</v>
      </c>
      <c r="AT256" t="s">
        <v>71</v>
      </c>
      <c r="AU256">
        <v>1590</v>
      </c>
      <c r="AV256" t="s">
        <v>76</v>
      </c>
      <c r="AW256" s="3">
        <v>32172</v>
      </c>
      <c r="AX256" t="s">
        <v>805</v>
      </c>
      <c r="AY256" t="s">
        <v>806</v>
      </c>
      <c r="AZ256" t="s">
        <v>76</v>
      </c>
      <c r="BA256" t="s">
        <v>800</v>
      </c>
      <c r="BB256" t="s">
        <v>801</v>
      </c>
      <c r="BC256" t="s">
        <v>802</v>
      </c>
      <c r="BD256" s="3">
        <v>0.19433047370384185</v>
      </c>
      <c r="BE256">
        <v>573.4</v>
      </c>
      <c r="BG256" s="2">
        <f t="shared" si="14"/>
        <v>32172</v>
      </c>
      <c r="BH256" t="str" cm="1">
        <f t="array" ref="BH256">_xlfn.IFS(Q256&lt;5,"0-5 Years",Q256&lt;10,"5-10 Years",Q256&lt;15,"10-15 Years",TRUE,"15+ Years")</f>
        <v>10-15 Years</v>
      </c>
      <c r="BI256" t="str" cm="1">
        <f t="array" ref="BI256">_xlfn.IFS(AA256&gt;=540,"A",AA256&gt;=480,"B",AA256&gt;=420,"C",AA256&gt;=360,"D",TRUE,"F")</f>
        <v>B</v>
      </c>
      <c r="BJ256" t="str" cm="1">
        <f t="array" ref="BJ256">_xlfn.IFS(AU256&lt;0,"Separated",AU256&lt;=90,"High Risk",AU256&lt;=180,"Medium Risk",TRUE,"Retained")</f>
        <v>Retained</v>
      </c>
      <c r="BK256" t="str" cm="1">
        <f t="array" ref="BK256">_xlfn.IFS(V256=0,"No Combat",V256=1,"1 Tour",V256=2,"2 Tours",TRUE,"3+ Tours")</f>
        <v>No Combat</v>
      </c>
      <c r="BL256" t="str">
        <f t="shared" si="15"/>
        <v>Standard</v>
      </c>
      <c r="BM256" t="str">
        <f t="shared" si="16"/>
        <v>Not Ready</v>
      </c>
      <c r="BN256" s="3">
        <f t="shared" si="17"/>
        <v>0.19433047370384185</v>
      </c>
      <c r="BO256">
        <f t="shared" si="18"/>
        <v>573.4</v>
      </c>
    </row>
    <row r="257" spans="1:67" x14ac:dyDescent="0.25">
      <c r="A257" t="s">
        <v>544</v>
      </c>
      <c r="B257" t="s">
        <v>181</v>
      </c>
      <c r="C257" t="s">
        <v>191</v>
      </c>
      <c r="D257" t="s">
        <v>51</v>
      </c>
      <c r="E257">
        <v>32</v>
      </c>
      <c r="F257" t="s">
        <v>305</v>
      </c>
      <c r="G257" t="s">
        <v>193</v>
      </c>
      <c r="H257" t="s">
        <v>194</v>
      </c>
      <c r="I257" t="s">
        <v>217</v>
      </c>
      <c r="J257" t="s">
        <v>218</v>
      </c>
      <c r="K257" t="s">
        <v>146</v>
      </c>
      <c r="L257" t="s">
        <v>174</v>
      </c>
      <c r="M257" t="s">
        <v>212</v>
      </c>
      <c r="N257" t="s">
        <v>265</v>
      </c>
      <c r="O257" t="s">
        <v>89</v>
      </c>
      <c r="P257" s="1">
        <v>39497</v>
      </c>
      <c r="Q257">
        <v>16.3</v>
      </c>
      <c r="R257" t="s">
        <v>195</v>
      </c>
      <c r="S257" t="s">
        <v>219</v>
      </c>
      <c r="T257" t="s">
        <v>220</v>
      </c>
      <c r="U257">
        <v>0</v>
      </c>
      <c r="V257">
        <v>0</v>
      </c>
      <c r="W257" s="2">
        <v>2259</v>
      </c>
      <c r="X257" s="2">
        <v>1939</v>
      </c>
      <c r="Y257" s="2">
        <v>422</v>
      </c>
      <c r="Z257" s="2">
        <v>4620</v>
      </c>
      <c r="AA257">
        <v>548</v>
      </c>
      <c r="AB257" t="s">
        <v>65</v>
      </c>
      <c r="AC257">
        <v>20</v>
      </c>
      <c r="AD257">
        <v>33</v>
      </c>
      <c r="AE257">
        <v>69</v>
      </c>
      <c r="AF257" t="s">
        <v>112</v>
      </c>
      <c r="AG257">
        <v>37</v>
      </c>
      <c r="AH257" t="s">
        <v>94</v>
      </c>
      <c r="AI257" t="s">
        <v>68</v>
      </c>
      <c r="AJ257" t="s">
        <v>188</v>
      </c>
      <c r="AK257" t="s">
        <v>70</v>
      </c>
      <c r="AL257" t="s">
        <v>70</v>
      </c>
      <c r="AM257" t="s">
        <v>70</v>
      </c>
      <c r="AN257" t="s">
        <v>202</v>
      </c>
      <c r="AO257" t="s">
        <v>221</v>
      </c>
      <c r="AP257" t="s">
        <v>72</v>
      </c>
      <c r="AQ257" t="s">
        <v>74</v>
      </c>
      <c r="AR257" s="1">
        <v>44743</v>
      </c>
      <c r="AS257" t="s">
        <v>137</v>
      </c>
      <c r="AT257" t="s">
        <v>71</v>
      </c>
      <c r="AU257">
        <v>-492</v>
      </c>
      <c r="AV257" t="s">
        <v>179</v>
      </c>
      <c r="AW257" s="3">
        <v>55440</v>
      </c>
      <c r="AX257" t="s">
        <v>798</v>
      </c>
      <c r="AY257" t="s">
        <v>799</v>
      </c>
      <c r="AZ257" t="s">
        <v>810</v>
      </c>
      <c r="BA257" t="s">
        <v>800</v>
      </c>
      <c r="BB257" t="s">
        <v>814</v>
      </c>
      <c r="BC257" t="s">
        <v>802</v>
      </c>
      <c r="BD257" s="3">
        <v>0.11861471861471862</v>
      </c>
      <c r="BE257">
        <v>622.4</v>
      </c>
      <c r="BG257" s="2">
        <f t="shared" si="14"/>
        <v>55440</v>
      </c>
      <c r="BH257" t="str" cm="1">
        <f t="array" ref="BH257">_xlfn.IFS(Q257&lt;5,"0-5 Years",Q257&lt;10,"5-10 Years",Q257&lt;15,"10-15 Years",TRUE,"15+ Years")</f>
        <v>15+ Years</v>
      </c>
      <c r="BI257" t="str" cm="1">
        <f t="array" ref="BI257">_xlfn.IFS(AA257&gt;=540,"A",AA257&gt;=480,"B",AA257&gt;=420,"C",AA257&gt;=360,"D",TRUE,"F")</f>
        <v>A</v>
      </c>
      <c r="BJ257" t="str" cm="1">
        <f t="array" ref="BJ257">_xlfn.IFS(AU257&lt;0,"Separated",AU257&lt;=90,"High Risk",AU257&lt;=180,"Medium Risk",TRUE,"Retained")</f>
        <v>Separated</v>
      </c>
      <c r="BK257" t="str" cm="1">
        <f t="array" ref="BK257">_xlfn.IFS(V257=0,"No Combat",V257=1,"1 Tour",V257=2,"2 Tours",TRUE,"3+ Tours")</f>
        <v>No Combat</v>
      </c>
      <c r="BL257" t="str">
        <f t="shared" si="15"/>
        <v>High Performer</v>
      </c>
      <c r="BM257" t="str">
        <f t="shared" si="16"/>
        <v>Not Ready</v>
      </c>
      <c r="BN257" s="3">
        <f t="shared" si="17"/>
        <v>0.11861471861471862</v>
      </c>
      <c r="BO257">
        <f t="shared" si="18"/>
        <v>622.4</v>
      </c>
    </row>
    <row r="258" spans="1:67" x14ac:dyDescent="0.25">
      <c r="A258" t="s">
        <v>545</v>
      </c>
      <c r="B258" t="s">
        <v>346</v>
      </c>
      <c r="C258" t="s">
        <v>501</v>
      </c>
      <c r="D258" t="s">
        <v>122</v>
      </c>
      <c r="E258">
        <v>24</v>
      </c>
      <c r="F258" t="s">
        <v>278</v>
      </c>
      <c r="G258" t="s">
        <v>101</v>
      </c>
      <c r="H258" t="s">
        <v>102</v>
      </c>
      <c r="I258" t="s">
        <v>253</v>
      </c>
      <c r="J258" t="s">
        <v>254</v>
      </c>
      <c r="K258" t="s">
        <v>255</v>
      </c>
      <c r="L258" t="s">
        <v>201</v>
      </c>
      <c r="M258" t="s">
        <v>59</v>
      </c>
      <c r="N258" t="s">
        <v>265</v>
      </c>
      <c r="O258" t="s">
        <v>109</v>
      </c>
      <c r="P258" s="1">
        <v>44599</v>
      </c>
      <c r="Q258">
        <v>2.2999999999999998</v>
      </c>
      <c r="R258" t="s">
        <v>62</v>
      </c>
      <c r="S258" t="s">
        <v>91</v>
      </c>
      <c r="T258" t="s">
        <v>92</v>
      </c>
      <c r="U258">
        <v>2</v>
      </c>
      <c r="V258">
        <v>0</v>
      </c>
      <c r="W258" s="2">
        <v>2980</v>
      </c>
      <c r="X258" s="2">
        <v>0</v>
      </c>
      <c r="Y258" s="2">
        <v>422</v>
      </c>
      <c r="Z258" s="2">
        <v>3402</v>
      </c>
      <c r="AA258">
        <v>517</v>
      </c>
      <c r="AB258" t="s">
        <v>65</v>
      </c>
      <c r="AC258">
        <v>17.100000000000001</v>
      </c>
      <c r="AD258">
        <v>77</v>
      </c>
      <c r="AE258">
        <v>72</v>
      </c>
      <c r="AF258" t="s">
        <v>66</v>
      </c>
      <c r="AG258">
        <v>27</v>
      </c>
      <c r="AH258" t="s">
        <v>113</v>
      </c>
      <c r="AI258" t="s">
        <v>177</v>
      </c>
      <c r="AJ258" t="s">
        <v>72</v>
      </c>
      <c r="AK258" t="s">
        <v>71</v>
      </c>
      <c r="AL258" t="s">
        <v>70</v>
      </c>
      <c r="AM258" t="s">
        <v>70</v>
      </c>
      <c r="AN258" t="s">
        <v>243</v>
      </c>
      <c r="AO258" t="s">
        <v>227</v>
      </c>
      <c r="AP258" t="s">
        <v>221</v>
      </c>
      <c r="AQ258" t="s">
        <v>74</v>
      </c>
      <c r="AR258" s="1">
        <v>45294</v>
      </c>
      <c r="AS258" t="s">
        <v>118</v>
      </c>
      <c r="AT258" t="s">
        <v>71</v>
      </c>
      <c r="AU258">
        <v>284</v>
      </c>
      <c r="AV258" t="s">
        <v>76</v>
      </c>
      <c r="AW258" s="3">
        <v>40824</v>
      </c>
      <c r="AX258" t="s">
        <v>803</v>
      </c>
      <c r="AY258" t="s">
        <v>806</v>
      </c>
      <c r="AZ258" t="s">
        <v>76</v>
      </c>
      <c r="BA258" t="s">
        <v>800</v>
      </c>
      <c r="BB258" t="s">
        <v>801</v>
      </c>
      <c r="BC258" t="s">
        <v>812</v>
      </c>
      <c r="BD258" s="3">
        <v>0.15196942974720754</v>
      </c>
      <c r="BE258">
        <v>581.4</v>
      </c>
      <c r="BG258" s="2">
        <f t="shared" si="14"/>
        <v>40824</v>
      </c>
      <c r="BH258" t="str" cm="1">
        <f t="array" ref="BH258">_xlfn.IFS(Q258&lt;5,"0-5 Years",Q258&lt;10,"5-10 Years",Q258&lt;15,"10-15 Years",TRUE,"15+ Years")</f>
        <v>0-5 Years</v>
      </c>
      <c r="BI258" t="str" cm="1">
        <f t="array" ref="BI258">_xlfn.IFS(AA258&gt;=540,"A",AA258&gt;=480,"B",AA258&gt;=420,"C",AA258&gt;=360,"D",TRUE,"F")</f>
        <v>B</v>
      </c>
      <c r="BJ258" t="str" cm="1">
        <f t="array" ref="BJ258">_xlfn.IFS(AU258&lt;0,"Separated",AU258&lt;=90,"High Risk",AU258&lt;=180,"Medium Risk",TRUE,"Retained")</f>
        <v>Retained</v>
      </c>
      <c r="BK258" t="str" cm="1">
        <f t="array" ref="BK258">_xlfn.IFS(V258=0,"No Combat",V258=1,"1 Tour",V258=2,"2 Tours",TRUE,"3+ Tours")</f>
        <v>No Combat</v>
      </c>
      <c r="BL258" t="str">
        <f t="shared" si="15"/>
        <v>Standard</v>
      </c>
      <c r="BM258" t="str">
        <f t="shared" si="16"/>
        <v>Promotion Ready</v>
      </c>
      <c r="BN258" s="3">
        <f t="shared" si="17"/>
        <v>0.15196942974720754</v>
      </c>
      <c r="BO258">
        <f t="shared" si="18"/>
        <v>581.4</v>
      </c>
    </row>
    <row r="259" spans="1:67" x14ac:dyDescent="0.25">
      <c r="A259" t="s">
        <v>546</v>
      </c>
      <c r="B259" t="s">
        <v>120</v>
      </c>
      <c r="C259" t="s">
        <v>252</v>
      </c>
      <c r="D259" t="s">
        <v>51</v>
      </c>
      <c r="E259">
        <v>41</v>
      </c>
      <c r="F259" t="s">
        <v>325</v>
      </c>
      <c r="G259" t="s">
        <v>53</v>
      </c>
      <c r="H259" t="s">
        <v>54</v>
      </c>
      <c r="I259" t="s">
        <v>185</v>
      </c>
      <c r="J259" t="s">
        <v>186</v>
      </c>
      <c r="K259" t="s">
        <v>187</v>
      </c>
      <c r="L259" t="s">
        <v>86</v>
      </c>
      <c r="M259" t="s">
        <v>296</v>
      </c>
      <c r="N259" t="s">
        <v>88</v>
      </c>
      <c r="O259" t="s">
        <v>109</v>
      </c>
      <c r="P259" s="1">
        <v>44120</v>
      </c>
      <c r="Q259">
        <v>3.6</v>
      </c>
      <c r="R259" t="s">
        <v>129</v>
      </c>
      <c r="S259" t="s">
        <v>219</v>
      </c>
      <c r="T259" t="s">
        <v>220</v>
      </c>
      <c r="U259">
        <v>0</v>
      </c>
      <c r="V259">
        <v>0</v>
      </c>
      <c r="W259" s="2">
        <v>4739</v>
      </c>
      <c r="X259" s="2">
        <v>0</v>
      </c>
      <c r="Y259" s="2">
        <v>422</v>
      </c>
      <c r="Z259" s="2">
        <v>5161</v>
      </c>
      <c r="AA259">
        <v>492</v>
      </c>
      <c r="AB259" t="s">
        <v>65</v>
      </c>
      <c r="AC259">
        <v>12.6</v>
      </c>
      <c r="AD259">
        <v>82</v>
      </c>
      <c r="AE259">
        <v>70</v>
      </c>
      <c r="AF259" t="s">
        <v>66</v>
      </c>
      <c r="AG259">
        <v>24</v>
      </c>
      <c r="AH259" t="s">
        <v>113</v>
      </c>
      <c r="AI259" t="s">
        <v>114</v>
      </c>
      <c r="AJ259" t="s">
        <v>188</v>
      </c>
      <c r="AK259" t="s">
        <v>71</v>
      </c>
      <c r="AL259" t="s">
        <v>70</v>
      </c>
      <c r="AM259" t="s">
        <v>70</v>
      </c>
      <c r="AN259" t="s">
        <v>202</v>
      </c>
      <c r="AO259" t="s">
        <v>116</v>
      </c>
      <c r="AP259" t="s">
        <v>178</v>
      </c>
      <c r="AQ259" t="s">
        <v>98</v>
      </c>
      <c r="AR259" s="1">
        <v>45635</v>
      </c>
      <c r="AS259" t="s">
        <v>75</v>
      </c>
      <c r="AT259" t="s">
        <v>71</v>
      </c>
      <c r="AU259">
        <v>1642</v>
      </c>
      <c r="AV259" t="s">
        <v>76</v>
      </c>
      <c r="AW259" s="3">
        <v>61932</v>
      </c>
      <c r="AX259" t="s">
        <v>803</v>
      </c>
      <c r="AY259" t="s">
        <v>806</v>
      </c>
      <c r="AZ259" t="s">
        <v>76</v>
      </c>
      <c r="BA259" t="s">
        <v>800</v>
      </c>
      <c r="BB259" t="s">
        <v>801</v>
      </c>
      <c r="BC259" t="s">
        <v>802</v>
      </c>
      <c r="BD259" s="3">
        <v>9.5330362332881224E-2</v>
      </c>
      <c r="BE259">
        <v>550.4</v>
      </c>
      <c r="BG259" s="2">
        <f t="shared" ref="BG259:BG322" si="19">Z259*12</f>
        <v>61932</v>
      </c>
      <c r="BH259" t="str" cm="1">
        <f t="array" ref="BH259">_xlfn.IFS(Q259&lt;5,"0-5 Years",Q259&lt;10,"5-10 Years",Q259&lt;15,"10-15 Years",TRUE,"15+ Years")</f>
        <v>0-5 Years</v>
      </c>
      <c r="BI259" t="str" cm="1">
        <f t="array" ref="BI259">_xlfn.IFS(AA259&gt;=540,"A",AA259&gt;=480,"B",AA259&gt;=420,"C",AA259&gt;=360,"D",TRUE,"F")</f>
        <v>B</v>
      </c>
      <c r="BJ259" t="str" cm="1">
        <f t="array" ref="BJ259">_xlfn.IFS(AU259&lt;0,"Separated",AU259&lt;=90,"High Risk",AU259&lt;=180,"Medium Risk",TRUE,"Retained")</f>
        <v>Retained</v>
      </c>
      <c r="BK259" t="str" cm="1">
        <f t="array" ref="BK259">_xlfn.IFS(V259=0,"No Combat",V259=1,"1 Tour",V259=2,"2 Tours",TRUE,"3+ Tours")</f>
        <v>No Combat</v>
      </c>
      <c r="BL259" t="str">
        <f t="shared" ref="BL259:BL322" si="20">IF(AND(AA259&gt;=500,AG259&gt;=35,AQ259="Outstanding"),"High Performer","Standard")</f>
        <v>Standard</v>
      </c>
      <c r="BM259" t="str">
        <f t="shared" ref="BM259:BM322" si="21">IF(AND(OR(G259="SGT",G259="SSG",G259="SFC"),AQ259="Outstanding"),"Promotion Ready","Not Ready")</f>
        <v>Not Ready</v>
      </c>
      <c r="BN259" s="3">
        <f t="shared" ref="BN259:BN322" si="22">AA259/Z259</f>
        <v>9.5330362332881224E-2</v>
      </c>
      <c r="BO259">
        <f t="shared" ref="BO259:BO322" si="23">(AA259+0.4)+(AG259*10*0.2)+(IF(AK259="YES",100,0)*0.1)+(IF(AL259="YES",100,0)*0.1)+(IF(AM259="YES",100,0)*0.2)</f>
        <v>550.4</v>
      </c>
    </row>
    <row r="260" spans="1:67" x14ac:dyDescent="0.25">
      <c r="A260" t="s">
        <v>547</v>
      </c>
      <c r="B260" t="s">
        <v>210</v>
      </c>
      <c r="C260" t="s">
        <v>155</v>
      </c>
      <c r="D260" t="s">
        <v>51</v>
      </c>
      <c r="E260">
        <v>19</v>
      </c>
      <c r="F260" t="s">
        <v>80</v>
      </c>
      <c r="G260" t="s">
        <v>234</v>
      </c>
      <c r="H260" t="s">
        <v>235</v>
      </c>
      <c r="I260" t="s">
        <v>260</v>
      </c>
      <c r="J260" t="s">
        <v>261</v>
      </c>
      <c r="K260" t="s">
        <v>173</v>
      </c>
      <c r="L260" t="s">
        <v>106</v>
      </c>
      <c r="M260" t="s">
        <v>147</v>
      </c>
      <c r="N260" t="s">
        <v>148</v>
      </c>
      <c r="O260" t="s">
        <v>176</v>
      </c>
      <c r="P260" s="1">
        <v>43929</v>
      </c>
      <c r="Q260">
        <v>4.0999999999999996</v>
      </c>
      <c r="R260" t="s">
        <v>75</v>
      </c>
      <c r="S260" t="s">
        <v>63</v>
      </c>
      <c r="T260" t="s">
        <v>64</v>
      </c>
      <c r="U260">
        <v>0</v>
      </c>
      <c r="V260">
        <v>0</v>
      </c>
      <c r="W260" s="2">
        <v>1917</v>
      </c>
      <c r="X260" s="2">
        <v>0</v>
      </c>
      <c r="Y260" s="2">
        <v>422</v>
      </c>
      <c r="Z260" s="2">
        <v>2339</v>
      </c>
      <c r="AA260">
        <v>316</v>
      </c>
      <c r="AB260" t="s">
        <v>151</v>
      </c>
      <c r="AC260">
        <v>20.5</v>
      </c>
      <c r="AD260">
        <v>61</v>
      </c>
      <c r="AE260">
        <v>73</v>
      </c>
      <c r="AF260" t="s">
        <v>112</v>
      </c>
      <c r="AG260">
        <v>29</v>
      </c>
      <c r="AH260" t="s">
        <v>113</v>
      </c>
      <c r="AI260" t="s">
        <v>95</v>
      </c>
      <c r="AJ260" t="s">
        <v>96</v>
      </c>
      <c r="AK260" t="s">
        <v>71</v>
      </c>
      <c r="AL260" t="s">
        <v>70</v>
      </c>
      <c r="AM260" t="s">
        <v>70</v>
      </c>
      <c r="AN260" t="s">
        <v>72</v>
      </c>
      <c r="AO260" t="s">
        <v>227</v>
      </c>
      <c r="AP260" t="s">
        <v>72</v>
      </c>
      <c r="AQ260" t="s">
        <v>74</v>
      </c>
      <c r="AR260" s="1">
        <v>44633</v>
      </c>
      <c r="AS260" t="s">
        <v>198</v>
      </c>
      <c r="AT260" t="s">
        <v>71</v>
      </c>
      <c r="AU260">
        <v>297</v>
      </c>
      <c r="AV260" t="s">
        <v>76</v>
      </c>
      <c r="AW260" s="3">
        <v>28068</v>
      </c>
      <c r="AX260" t="s">
        <v>803</v>
      </c>
      <c r="AY260" t="s">
        <v>122</v>
      </c>
      <c r="AZ260" t="s">
        <v>76</v>
      </c>
      <c r="BA260" t="s">
        <v>800</v>
      </c>
      <c r="BB260" t="s">
        <v>801</v>
      </c>
      <c r="BC260" t="s">
        <v>802</v>
      </c>
      <c r="BD260" s="3">
        <v>0.1351004702864472</v>
      </c>
      <c r="BE260">
        <v>384.4</v>
      </c>
      <c r="BG260" s="2">
        <f t="shared" si="19"/>
        <v>28068</v>
      </c>
      <c r="BH260" t="str" cm="1">
        <f t="array" ref="BH260">_xlfn.IFS(Q260&lt;5,"0-5 Years",Q260&lt;10,"5-10 Years",Q260&lt;15,"10-15 Years",TRUE,"15+ Years")</f>
        <v>0-5 Years</v>
      </c>
      <c r="BI260" t="str" cm="1">
        <f t="array" ref="BI260">_xlfn.IFS(AA260&gt;=540,"A",AA260&gt;=480,"B",AA260&gt;=420,"C",AA260&gt;=360,"D",TRUE,"F")</f>
        <v>F</v>
      </c>
      <c r="BJ260" t="str" cm="1">
        <f t="array" ref="BJ260">_xlfn.IFS(AU260&lt;0,"Separated",AU260&lt;=90,"High Risk",AU260&lt;=180,"Medium Risk",TRUE,"Retained")</f>
        <v>Retained</v>
      </c>
      <c r="BK260" t="str" cm="1">
        <f t="array" ref="BK260">_xlfn.IFS(V260=0,"No Combat",V260=1,"1 Tour",V260=2,"2 Tours",TRUE,"3+ Tours")</f>
        <v>No Combat</v>
      </c>
      <c r="BL260" t="str">
        <f t="shared" si="20"/>
        <v>Standard</v>
      </c>
      <c r="BM260" t="str">
        <f t="shared" si="21"/>
        <v>Not Ready</v>
      </c>
      <c r="BN260" s="3">
        <f t="shared" si="22"/>
        <v>0.1351004702864472</v>
      </c>
      <c r="BO260">
        <f t="shared" si="23"/>
        <v>384.4</v>
      </c>
    </row>
    <row r="261" spans="1:67" x14ac:dyDescent="0.25">
      <c r="A261" t="s">
        <v>548</v>
      </c>
      <c r="B261" t="s">
        <v>251</v>
      </c>
      <c r="C261" t="s">
        <v>79</v>
      </c>
      <c r="D261" t="s">
        <v>51</v>
      </c>
      <c r="E261">
        <v>25</v>
      </c>
      <c r="F261" t="s">
        <v>382</v>
      </c>
      <c r="G261" t="s">
        <v>234</v>
      </c>
      <c r="H261" t="s">
        <v>235</v>
      </c>
      <c r="I261" t="s">
        <v>260</v>
      </c>
      <c r="J261" t="s">
        <v>261</v>
      </c>
      <c r="K261" t="s">
        <v>173</v>
      </c>
      <c r="L261" t="s">
        <v>58</v>
      </c>
      <c r="M261" t="s">
        <v>59</v>
      </c>
      <c r="N261" t="s">
        <v>162</v>
      </c>
      <c r="O261" t="s">
        <v>89</v>
      </c>
      <c r="P261" s="1">
        <v>40400</v>
      </c>
      <c r="Q261">
        <v>13.8</v>
      </c>
      <c r="R261" t="s">
        <v>90</v>
      </c>
      <c r="S261" t="s">
        <v>130</v>
      </c>
      <c r="T261" t="s">
        <v>131</v>
      </c>
      <c r="U261">
        <v>5</v>
      </c>
      <c r="V261">
        <v>0</v>
      </c>
      <c r="W261" s="2">
        <v>1917</v>
      </c>
      <c r="X261" s="2">
        <v>1474</v>
      </c>
      <c r="Y261" s="2">
        <v>422</v>
      </c>
      <c r="Z261" s="2">
        <v>3813</v>
      </c>
      <c r="AA261">
        <v>304</v>
      </c>
      <c r="AB261" t="s">
        <v>151</v>
      </c>
      <c r="AC261">
        <v>13</v>
      </c>
      <c r="AD261">
        <v>60</v>
      </c>
      <c r="AE261">
        <v>36</v>
      </c>
      <c r="AF261" t="s">
        <v>132</v>
      </c>
      <c r="AG261">
        <v>29</v>
      </c>
      <c r="AH261" t="s">
        <v>113</v>
      </c>
      <c r="AI261" t="s">
        <v>177</v>
      </c>
      <c r="AJ261" t="s">
        <v>96</v>
      </c>
      <c r="AK261" t="s">
        <v>70</v>
      </c>
      <c r="AL261" t="s">
        <v>71</v>
      </c>
      <c r="AM261" t="s">
        <v>70</v>
      </c>
      <c r="AN261" t="s">
        <v>202</v>
      </c>
      <c r="AO261" t="s">
        <v>72</v>
      </c>
      <c r="AP261" t="s">
        <v>72</v>
      </c>
      <c r="AQ261" t="s">
        <v>117</v>
      </c>
      <c r="AR261" s="1">
        <v>40776</v>
      </c>
      <c r="AS261" t="s">
        <v>75</v>
      </c>
      <c r="AT261" t="s">
        <v>71</v>
      </c>
      <c r="AU261">
        <v>1296</v>
      </c>
      <c r="AV261" t="s">
        <v>76</v>
      </c>
      <c r="AW261" s="3">
        <v>45756</v>
      </c>
      <c r="AX261" t="s">
        <v>805</v>
      </c>
      <c r="AY261" t="s">
        <v>122</v>
      </c>
      <c r="AZ261" t="s">
        <v>76</v>
      </c>
      <c r="BA261" t="s">
        <v>800</v>
      </c>
      <c r="BB261" t="s">
        <v>801</v>
      </c>
      <c r="BC261" t="s">
        <v>802</v>
      </c>
      <c r="BD261" s="3">
        <v>7.972724888539208E-2</v>
      </c>
      <c r="BE261">
        <v>372.4</v>
      </c>
      <c r="BG261" s="2">
        <f t="shared" si="19"/>
        <v>45756</v>
      </c>
      <c r="BH261" t="str" cm="1">
        <f t="array" ref="BH261">_xlfn.IFS(Q261&lt;5,"0-5 Years",Q261&lt;10,"5-10 Years",Q261&lt;15,"10-15 Years",TRUE,"15+ Years")</f>
        <v>10-15 Years</v>
      </c>
      <c r="BI261" t="str" cm="1">
        <f t="array" ref="BI261">_xlfn.IFS(AA261&gt;=540,"A",AA261&gt;=480,"B",AA261&gt;=420,"C",AA261&gt;=360,"D",TRUE,"F")</f>
        <v>F</v>
      </c>
      <c r="BJ261" t="str" cm="1">
        <f t="array" ref="BJ261">_xlfn.IFS(AU261&lt;0,"Separated",AU261&lt;=90,"High Risk",AU261&lt;=180,"Medium Risk",TRUE,"Retained")</f>
        <v>Retained</v>
      </c>
      <c r="BK261" t="str" cm="1">
        <f t="array" ref="BK261">_xlfn.IFS(V261=0,"No Combat",V261=1,"1 Tour",V261=2,"2 Tours",TRUE,"3+ Tours")</f>
        <v>No Combat</v>
      </c>
      <c r="BL261" t="str">
        <f t="shared" si="20"/>
        <v>Standard</v>
      </c>
      <c r="BM261" t="str">
        <f t="shared" si="21"/>
        <v>Not Ready</v>
      </c>
      <c r="BN261" s="3">
        <f t="shared" si="22"/>
        <v>7.972724888539208E-2</v>
      </c>
      <c r="BO261">
        <f t="shared" si="23"/>
        <v>372.4</v>
      </c>
    </row>
    <row r="262" spans="1:67" x14ac:dyDescent="0.25">
      <c r="A262" t="s">
        <v>549</v>
      </c>
      <c r="B262" t="s">
        <v>251</v>
      </c>
      <c r="C262" t="s">
        <v>200</v>
      </c>
      <c r="D262" t="s">
        <v>51</v>
      </c>
      <c r="E262">
        <v>42</v>
      </c>
      <c r="F262" t="s">
        <v>52</v>
      </c>
      <c r="G262" t="s">
        <v>81</v>
      </c>
      <c r="H262" t="s">
        <v>82</v>
      </c>
      <c r="I262" t="s">
        <v>171</v>
      </c>
      <c r="J262" t="s">
        <v>172</v>
      </c>
      <c r="K262" t="s">
        <v>173</v>
      </c>
      <c r="L262" t="s">
        <v>174</v>
      </c>
      <c r="M262" t="s">
        <v>296</v>
      </c>
      <c r="N262" t="s">
        <v>162</v>
      </c>
      <c r="O262" t="s">
        <v>176</v>
      </c>
      <c r="P262" s="1">
        <v>44033</v>
      </c>
      <c r="Q262">
        <v>3.9</v>
      </c>
      <c r="R262" t="s">
        <v>195</v>
      </c>
      <c r="S262" t="s">
        <v>163</v>
      </c>
      <c r="T262" t="s">
        <v>164</v>
      </c>
      <c r="U262">
        <v>4</v>
      </c>
      <c r="V262">
        <v>0</v>
      </c>
      <c r="W262" s="2">
        <v>2504</v>
      </c>
      <c r="X262" s="2">
        <v>926</v>
      </c>
      <c r="Y262" s="2">
        <v>422</v>
      </c>
      <c r="Z262" s="2">
        <v>3852</v>
      </c>
      <c r="AA262">
        <v>511</v>
      </c>
      <c r="AB262" t="s">
        <v>65</v>
      </c>
      <c r="AC262">
        <v>13</v>
      </c>
      <c r="AD262">
        <v>59</v>
      </c>
      <c r="AE262">
        <v>70</v>
      </c>
      <c r="AF262" t="s">
        <v>66</v>
      </c>
      <c r="AG262">
        <v>19</v>
      </c>
      <c r="AH262" t="s">
        <v>113</v>
      </c>
      <c r="AI262" t="s">
        <v>114</v>
      </c>
      <c r="AJ262" t="s">
        <v>69</v>
      </c>
      <c r="AK262" t="s">
        <v>70</v>
      </c>
      <c r="AL262" t="s">
        <v>71</v>
      </c>
      <c r="AM262" t="s">
        <v>70</v>
      </c>
      <c r="AN262" t="s">
        <v>231</v>
      </c>
      <c r="AO262" t="s">
        <v>72</v>
      </c>
      <c r="AP262" t="s">
        <v>72</v>
      </c>
      <c r="AQ262" t="s">
        <v>136</v>
      </c>
      <c r="AR262" s="1">
        <v>45459</v>
      </c>
      <c r="AS262" t="s">
        <v>137</v>
      </c>
      <c r="AT262" t="s">
        <v>71</v>
      </c>
      <c r="AU262">
        <v>1253</v>
      </c>
      <c r="AV262" t="s">
        <v>76</v>
      </c>
      <c r="AW262" s="3">
        <v>46224</v>
      </c>
      <c r="AX262" t="s">
        <v>803</v>
      </c>
      <c r="AY262" t="s">
        <v>806</v>
      </c>
      <c r="AZ262" t="s">
        <v>76</v>
      </c>
      <c r="BA262" t="s">
        <v>800</v>
      </c>
      <c r="BB262" t="s">
        <v>801</v>
      </c>
      <c r="BC262" t="s">
        <v>802</v>
      </c>
      <c r="BD262" s="3">
        <v>0.13265835929387332</v>
      </c>
      <c r="BE262">
        <v>559.4</v>
      </c>
      <c r="BG262" s="2">
        <f t="shared" si="19"/>
        <v>46224</v>
      </c>
      <c r="BH262" t="str" cm="1">
        <f t="array" ref="BH262">_xlfn.IFS(Q262&lt;5,"0-5 Years",Q262&lt;10,"5-10 Years",Q262&lt;15,"10-15 Years",TRUE,"15+ Years")</f>
        <v>0-5 Years</v>
      </c>
      <c r="BI262" t="str" cm="1">
        <f t="array" ref="BI262">_xlfn.IFS(AA262&gt;=540,"A",AA262&gt;=480,"B",AA262&gt;=420,"C",AA262&gt;=360,"D",TRUE,"F")</f>
        <v>B</v>
      </c>
      <c r="BJ262" t="str" cm="1">
        <f t="array" ref="BJ262">_xlfn.IFS(AU262&lt;0,"Separated",AU262&lt;=90,"High Risk",AU262&lt;=180,"Medium Risk",TRUE,"Retained")</f>
        <v>Retained</v>
      </c>
      <c r="BK262" t="str" cm="1">
        <f t="array" ref="BK262">_xlfn.IFS(V262=0,"No Combat",V262=1,"1 Tour",V262=2,"2 Tours",TRUE,"3+ Tours")</f>
        <v>No Combat</v>
      </c>
      <c r="BL262" t="str">
        <f t="shared" si="20"/>
        <v>Standard</v>
      </c>
      <c r="BM262" t="str">
        <f t="shared" si="21"/>
        <v>Not Ready</v>
      </c>
      <c r="BN262" s="3">
        <f t="shared" si="22"/>
        <v>0.13265835929387332</v>
      </c>
      <c r="BO262">
        <f t="shared" si="23"/>
        <v>559.4</v>
      </c>
    </row>
    <row r="263" spans="1:67" x14ac:dyDescent="0.25">
      <c r="A263" t="s">
        <v>550</v>
      </c>
      <c r="B263" t="s">
        <v>139</v>
      </c>
      <c r="C263" t="s">
        <v>360</v>
      </c>
      <c r="D263" t="s">
        <v>51</v>
      </c>
      <c r="E263">
        <v>43</v>
      </c>
      <c r="F263" t="s">
        <v>214</v>
      </c>
      <c r="G263" t="s">
        <v>234</v>
      </c>
      <c r="H263" t="s">
        <v>235</v>
      </c>
      <c r="I263" t="s">
        <v>185</v>
      </c>
      <c r="J263" t="s">
        <v>186</v>
      </c>
      <c r="K263" t="s">
        <v>187</v>
      </c>
      <c r="L263" t="s">
        <v>201</v>
      </c>
      <c r="M263" t="s">
        <v>161</v>
      </c>
      <c r="N263" t="s">
        <v>148</v>
      </c>
      <c r="O263" t="s">
        <v>149</v>
      </c>
      <c r="P263" s="1">
        <v>39237</v>
      </c>
      <c r="Q263">
        <v>17</v>
      </c>
      <c r="R263" t="s">
        <v>75</v>
      </c>
      <c r="S263" t="s">
        <v>163</v>
      </c>
      <c r="T263" t="s">
        <v>164</v>
      </c>
      <c r="U263">
        <v>0</v>
      </c>
      <c r="V263">
        <v>0</v>
      </c>
      <c r="W263" s="2">
        <v>1917</v>
      </c>
      <c r="X263" s="2">
        <v>0</v>
      </c>
      <c r="Y263" s="2">
        <v>422</v>
      </c>
      <c r="Z263" s="2">
        <v>2339</v>
      </c>
      <c r="AA263">
        <v>583</v>
      </c>
      <c r="AB263" t="s">
        <v>65</v>
      </c>
      <c r="AC263">
        <v>17.5</v>
      </c>
      <c r="AD263">
        <v>73</v>
      </c>
      <c r="AE263">
        <v>42</v>
      </c>
      <c r="AF263" t="s">
        <v>93</v>
      </c>
      <c r="AG263">
        <v>36</v>
      </c>
      <c r="AH263" t="s">
        <v>94</v>
      </c>
      <c r="AI263" t="s">
        <v>177</v>
      </c>
      <c r="AJ263" t="s">
        <v>69</v>
      </c>
      <c r="AK263" t="s">
        <v>70</v>
      </c>
      <c r="AL263" t="s">
        <v>71</v>
      </c>
      <c r="AM263" t="s">
        <v>70</v>
      </c>
      <c r="AN263" t="s">
        <v>72</v>
      </c>
      <c r="AO263" t="s">
        <v>203</v>
      </c>
      <c r="AP263" t="s">
        <v>72</v>
      </c>
      <c r="AQ263" t="s">
        <v>74</v>
      </c>
      <c r="AR263" s="1">
        <v>42653</v>
      </c>
      <c r="AS263" t="s">
        <v>118</v>
      </c>
      <c r="AT263" t="s">
        <v>71</v>
      </c>
      <c r="AU263">
        <v>1601</v>
      </c>
      <c r="AV263" t="s">
        <v>76</v>
      </c>
      <c r="AW263" s="3">
        <v>28068</v>
      </c>
      <c r="AX263" t="s">
        <v>798</v>
      </c>
      <c r="AY263" t="s">
        <v>799</v>
      </c>
      <c r="AZ263" t="s">
        <v>76</v>
      </c>
      <c r="BA263" t="s">
        <v>800</v>
      </c>
      <c r="BB263" t="s">
        <v>814</v>
      </c>
      <c r="BC263" t="s">
        <v>802</v>
      </c>
      <c r="BD263" s="3">
        <v>0.24925181701581872</v>
      </c>
      <c r="BE263">
        <v>665.4</v>
      </c>
      <c r="BG263" s="2">
        <f t="shared" si="19"/>
        <v>28068</v>
      </c>
      <c r="BH263" t="str" cm="1">
        <f t="array" ref="BH263">_xlfn.IFS(Q263&lt;5,"0-5 Years",Q263&lt;10,"5-10 Years",Q263&lt;15,"10-15 Years",TRUE,"15+ Years")</f>
        <v>15+ Years</v>
      </c>
      <c r="BI263" t="str" cm="1">
        <f t="array" ref="BI263">_xlfn.IFS(AA263&gt;=540,"A",AA263&gt;=480,"B",AA263&gt;=420,"C",AA263&gt;=360,"D",TRUE,"F")</f>
        <v>A</v>
      </c>
      <c r="BJ263" t="str" cm="1">
        <f t="array" ref="BJ263">_xlfn.IFS(AU263&lt;0,"Separated",AU263&lt;=90,"High Risk",AU263&lt;=180,"Medium Risk",TRUE,"Retained")</f>
        <v>Retained</v>
      </c>
      <c r="BK263" t="str" cm="1">
        <f t="array" ref="BK263">_xlfn.IFS(V263=0,"No Combat",V263=1,"1 Tour",V263=2,"2 Tours",TRUE,"3+ Tours")</f>
        <v>No Combat</v>
      </c>
      <c r="BL263" t="str">
        <f t="shared" si="20"/>
        <v>High Performer</v>
      </c>
      <c r="BM263" t="str">
        <f t="shared" si="21"/>
        <v>Not Ready</v>
      </c>
      <c r="BN263" s="3">
        <f t="shared" si="22"/>
        <v>0.24925181701581872</v>
      </c>
      <c r="BO263">
        <f t="shared" si="23"/>
        <v>665.4</v>
      </c>
    </row>
    <row r="264" spans="1:67" x14ac:dyDescent="0.25">
      <c r="A264" t="s">
        <v>551</v>
      </c>
      <c r="B264" t="s">
        <v>251</v>
      </c>
      <c r="C264" t="s">
        <v>252</v>
      </c>
      <c r="D264" t="s">
        <v>51</v>
      </c>
      <c r="E264">
        <v>40</v>
      </c>
      <c r="F264" t="s">
        <v>278</v>
      </c>
      <c r="G264" t="s">
        <v>124</v>
      </c>
      <c r="H264" t="s">
        <v>125</v>
      </c>
      <c r="I264" t="s">
        <v>273</v>
      </c>
      <c r="J264" t="s">
        <v>274</v>
      </c>
      <c r="K264" t="s">
        <v>57</v>
      </c>
      <c r="L264" t="s">
        <v>126</v>
      </c>
      <c r="M264" t="s">
        <v>207</v>
      </c>
      <c r="N264" t="s">
        <v>148</v>
      </c>
      <c r="O264" t="s">
        <v>176</v>
      </c>
      <c r="P264" s="1">
        <v>40737</v>
      </c>
      <c r="Q264">
        <v>12.9</v>
      </c>
      <c r="R264" t="s">
        <v>90</v>
      </c>
      <c r="S264" t="s">
        <v>110</v>
      </c>
      <c r="T264" t="s">
        <v>111</v>
      </c>
      <c r="U264">
        <v>0</v>
      </c>
      <c r="V264">
        <v>0</v>
      </c>
      <c r="W264" s="2">
        <v>2730</v>
      </c>
      <c r="X264" s="2">
        <v>0</v>
      </c>
      <c r="Y264" s="2">
        <v>422</v>
      </c>
      <c r="Z264" s="2">
        <v>3152</v>
      </c>
      <c r="AA264">
        <v>317</v>
      </c>
      <c r="AB264" t="s">
        <v>151</v>
      </c>
      <c r="AC264">
        <v>13</v>
      </c>
      <c r="AD264">
        <v>52</v>
      </c>
      <c r="AE264">
        <v>65</v>
      </c>
      <c r="AF264" t="s">
        <v>132</v>
      </c>
      <c r="AG264">
        <v>27</v>
      </c>
      <c r="AH264" t="s">
        <v>113</v>
      </c>
      <c r="AI264" t="s">
        <v>152</v>
      </c>
      <c r="AJ264" t="s">
        <v>72</v>
      </c>
      <c r="AK264" t="s">
        <v>70</v>
      </c>
      <c r="AL264" t="s">
        <v>71</v>
      </c>
      <c r="AM264" t="s">
        <v>70</v>
      </c>
      <c r="AN264" t="s">
        <v>115</v>
      </c>
      <c r="AO264" t="s">
        <v>73</v>
      </c>
      <c r="AP264" t="s">
        <v>72</v>
      </c>
      <c r="AQ264" t="s">
        <v>98</v>
      </c>
      <c r="AR264" s="1">
        <v>43293</v>
      </c>
      <c r="AS264" t="s">
        <v>75</v>
      </c>
      <c r="AT264" t="s">
        <v>71</v>
      </c>
      <c r="AU264">
        <v>727</v>
      </c>
      <c r="AV264" t="s">
        <v>76</v>
      </c>
      <c r="AW264" s="3">
        <v>37824</v>
      </c>
      <c r="AX264" t="s">
        <v>805</v>
      </c>
      <c r="AY264" t="s">
        <v>122</v>
      </c>
      <c r="AZ264" t="s">
        <v>76</v>
      </c>
      <c r="BA264" t="s">
        <v>800</v>
      </c>
      <c r="BB264" t="s">
        <v>801</v>
      </c>
      <c r="BC264" t="s">
        <v>802</v>
      </c>
      <c r="BD264" s="3">
        <v>0.10057106598984772</v>
      </c>
      <c r="BE264">
        <v>381.4</v>
      </c>
      <c r="BG264" s="2">
        <f t="shared" si="19"/>
        <v>37824</v>
      </c>
      <c r="BH264" t="str" cm="1">
        <f t="array" ref="BH264">_xlfn.IFS(Q264&lt;5,"0-5 Years",Q264&lt;10,"5-10 Years",Q264&lt;15,"10-15 Years",TRUE,"15+ Years")</f>
        <v>10-15 Years</v>
      </c>
      <c r="BI264" t="str" cm="1">
        <f t="array" ref="BI264">_xlfn.IFS(AA264&gt;=540,"A",AA264&gt;=480,"B",AA264&gt;=420,"C",AA264&gt;=360,"D",TRUE,"F")</f>
        <v>F</v>
      </c>
      <c r="BJ264" t="str" cm="1">
        <f t="array" ref="BJ264">_xlfn.IFS(AU264&lt;0,"Separated",AU264&lt;=90,"High Risk",AU264&lt;=180,"Medium Risk",TRUE,"Retained")</f>
        <v>Retained</v>
      </c>
      <c r="BK264" t="str" cm="1">
        <f t="array" ref="BK264">_xlfn.IFS(V264=0,"No Combat",V264=1,"1 Tour",V264=2,"2 Tours",TRUE,"3+ Tours")</f>
        <v>No Combat</v>
      </c>
      <c r="BL264" t="str">
        <f t="shared" si="20"/>
        <v>Standard</v>
      </c>
      <c r="BM264" t="str">
        <f t="shared" si="21"/>
        <v>Not Ready</v>
      </c>
      <c r="BN264" s="3">
        <f t="shared" si="22"/>
        <v>0.10057106598984772</v>
      </c>
      <c r="BO264">
        <f t="shared" si="23"/>
        <v>381.4</v>
      </c>
    </row>
    <row r="265" spans="1:67" x14ac:dyDescent="0.25">
      <c r="A265" t="s">
        <v>552</v>
      </c>
      <c r="B265" t="s">
        <v>181</v>
      </c>
      <c r="C265" t="s">
        <v>121</v>
      </c>
      <c r="D265" t="s">
        <v>122</v>
      </c>
      <c r="E265">
        <v>35</v>
      </c>
      <c r="F265" t="s">
        <v>311</v>
      </c>
      <c r="G265" t="s">
        <v>81</v>
      </c>
      <c r="H265" t="s">
        <v>82</v>
      </c>
      <c r="I265" t="s">
        <v>185</v>
      </c>
      <c r="J265" t="s">
        <v>186</v>
      </c>
      <c r="K265" t="s">
        <v>187</v>
      </c>
      <c r="L265" t="s">
        <v>174</v>
      </c>
      <c r="M265" t="s">
        <v>249</v>
      </c>
      <c r="N265" t="s">
        <v>108</v>
      </c>
      <c r="O265" t="s">
        <v>89</v>
      </c>
      <c r="P265" s="1">
        <v>43585</v>
      </c>
      <c r="Q265">
        <v>5.0999999999999996</v>
      </c>
      <c r="R265" t="s">
        <v>195</v>
      </c>
      <c r="S265" t="s">
        <v>130</v>
      </c>
      <c r="T265" t="s">
        <v>131</v>
      </c>
      <c r="U265">
        <v>7</v>
      </c>
      <c r="V265">
        <v>1</v>
      </c>
      <c r="W265" s="2">
        <v>2504</v>
      </c>
      <c r="X265" s="2">
        <v>0</v>
      </c>
      <c r="Y265" s="2">
        <v>422</v>
      </c>
      <c r="Z265" s="2">
        <v>2926</v>
      </c>
      <c r="AA265">
        <v>459</v>
      </c>
      <c r="AB265" t="s">
        <v>65</v>
      </c>
      <c r="AC265">
        <v>14.5</v>
      </c>
      <c r="AD265">
        <v>67</v>
      </c>
      <c r="AE265">
        <v>79</v>
      </c>
      <c r="AF265" t="s">
        <v>132</v>
      </c>
      <c r="AG265">
        <v>22</v>
      </c>
      <c r="AH265" t="s">
        <v>113</v>
      </c>
      <c r="AI265" t="s">
        <v>114</v>
      </c>
      <c r="AJ265" t="s">
        <v>72</v>
      </c>
      <c r="AK265" t="s">
        <v>71</v>
      </c>
      <c r="AL265" t="s">
        <v>70</v>
      </c>
      <c r="AM265" t="s">
        <v>71</v>
      </c>
      <c r="AN265" t="s">
        <v>133</v>
      </c>
      <c r="AO265" t="s">
        <v>227</v>
      </c>
      <c r="AP265" t="s">
        <v>72</v>
      </c>
      <c r="AQ265" t="s">
        <v>136</v>
      </c>
      <c r="AR265" s="1">
        <v>44940</v>
      </c>
      <c r="AS265" t="s">
        <v>75</v>
      </c>
      <c r="AT265" t="s">
        <v>71</v>
      </c>
      <c r="AU265">
        <v>-321</v>
      </c>
      <c r="AV265" t="s">
        <v>179</v>
      </c>
      <c r="AW265" s="3">
        <v>35112</v>
      </c>
      <c r="AX265" t="s">
        <v>808</v>
      </c>
      <c r="AY265" t="s">
        <v>804</v>
      </c>
      <c r="AZ265" t="s">
        <v>810</v>
      </c>
      <c r="BA265" t="s">
        <v>807</v>
      </c>
      <c r="BB265" t="s">
        <v>801</v>
      </c>
      <c r="BC265" t="s">
        <v>802</v>
      </c>
      <c r="BD265" s="3">
        <v>0.15686944634313055</v>
      </c>
      <c r="BE265">
        <v>533.4</v>
      </c>
      <c r="BG265" s="2">
        <f t="shared" si="19"/>
        <v>35112</v>
      </c>
      <c r="BH265" t="str" cm="1">
        <f t="array" ref="BH265">_xlfn.IFS(Q265&lt;5,"0-5 Years",Q265&lt;10,"5-10 Years",Q265&lt;15,"10-15 Years",TRUE,"15+ Years")</f>
        <v>5-10 Years</v>
      </c>
      <c r="BI265" t="str" cm="1">
        <f t="array" ref="BI265">_xlfn.IFS(AA265&gt;=540,"A",AA265&gt;=480,"B",AA265&gt;=420,"C",AA265&gt;=360,"D",TRUE,"F")</f>
        <v>C</v>
      </c>
      <c r="BJ265" t="str" cm="1">
        <f t="array" ref="BJ265">_xlfn.IFS(AU265&lt;0,"Separated",AU265&lt;=90,"High Risk",AU265&lt;=180,"Medium Risk",TRUE,"Retained")</f>
        <v>Separated</v>
      </c>
      <c r="BK265" t="str" cm="1">
        <f t="array" ref="BK265">_xlfn.IFS(V265=0,"No Combat",V265=1,"1 Tour",V265=2,"2 Tours",TRUE,"3+ Tours")</f>
        <v>1 Tour</v>
      </c>
      <c r="BL265" t="str">
        <f t="shared" si="20"/>
        <v>Standard</v>
      </c>
      <c r="BM265" t="str">
        <f t="shared" si="21"/>
        <v>Not Ready</v>
      </c>
      <c r="BN265" s="3">
        <f t="shared" si="22"/>
        <v>0.15686944634313055</v>
      </c>
      <c r="BO265">
        <f t="shared" si="23"/>
        <v>533.4</v>
      </c>
    </row>
    <row r="266" spans="1:67" x14ac:dyDescent="0.25">
      <c r="A266" t="s">
        <v>553</v>
      </c>
      <c r="B266" t="s">
        <v>263</v>
      </c>
      <c r="C266" t="s">
        <v>155</v>
      </c>
      <c r="D266" t="s">
        <v>51</v>
      </c>
      <c r="E266">
        <v>29</v>
      </c>
      <c r="F266" t="s">
        <v>248</v>
      </c>
      <c r="G266" t="s">
        <v>142</v>
      </c>
      <c r="H266" t="s">
        <v>143</v>
      </c>
      <c r="I266" t="s">
        <v>273</v>
      </c>
      <c r="J266" t="s">
        <v>274</v>
      </c>
      <c r="K266" t="s">
        <v>57</v>
      </c>
      <c r="L266" t="s">
        <v>58</v>
      </c>
      <c r="M266" t="s">
        <v>207</v>
      </c>
      <c r="N266" t="s">
        <v>265</v>
      </c>
      <c r="O266" t="s">
        <v>149</v>
      </c>
      <c r="P266" s="1">
        <v>41136</v>
      </c>
      <c r="Q266">
        <v>11.8</v>
      </c>
      <c r="R266" t="s">
        <v>195</v>
      </c>
      <c r="S266" t="s">
        <v>196</v>
      </c>
      <c r="T266" t="s">
        <v>197</v>
      </c>
      <c r="U266">
        <v>0</v>
      </c>
      <c r="V266">
        <v>0</v>
      </c>
      <c r="W266" s="2">
        <v>5473</v>
      </c>
      <c r="X266" s="2">
        <v>0</v>
      </c>
      <c r="Y266" s="2">
        <v>422</v>
      </c>
      <c r="Z266" s="2">
        <v>5895</v>
      </c>
      <c r="AA266">
        <v>424</v>
      </c>
      <c r="AB266" t="s">
        <v>65</v>
      </c>
      <c r="AC266">
        <v>14</v>
      </c>
      <c r="AD266">
        <v>21</v>
      </c>
      <c r="AE266">
        <v>41</v>
      </c>
      <c r="AF266" t="s">
        <v>66</v>
      </c>
      <c r="AG266">
        <v>16</v>
      </c>
      <c r="AH266" t="s">
        <v>113</v>
      </c>
      <c r="AI266" t="s">
        <v>114</v>
      </c>
      <c r="AJ266" t="s">
        <v>188</v>
      </c>
      <c r="AK266" t="s">
        <v>70</v>
      </c>
      <c r="AL266" t="s">
        <v>70</v>
      </c>
      <c r="AM266" t="s">
        <v>70</v>
      </c>
      <c r="AN266" t="s">
        <v>270</v>
      </c>
      <c r="AO266" t="s">
        <v>72</v>
      </c>
      <c r="AP266" t="s">
        <v>72</v>
      </c>
      <c r="AQ266" t="s">
        <v>136</v>
      </c>
      <c r="AR266" s="1">
        <v>41879</v>
      </c>
      <c r="AS266" t="s">
        <v>198</v>
      </c>
      <c r="AT266" t="s">
        <v>71</v>
      </c>
      <c r="AU266">
        <v>91</v>
      </c>
      <c r="AV266" t="s">
        <v>179</v>
      </c>
      <c r="AW266" s="3">
        <v>70740</v>
      </c>
      <c r="AX266" t="s">
        <v>805</v>
      </c>
      <c r="AY266" t="s">
        <v>804</v>
      </c>
      <c r="AZ266" t="s">
        <v>815</v>
      </c>
      <c r="BA266" t="s">
        <v>800</v>
      </c>
      <c r="BB266" t="s">
        <v>801</v>
      </c>
      <c r="BC266" t="s">
        <v>802</v>
      </c>
      <c r="BD266" s="3">
        <v>7.19253604749788E-2</v>
      </c>
      <c r="BE266">
        <v>456.4</v>
      </c>
      <c r="BG266" s="2">
        <f t="shared" si="19"/>
        <v>70740</v>
      </c>
      <c r="BH266" t="str" cm="1">
        <f t="array" ref="BH266">_xlfn.IFS(Q266&lt;5,"0-5 Years",Q266&lt;10,"5-10 Years",Q266&lt;15,"10-15 Years",TRUE,"15+ Years")</f>
        <v>10-15 Years</v>
      </c>
      <c r="BI266" t="str" cm="1">
        <f t="array" ref="BI266">_xlfn.IFS(AA266&gt;=540,"A",AA266&gt;=480,"B",AA266&gt;=420,"C",AA266&gt;=360,"D",TRUE,"F")</f>
        <v>C</v>
      </c>
      <c r="BJ266" t="str" cm="1">
        <f t="array" ref="BJ266">_xlfn.IFS(AU266&lt;0,"Separated",AU266&lt;=90,"High Risk",AU266&lt;=180,"Medium Risk",TRUE,"Retained")</f>
        <v>Medium Risk</v>
      </c>
      <c r="BK266" t="str" cm="1">
        <f t="array" ref="BK266">_xlfn.IFS(V266=0,"No Combat",V266=1,"1 Tour",V266=2,"2 Tours",TRUE,"3+ Tours")</f>
        <v>No Combat</v>
      </c>
      <c r="BL266" t="str">
        <f t="shared" si="20"/>
        <v>Standard</v>
      </c>
      <c r="BM266" t="str">
        <f t="shared" si="21"/>
        <v>Not Ready</v>
      </c>
      <c r="BN266" s="3">
        <f t="shared" si="22"/>
        <v>7.19253604749788E-2</v>
      </c>
      <c r="BO266">
        <f t="shared" si="23"/>
        <v>456.4</v>
      </c>
    </row>
    <row r="267" spans="1:67" x14ac:dyDescent="0.25">
      <c r="A267" t="s">
        <v>554</v>
      </c>
      <c r="B267" t="s">
        <v>263</v>
      </c>
      <c r="C267" t="s">
        <v>155</v>
      </c>
      <c r="D267" t="s">
        <v>51</v>
      </c>
      <c r="E267">
        <v>43</v>
      </c>
      <c r="F267" t="s">
        <v>141</v>
      </c>
      <c r="G267" t="s">
        <v>156</v>
      </c>
      <c r="H267" t="s">
        <v>157</v>
      </c>
      <c r="I267" t="s">
        <v>260</v>
      </c>
      <c r="J267" t="s">
        <v>261</v>
      </c>
      <c r="K267" t="s">
        <v>173</v>
      </c>
      <c r="L267" t="s">
        <v>86</v>
      </c>
      <c r="M267" t="s">
        <v>161</v>
      </c>
      <c r="N267" t="s">
        <v>148</v>
      </c>
      <c r="O267" t="s">
        <v>109</v>
      </c>
      <c r="P267" s="1">
        <v>43564</v>
      </c>
      <c r="Q267">
        <v>5.0999999999999996</v>
      </c>
      <c r="R267" t="s">
        <v>90</v>
      </c>
      <c r="S267" t="s">
        <v>130</v>
      </c>
      <c r="T267" t="s">
        <v>131</v>
      </c>
      <c r="U267">
        <v>1</v>
      </c>
      <c r="V267">
        <v>0</v>
      </c>
      <c r="W267" s="2">
        <v>4836</v>
      </c>
      <c r="X267" s="2">
        <v>0</v>
      </c>
      <c r="Y267" s="2">
        <v>266</v>
      </c>
      <c r="Z267" s="2">
        <v>5102</v>
      </c>
      <c r="AA267">
        <v>366</v>
      </c>
      <c r="AB267" t="s">
        <v>65</v>
      </c>
      <c r="AC267">
        <v>19.8</v>
      </c>
      <c r="AD267">
        <v>38</v>
      </c>
      <c r="AE267">
        <v>80</v>
      </c>
      <c r="AF267" t="s">
        <v>112</v>
      </c>
      <c r="AG267">
        <v>23</v>
      </c>
      <c r="AH267" t="s">
        <v>113</v>
      </c>
      <c r="AI267" t="s">
        <v>152</v>
      </c>
      <c r="AJ267" t="s">
        <v>69</v>
      </c>
      <c r="AK267" t="s">
        <v>70</v>
      </c>
      <c r="AL267" t="s">
        <v>70</v>
      </c>
      <c r="AM267" t="s">
        <v>71</v>
      </c>
      <c r="AN267" t="s">
        <v>72</v>
      </c>
      <c r="AO267" t="s">
        <v>135</v>
      </c>
      <c r="AP267" t="s">
        <v>134</v>
      </c>
      <c r="AQ267" t="s">
        <v>98</v>
      </c>
      <c r="AR267" s="1">
        <v>45055</v>
      </c>
      <c r="AS267" t="s">
        <v>137</v>
      </c>
      <c r="AT267" t="s">
        <v>71</v>
      </c>
      <c r="AU267">
        <v>1585</v>
      </c>
      <c r="AV267" t="s">
        <v>76</v>
      </c>
      <c r="AW267" s="3">
        <v>61224</v>
      </c>
      <c r="AX267" t="s">
        <v>808</v>
      </c>
      <c r="AY267" t="s">
        <v>809</v>
      </c>
      <c r="AZ267" t="s">
        <v>76</v>
      </c>
      <c r="BA267" t="s">
        <v>800</v>
      </c>
      <c r="BB267" t="s">
        <v>801</v>
      </c>
      <c r="BC267" t="s">
        <v>802</v>
      </c>
      <c r="BD267" s="3">
        <v>7.1736573892591138E-2</v>
      </c>
      <c r="BE267">
        <v>432.4</v>
      </c>
      <c r="BG267" s="2">
        <f t="shared" si="19"/>
        <v>61224</v>
      </c>
      <c r="BH267" t="str" cm="1">
        <f t="array" ref="BH267">_xlfn.IFS(Q267&lt;5,"0-5 Years",Q267&lt;10,"5-10 Years",Q267&lt;15,"10-15 Years",TRUE,"15+ Years")</f>
        <v>5-10 Years</v>
      </c>
      <c r="BI267" t="str" cm="1">
        <f t="array" ref="BI267">_xlfn.IFS(AA267&gt;=540,"A",AA267&gt;=480,"B",AA267&gt;=420,"C",AA267&gt;=360,"D",TRUE,"F")</f>
        <v>D</v>
      </c>
      <c r="BJ267" t="str" cm="1">
        <f t="array" ref="BJ267">_xlfn.IFS(AU267&lt;0,"Separated",AU267&lt;=90,"High Risk",AU267&lt;=180,"Medium Risk",TRUE,"Retained")</f>
        <v>Retained</v>
      </c>
      <c r="BK267" t="str" cm="1">
        <f t="array" ref="BK267">_xlfn.IFS(V267=0,"No Combat",V267=1,"1 Tour",V267=2,"2 Tours",TRUE,"3+ Tours")</f>
        <v>No Combat</v>
      </c>
      <c r="BL267" t="str">
        <f t="shared" si="20"/>
        <v>Standard</v>
      </c>
      <c r="BM267" t="str">
        <f t="shared" si="21"/>
        <v>Not Ready</v>
      </c>
      <c r="BN267" s="3">
        <f t="shared" si="22"/>
        <v>7.1736573892591138E-2</v>
      </c>
      <c r="BO267">
        <f t="shared" si="23"/>
        <v>432.4</v>
      </c>
    </row>
    <row r="268" spans="1:67" x14ac:dyDescent="0.25">
      <c r="A268" t="s">
        <v>555</v>
      </c>
      <c r="B268" t="s">
        <v>190</v>
      </c>
      <c r="C268" t="s">
        <v>167</v>
      </c>
      <c r="D268" t="s">
        <v>51</v>
      </c>
      <c r="E268">
        <v>36</v>
      </c>
      <c r="F268" t="s">
        <v>123</v>
      </c>
      <c r="G268" t="s">
        <v>279</v>
      </c>
      <c r="H268" t="s">
        <v>280</v>
      </c>
      <c r="I268" t="s">
        <v>273</v>
      </c>
      <c r="J268" t="s">
        <v>274</v>
      </c>
      <c r="K268" t="s">
        <v>57</v>
      </c>
      <c r="L268" t="s">
        <v>86</v>
      </c>
      <c r="M268" t="s">
        <v>59</v>
      </c>
      <c r="N268" t="s">
        <v>88</v>
      </c>
      <c r="O268" t="s">
        <v>61</v>
      </c>
      <c r="P268" s="1">
        <v>44042</v>
      </c>
      <c r="Q268">
        <v>3.8</v>
      </c>
      <c r="R268" t="s">
        <v>75</v>
      </c>
      <c r="S268" t="s">
        <v>91</v>
      </c>
      <c r="T268" t="s">
        <v>92</v>
      </c>
      <c r="U268">
        <v>15</v>
      </c>
      <c r="V268">
        <v>2</v>
      </c>
      <c r="W268" s="2">
        <v>6618</v>
      </c>
      <c r="X268" s="2">
        <v>1770</v>
      </c>
      <c r="Y268" s="2">
        <v>266</v>
      </c>
      <c r="Z268" s="2">
        <v>8654</v>
      </c>
      <c r="AA268">
        <v>588</v>
      </c>
      <c r="AB268" t="s">
        <v>65</v>
      </c>
      <c r="AC268">
        <v>17.399999999999999</v>
      </c>
      <c r="AD268">
        <v>60</v>
      </c>
      <c r="AE268">
        <v>80</v>
      </c>
      <c r="AF268" t="s">
        <v>66</v>
      </c>
      <c r="AG268">
        <v>22</v>
      </c>
      <c r="AH268" t="s">
        <v>113</v>
      </c>
      <c r="AI268" t="s">
        <v>68</v>
      </c>
      <c r="AJ268" t="s">
        <v>188</v>
      </c>
      <c r="AK268" t="s">
        <v>70</v>
      </c>
      <c r="AL268" t="s">
        <v>70</v>
      </c>
      <c r="AM268" t="s">
        <v>70</v>
      </c>
      <c r="AN268" t="s">
        <v>202</v>
      </c>
      <c r="AO268" t="s">
        <v>73</v>
      </c>
      <c r="AP268" t="s">
        <v>287</v>
      </c>
      <c r="AQ268" t="s">
        <v>98</v>
      </c>
      <c r="AR268" s="1">
        <v>45370</v>
      </c>
      <c r="AS268" t="s">
        <v>75</v>
      </c>
      <c r="AT268" t="s">
        <v>71</v>
      </c>
      <c r="AU268">
        <v>-156</v>
      </c>
      <c r="AV268" t="s">
        <v>179</v>
      </c>
      <c r="AW268" s="3">
        <v>103848</v>
      </c>
      <c r="AX268" t="s">
        <v>803</v>
      </c>
      <c r="AY268" t="s">
        <v>799</v>
      </c>
      <c r="AZ268" t="s">
        <v>810</v>
      </c>
      <c r="BA268" t="s">
        <v>811</v>
      </c>
      <c r="BB268" t="s">
        <v>801</v>
      </c>
      <c r="BC268" t="s">
        <v>802</v>
      </c>
      <c r="BD268" s="3">
        <v>6.7945458747400045E-2</v>
      </c>
      <c r="BE268">
        <v>632.4</v>
      </c>
      <c r="BG268" s="2">
        <f t="shared" si="19"/>
        <v>103848</v>
      </c>
      <c r="BH268" t="str" cm="1">
        <f t="array" ref="BH268">_xlfn.IFS(Q268&lt;5,"0-5 Years",Q268&lt;10,"5-10 Years",Q268&lt;15,"10-15 Years",TRUE,"15+ Years")</f>
        <v>0-5 Years</v>
      </c>
      <c r="BI268" t="str" cm="1">
        <f t="array" ref="BI268">_xlfn.IFS(AA268&gt;=540,"A",AA268&gt;=480,"B",AA268&gt;=420,"C",AA268&gt;=360,"D",TRUE,"F")</f>
        <v>A</v>
      </c>
      <c r="BJ268" t="str" cm="1">
        <f t="array" ref="BJ268">_xlfn.IFS(AU268&lt;0,"Separated",AU268&lt;=90,"High Risk",AU268&lt;=180,"Medium Risk",TRUE,"Retained")</f>
        <v>Separated</v>
      </c>
      <c r="BK268" t="str" cm="1">
        <f t="array" ref="BK268">_xlfn.IFS(V268=0,"No Combat",V268=1,"1 Tour",V268=2,"2 Tours",TRUE,"3+ Tours")</f>
        <v>2 Tours</v>
      </c>
      <c r="BL268" t="str">
        <f t="shared" si="20"/>
        <v>Standard</v>
      </c>
      <c r="BM268" t="str">
        <f t="shared" si="21"/>
        <v>Not Ready</v>
      </c>
      <c r="BN268" s="3">
        <f t="shared" si="22"/>
        <v>6.7945458747400045E-2</v>
      </c>
      <c r="BO268">
        <f t="shared" si="23"/>
        <v>632.4</v>
      </c>
    </row>
    <row r="269" spans="1:67" x14ac:dyDescent="0.25">
      <c r="A269" t="s">
        <v>556</v>
      </c>
      <c r="B269" t="s">
        <v>190</v>
      </c>
      <c r="C269" t="s">
        <v>200</v>
      </c>
      <c r="D269" t="s">
        <v>51</v>
      </c>
      <c r="E269">
        <v>44</v>
      </c>
      <c r="F269" t="s">
        <v>283</v>
      </c>
      <c r="G269" t="s">
        <v>301</v>
      </c>
      <c r="H269" t="s">
        <v>302</v>
      </c>
      <c r="I269" t="s">
        <v>55</v>
      </c>
      <c r="J269" t="s">
        <v>56</v>
      </c>
      <c r="K269" t="s">
        <v>57</v>
      </c>
      <c r="L269" t="s">
        <v>201</v>
      </c>
      <c r="M269" t="s">
        <v>296</v>
      </c>
      <c r="N269" t="s">
        <v>162</v>
      </c>
      <c r="O269" t="s">
        <v>61</v>
      </c>
      <c r="P269" s="1">
        <v>43441</v>
      </c>
      <c r="Q269">
        <v>5.5</v>
      </c>
      <c r="R269" t="s">
        <v>195</v>
      </c>
      <c r="S269" t="s">
        <v>110</v>
      </c>
      <c r="T269" t="s">
        <v>111</v>
      </c>
      <c r="U269">
        <v>13</v>
      </c>
      <c r="V269">
        <v>2</v>
      </c>
      <c r="W269" s="2">
        <v>4188</v>
      </c>
      <c r="X269" s="2">
        <v>1723</v>
      </c>
      <c r="Y269" s="2">
        <v>266</v>
      </c>
      <c r="Z269" s="2">
        <v>6177</v>
      </c>
      <c r="AA269">
        <v>452</v>
      </c>
      <c r="AB269" t="s">
        <v>65</v>
      </c>
      <c r="AC269">
        <v>16.2</v>
      </c>
      <c r="AD269">
        <v>43</v>
      </c>
      <c r="AE269">
        <v>61</v>
      </c>
      <c r="AF269" t="s">
        <v>112</v>
      </c>
      <c r="AG269">
        <v>28</v>
      </c>
      <c r="AH269" t="s">
        <v>113</v>
      </c>
      <c r="AI269" t="s">
        <v>152</v>
      </c>
      <c r="AJ269" t="s">
        <v>72</v>
      </c>
      <c r="AK269" t="s">
        <v>70</v>
      </c>
      <c r="AL269" t="s">
        <v>71</v>
      </c>
      <c r="AM269" t="s">
        <v>70</v>
      </c>
      <c r="AN269" t="s">
        <v>202</v>
      </c>
      <c r="AO269" t="s">
        <v>135</v>
      </c>
      <c r="AP269" t="s">
        <v>72</v>
      </c>
      <c r="AQ269" t="s">
        <v>98</v>
      </c>
      <c r="AR269" s="1">
        <v>43504</v>
      </c>
      <c r="AS269" t="s">
        <v>137</v>
      </c>
      <c r="AT269" t="s">
        <v>71</v>
      </c>
      <c r="AU269">
        <v>-15</v>
      </c>
      <c r="AV269" t="s">
        <v>179</v>
      </c>
      <c r="AW269" s="3">
        <v>74124</v>
      </c>
      <c r="AX269" t="s">
        <v>808</v>
      </c>
      <c r="AY269" t="s">
        <v>804</v>
      </c>
      <c r="AZ269" t="s">
        <v>810</v>
      </c>
      <c r="BA269" t="s">
        <v>811</v>
      </c>
      <c r="BB269" t="s">
        <v>801</v>
      </c>
      <c r="BC269" t="s">
        <v>802</v>
      </c>
      <c r="BD269" s="3">
        <v>7.3174680265501058E-2</v>
      </c>
      <c r="BE269">
        <v>518.4</v>
      </c>
      <c r="BG269" s="2">
        <f t="shared" si="19"/>
        <v>74124</v>
      </c>
      <c r="BH269" t="str" cm="1">
        <f t="array" ref="BH269">_xlfn.IFS(Q269&lt;5,"0-5 Years",Q269&lt;10,"5-10 Years",Q269&lt;15,"10-15 Years",TRUE,"15+ Years")</f>
        <v>5-10 Years</v>
      </c>
      <c r="BI269" t="str" cm="1">
        <f t="array" ref="BI269">_xlfn.IFS(AA269&gt;=540,"A",AA269&gt;=480,"B",AA269&gt;=420,"C",AA269&gt;=360,"D",TRUE,"F")</f>
        <v>C</v>
      </c>
      <c r="BJ269" t="str" cm="1">
        <f t="array" ref="BJ269">_xlfn.IFS(AU269&lt;0,"Separated",AU269&lt;=90,"High Risk",AU269&lt;=180,"Medium Risk",TRUE,"Retained")</f>
        <v>Separated</v>
      </c>
      <c r="BK269" t="str" cm="1">
        <f t="array" ref="BK269">_xlfn.IFS(V269=0,"No Combat",V269=1,"1 Tour",V269=2,"2 Tours",TRUE,"3+ Tours")</f>
        <v>2 Tours</v>
      </c>
      <c r="BL269" t="str">
        <f t="shared" si="20"/>
        <v>Standard</v>
      </c>
      <c r="BM269" t="str">
        <f t="shared" si="21"/>
        <v>Not Ready</v>
      </c>
      <c r="BN269" s="3">
        <f t="shared" si="22"/>
        <v>7.3174680265501058E-2</v>
      </c>
      <c r="BO269">
        <f t="shared" si="23"/>
        <v>518.4</v>
      </c>
    </row>
    <row r="270" spans="1:67" x14ac:dyDescent="0.25">
      <c r="A270" t="s">
        <v>557</v>
      </c>
      <c r="B270" t="s">
        <v>205</v>
      </c>
      <c r="C270" t="s">
        <v>332</v>
      </c>
      <c r="D270" t="s">
        <v>51</v>
      </c>
      <c r="E270">
        <v>33</v>
      </c>
      <c r="F270" t="s">
        <v>283</v>
      </c>
      <c r="G270" t="s">
        <v>169</v>
      </c>
      <c r="H270" t="s">
        <v>170</v>
      </c>
      <c r="I270" t="s">
        <v>83</v>
      </c>
      <c r="J270" t="s">
        <v>84</v>
      </c>
      <c r="K270" t="s">
        <v>85</v>
      </c>
      <c r="L270" t="s">
        <v>58</v>
      </c>
      <c r="M270" t="s">
        <v>175</v>
      </c>
      <c r="N270" t="s">
        <v>88</v>
      </c>
      <c r="O270" t="s">
        <v>176</v>
      </c>
      <c r="P270" s="1">
        <v>40832</v>
      </c>
      <c r="Q270">
        <v>12.6</v>
      </c>
      <c r="R270" t="s">
        <v>90</v>
      </c>
      <c r="S270" t="s">
        <v>219</v>
      </c>
      <c r="T270" t="s">
        <v>220</v>
      </c>
      <c r="U270">
        <v>0</v>
      </c>
      <c r="V270">
        <v>0</v>
      </c>
      <c r="W270" s="2">
        <v>3294</v>
      </c>
      <c r="X270" s="2">
        <v>2199</v>
      </c>
      <c r="Y270" s="2">
        <v>422</v>
      </c>
      <c r="Z270" s="2">
        <v>5915</v>
      </c>
      <c r="AA270">
        <v>568</v>
      </c>
      <c r="AB270" t="s">
        <v>65</v>
      </c>
      <c r="AC270">
        <v>14.1</v>
      </c>
      <c r="AD270">
        <v>58</v>
      </c>
      <c r="AE270">
        <v>38</v>
      </c>
      <c r="AF270" t="s">
        <v>112</v>
      </c>
      <c r="AG270">
        <v>16</v>
      </c>
      <c r="AH270" t="s">
        <v>113</v>
      </c>
      <c r="AI270" t="s">
        <v>114</v>
      </c>
      <c r="AJ270" t="s">
        <v>69</v>
      </c>
      <c r="AK270" t="s">
        <v>70</v>
      </c>
      <c r="AL270" t="s">
        <v>70</v>
      </c>
      <c r="AM270" t="s">
        <v>71</v>
      </c>
      <c r="AN270" t="s">
        <v>72</v>
      </c>
      <c r="AO270" t="s">
        <v>72</v>
      </c>
      <c r="AP270" t="s">
        <v>72</v>
      </c>
      <c r="AQ270" t="s">
        <v>117</v>
      </c>
      <c r="AR270" s="1">
        <v>42263</v>
      </c>
      <c r="AS270" t="s">
        <v>198</v>
      </c>
      <c r="AT270" t="s">
        <v>71</v>
      </c>
      <c r="AU270">
        <v>1443</v>
      </c>
      <c r="AV270" t="s">
        <v>76</v>
      </c>
      <c r="AW270" s="3">
        <v>70980</v>
      </c>
      <c r="AX270" t="s">
        <v>805</v>
      </c>
      <c r="AY270" t="s">
        <v>799</v>
      </c>
      <c r="AZ270" t="s">
        <v>76</v>
      </c>
      <c r="BA270" t="s">
        <v>800</v>
      </c>
      <c r="BB270" t="s">
        <v>801</v>
      </c>
      <c r="BC270" t="s">
        <v>802</v>
      </c>
      <c r="BD270" s="3">
        <v>9.6027049873203721E-2</v>
      </c>
      <c r="BE270">
        <v>620.4</v>
      </c>
      <c r="BG270" s="2">
        <f t="shared" si="19"/>
        <v>70980</v>
      </c>
      <c r="BH270" t="str" cm="1">
        <f t="array" ref="BH270">_xlfn.IFS(Q270&lt;5,"0-5 Years",Q270&lt;10,"5-10 Years",Q270&lt;15,"10-15 Years",TRUE,"15+ Years")</f>
        <v>10-15 Years</v>
      </c>
      <c r="BI270" t="str" cm="1">
        <f t="array" ref="BI270">_xlfn.IFS(AA270&gt;=540,"A",AA270&gt;=480,"B",AA270&gt;=420,"C",AA270&gt;=360,"D",TRUE,"F")</f>
        <v>A</v>
      </c>
      <c r="BJ270" t="str" cm="1">
        <f t="array" ref="BJ270">_xlfn.IFS(AU270&lt;0,"Separated",AU270&lt;=90,"High Risk",AU270&lt;=180,"Medium Risk",TRUE,"Retained")</f>
        <v>Retained</v>
      </c>
      <c r="BK270" t="str" cm="1">
        <f t="array" ref="BK270">_xlfn.IFS(V270=0,"No Combat",V270=1,"1 Tour",V270=2,"2 Tours",TRUE,"3+ Tours")</f>
        <v>No Combat</v>
      </c>
      <c r="BL270" t="str">
        <f t="shared" si="20"/>
        <v>Standard</v>
      </c>
      <c r="BM270" t="str">
        <f t="shared" si="21"/>
        <v>Not Ready</v>
      </c>
      <c r="BN270" s="3">
        <f t="shared" si="22"/>
        <v>9.6027049873203721E-2</v>
      </c>
      <c r="BO270">
        <f t="shared" si="23"/>
        <v>620.4</v>
      </c>
    </row>
    <row r="271" spans="1:67" x14ac:dyDescent="0.25">
      <c r="A271" t="s">
        <v>558</v>
      </c>
      <c r="B271" t="s">
        <v>229</v>
      </c>
      <c r="C271" t="s">
        <v>200</v>
      </c>
      <c r="D271" t="s">
        <v>51</v>
      </c>
      <c r="E271">
        <v>31</v>
      </c>
      <c r="F271" t="s">
        <v>291</v>
      </c>
      <c r="G271" t="s">
        <v>215</v>
      </c>
      <c r="H271" t="s">
        <v>216</v>
      </c>
      <c r="I271" t="s">
        <v>292</v>
      </c>
      <c r="J271" t="s">
        <v>293</v>
      </c>
      <c r="K271" t="s">
        <v>294</v>
      </c>
      <c r="L271" t="s">
        <v>174</v>
      </c>
      <c r="M271" t="s">
        <v>161</v>
      </c>
      <c r="N271" t="s">
        <v>128</v>
      </c>
      <c r="O271" t="s">
        <v>149</v>
      </c>
      <c r="P271" s="1">
        <v>41865</v>
      </c>
      <c r="Q271">
        <v>9.8000000000000007</v>
      </c>
      <c r="R271" t="s">
        <v>75</v>
      </c>
      <c r="S271" t="s">
        <v>196</v>
      </c>
      <c r="T271" t="s">
        <v>197</v>
      </c>
      <c r="U271">
        <v>0</v>
      </c>
      <c r="V271">
        <v>0</v>
      </c>
      <c r="W271" s="2">
        <v>3637</v>
      </c>
      <c r="X271" s="2">
        <v>0</v>
      </c>
      <c r="Y271" s="2">
        <v>266</v>
      </c>
      <c r="Z271" s="2">
        <v>3903</v>
      </c>
      <c r="AA271">
        <v>305</v>
      </c>
      <c r="AB271" t="s">
        <v>151</v>
      </c>
      <c r="AC271">
        <v>16.2</v>
      </c>
      <c r="AD271">
        <v>74</v>
      </c>
      <c r="AE271">
        <v>65</v>
      </c>
      <c r="AF271" t="s">
        <v>112</v>
      </c>
      <c r="AG271">
        <v>20</v>
      </c>
      <c r="AH271" t="s">
        <v>113</v>
      </c>
      <c r="AI271" t="s">
        <v>152</v>
      </c>
      <c r="AJ271" t="s">
        <v>96</v>
      </c>
      <c r="AK271" t="s">
        <v>70</v>
      </c>
      <c r="AL271" t="s">
        <v>71</v>
      </c>
      <c r="AM271" t="s">
        <v>70</v>
      </c>
      <c r="AN271" t="s">
        <v>72</v>
      </c>
      <c r="AO271" t="s">
        <v>116</v>
      </c>
      <c r="AP271" t="s">
        <v>134</v>
      </c>
      <c r="AQ271" t="s">
        <v>136</v>
      </c>
      <c r="AR271" s="1">
        <v>41735</v>
      </c>
      <c r="AS271" t="s">
        <v>75</v>
      </c>
      <c r="AT271" t="s">
        <v>71</v>
      </c>
      <c r="AU271">
        <v>-369</v>
      </c>
      <c r="AV271" t="s">
        <v>179</v>
      </c>
      <c r="AW271" s="3">
        <v>46836</v>
      </c>
      <c r="AX271" t="s">
        <v>808</v>
      </c>
      <c r="AY271" t="s">
        <v>122</v>
      </c>
      <c r="AZ271" t="s">
        <v>810</v>
      </c>
      <c r="BA271" t="s">
        <v>800</v>
      </c>
      <c r="BB271" t="s">
        <v>801</v>
      </c>
      <c r="BC271" t="s">
        <v>802</v>
      </c>
      <c r="BD271" s="3">
        <v>7.8145016653856009E-2</v>
      </c>
      <c r="BE271">
        <v>355.4</v>
      </c>
      <c r="BG271" s="2">
        <f t="shared" si="19"/>
        <v>46836</v>
      </c>
      <c r="BH271" t="str" cm="1">
        <f t="array" ref="BH271">_xlfn.IFS(Q271&lt;5,"0-5 Years",Q271&lt;10,"5-10 Years",Q271&lt;15,"10-15 Years",TRUE,"15+ Years")</f>
        <v>5-10 Years</v>
      </c>
      <c r="BI271" t="str" cm="1">
        <f t="array" ref="BI271">_xlfn.IFS(AA271&gt;=540,"A",AA271&gt;=480,"B",AA271&gt;=420,"C",AA271&gt;=360,"D",TRUE,"F")</f>
        <v>F</v>
      </c>
      <c r="BJ271" t="str" cm="1">
        <f t="array" ref="BJ271">_xlfn.IFS(AU271&lt;0,"Separated",AU271&lt;=90,"High Risk",AU271&lt;=180,"Medium Risk",TRUE,"Retained")</f>
        <v>Separated</v>
      </c>
      <c r="BK271" t="str" cm="1">
        <f t="array" ref="BK271">_xlfn.IFS(V271=0,"No Combat",V271=1,"1 Tour",V271=2,"2 Tours",TRUE,"3+ Tours")</f>
        <v>No Combat</v>
      </c>
      <c r="BL271" t="str">
        <f t="shared" si="20"/>
        <v>Standard</v>
      </c>
      <c r="BM271" t="str">
        <f t="shared" si="21"/>
        <v>Not Ready</v>
      </c>
      <c r="BN271" s="3">
        <f t="shared" si="22"/>
        <v>7.8145016653856009E-2</v>
      </c>
      <c r="BO271">
        <f t="shared" si="23"/>
        <v>355.4</v>
      </c>
    </row>
    <row r="272" spans="1:67" x14ac:dyDescent="0.25">
      <c r="A272" t="s">
        <v>559</v>
      </c>
      <c r="B272" t="s">
        <v>267</v>
      </c>
      <c r="C272" t="s">
        <v>233</v>
      </c>
      <c r="D272" t="s">
        <v>51</v>
      </c>
      <c r="E272">
        <v>20</v>
      </c>
      <c r="F272" t="s">
        <v>291</v>
      </c>
      <c r="G272" t="s">
        <v>156</v>
      </c>
      <c r="H272" t="s">
        <v>157</v>
      </c>
      <c r="I272" t="s">
        <v>253</v>
      </c>
      <c r="J272" t="s">
        <v>254</v>
      </c>
      <c r="K272" t="s">
        <v>255</v>
      </c>
      <c r="L272" t="s">
        <v>58</v>
      </c>
      <c r="M272" t="s">
        <v>212</v>
      </c>
      <c r="N272" t="s">
        <v>60</v>
      </c>
      <c r="O272" t="s">
        <v>61</v>
      </c>
      <c r="P272" s="1">
        <v>41518</v>
      </c>
      <c r="Q272">
        <v>10.7</v>
      </c>
      <c r="R272" t="s">
        <v>90</v>
      </c>
      <c r="S272" t="s">
        <v>130</v>
      </c>
      <c r="T272" t="s">
        <v>131</v>
      </c>
      <c r="U272">
        <v>15</v>
      </c>
      <c r="V272">
        <v>2</v>
      </c>
      <c r="W272" s="2">
        <v>4836</v>
      </c>
      <c r="X272" s="2">
        <v>1022</v>
      </c>
      <c r="Y272" s="2">
        <v>266</v>
      </c>
      <c r="Z272" s="2">
        <v>6124</v>
      </c>
      <c r="AA272">
        <v>445</v>
      </c>
      <c r="AB272" t="s">
        <v>65</v>
      </c>
      <c r="AC272">
        <v>17.3</v>
      </c>
      <c r="AD272">
        <v>48</v>
      </c>
      <c r="AE272">
        <v>70</v>
      </c>
      <c r="AF272" t="s">
        <v>66</v>
      </c>
      <c r="AG272">
        <v>21</v>
      </c>
      <c r="AH272" t="s">
        <v>113</v>
      </c>
      <c r="AI272" t="s">
        <v>68</v>
      </c>
      <c r="AJ272" t="s">
        <v>69</v>
      </c>
      <c r="AK272" t="s">
        <v>71</v>
      </c>
      <c r="AL272" t="s">
        <v>71</v>
      </c>
      <c r="AM272" t="s">
        <v>70</v>
      </c>
      <c r="AN272" t="s">
        <v>72</v>
      </c>
      <c r="AO272" t="s">
        <v>97</v>
      </c>
      <c r="AP272" t="s">
        <v>178</v>
      </c>
      <c r="AQ272" t="s">
        <v>136</v>
      </c>
      <c r="AR272" s="1">
        <v>45570</v>
      </c>
      <c r="AS272" t="s">
        <v>118</v>
      </c>
      <c r="AT272" t="s">
        <v>71</v>
      </c>
      <c r="AU272">
        <v>-214</v>
      </c>
      <c r="AV272" t="s">
        <v>179</v>
      </c>
      <c r="AW272" s="3">
        <v>73488</v>
      </c>
      <c r="AX272" t="s">
        <v>805</v>
      </c>
      <c r="AY272" t="s">
        <v>804</v>
      </c>
      <c r="AZ272" t="s">
        <v>810</v>
      </c>
      <c r="BA272" t="s">
        <v>811</v>
      </c>
      <c r="BB272" t="s">
        <v>801</v>
      </c>
      <c r="BC272" t="s">
        <v>802</v>
      </c>
      <c r="BD272" s="3">
        <v>7.266492488569562E-2</v>
      </c>
      <c r="BE272">
        <v>507.4</v>
      </c>
      <c r="BG272" s="2">
        <f t="shared" si="19"/>
        <v>73488</v>
      </c>
      <c r="BH272" t="str" cm="1">
        <f t="array" ref="BH272">_xlfn.IFS(Q272&lt;5,"0-5 Years",Q272&lt;10,"5-10 Years",Q272&lt;15,"10-15 Years",TRUE,"15+ Years")</f>
        <v>10-15 Years</v>
      </c>
      <c r="BI272" t="str" cm="1">
        <f t="array" ref="BI272">_xlfn.IFS(AA272&gt;=540,"A",AA272&gt;=480,"B",AA272&gt;=420,"C",AA272&gt;=360,"D",TRUE,"F")</f>
        <v>C</v>
      </c>
      <c r="BJ272" t="str" cm="1">
        <f t="array" ref="BJ272">_xlfn.IFS(AU272&lt;0,"Separated",AU272&lt;=90,"High Risk",AU272&lt;=180,"Medium Risk",TRUE,"Retained")</f>
        <v>Separated</v>
      </c>
      <c r="BK272" t="str" cm="1">
        <f t="array" ref="BK272">_xlfn.IFS(V272=0,"No Combat",V272=1,"1 Tour",V272=2,"2 Tours",TRUE,"3+ Tours")</f>
        <v>2 Tours</v>
      </c>
      <c r="BL272" t="str">
        <f t="shared" si="20"/>
        <v>Standard</v>
      </c>
      <c r="BM272" t="str">
        <f t="shared" si="21"/>
        <v>Not Ready</v>
      </c>
      <c r="BN272" s="3">
        <f t="shared" si="22"/>
        <v>7.266492488569562E-2</v>
      </c>
      <c r="BO272">
        <f t="shared" si="23"/>
        <v>507.4</v>
      </c>
    </row>
    <row r="273" spans="1:67" x14ac:dyDescent="0.25">
      <c r="A273" t="s">
        <v>560</v>
      </c>
      <c r="B273" t="s">
        <v>282</v>
      </c>
      <c r="C273" t="s">
        <v>501</v>
      </c>
      <c r="D273" t="s">
        <v>122</v>
      </c>
      <c r="E273">
        <v>26</v>
      </c>
      <c r="F273" t="s">
        <v>211</v>
      </c>
      <c r="G273" t="s">
        <v>234</v>
      </c>
      <c r="H273" t="s">
        <v>235</v>
      </c>
      <c r="I273" t="s">
        <v>273</v>
      </c>
      <c r="J273" t="s">
        <v>274</v>
      </c>
      <c r="K273" t="s">
        <v>57</v>
      </c>
      <c r="L273" t="s">
        <v>86</v>
      </c>
      <c r="M273" t="s">
        <v>212</v>
      </c>
      <c r="N273" t="s">
        <v>162</v>
      </c>
      <c r="O273" t="s">
        <v>149</v>
      </c>
      <c r="P273" s="1">
        <v>39260</v>
      </c>
      <c r="Q273">
        <v>16.899999999999999</v>
      </c>
      <c r="R273" t="s">
        <v>62</v>
      </c>
      <c r="S273" t="s">
        <v>130</v>
      </c>
      <c r="T273" t="s">
        <v>131</v>
      </c>
      <c r="U273">
        <v>13</v>
      </c>
      <c r="V273">
        <v>2</v>
      </c>
      <c r="W273" s="2">
        <v>1917</v>
      </c>
      <c r="X273" s="2">
        <v>0</v>
      </c>
      <c r="Y273" s="2">
        <v>422</v>
      </c>
      <c r="Z273" s="2">
        <v>2339</v>
      </c>
      <c r="AA273">
        <v>356</v>
      </c>
      <c r="AB273" t="s">
        <v>151</v>
      </c>
      <c r="AC273">
        <v>15.8</v>
      </c>
      <c r="AD273">
        <v>77</v>
      </c>
      <c r="AE273">
        <v>43</v>
      </c>
      <c r="AF273" t="s">
        <v>93</v>
      </c>
      <c r="AG273">
        <v>25</v>
      </c>
      <c r="AH273" t="s">
        <v>113</v>
      </c>
      <c r="AI273" t="s">
        <v>177</v>
      </c>
      <c r="AJ273" t="s">
        <v>96</v>
      </c>
      <c r="AK273" t="s">
        <v>70</v>
      </c>
      <c r="AL273" t="s">
        <v>70</v>
      </c>
      <c r="AM273" t="s">
        <v>70</v>
      </c>
      <c r="AN273" t="s">
        <v>231</v>
      </c>
      <c r="AO273" t="s">
        <v>227</v>
      </c>
      <c r="AP273" t="s">
        <v>72</v>
      </c>
      <c r="AQ273" t="s">
        <v>74</v>
      </c>
      <c r="AR273" s="1">
        <v>44037</v>
      </c>
      <c r="AS273" t="s">
        <v>118</v>
      </c>
      <c r="AT273" t="s">
        <v>71</v>
      </c>
      <c r="AU273">
        <v>511</v>
      </c>
      <c r="AV273" t="s">
        <v>76</v>
      </c>
      <c r="AW273" s="3">
        <v>28068</v>
      </c>
      <c r="AX273" t="s">
        <v>798</v>
      </c>
      <c r="AY273" t="s">
        <v>122</v>
      </c>
      <c r="AZ273" t="s">
        <v>76</v>
      </c>
      <c r="BA273" t="s">
        <v>811</v>
      </c>
      <c r="BB273" t="s">
        <v>801</v>
      </c>
      <c r="BC273" t="s">
        <v>802</v>
      </c>
      <c r="BD273" s="3">
        <v>0.15220179563916203</v>
      </c>
      <c r="BE273">
        <v>406.4</v>
      </c>
      <c r="BG273" s="2">
        <f t="shared" si="19"/>
        <v>28068</v>
      </c>
      <c r="BH273" t="str" cm="1">
        <f t="array" ref="BH273">_xlfn.IFS(Q273&lt;5,"0-5 Years",Q273&lt;10,"5-10 Years",Q273&lt;15,"10-15 Years",TRUE,"15+ Years")</f>
        <v>15+ Years</v>
      </c>
      <c r="BI273" t="str" cm="1">
        <f t="array" ref="BI273">_xlfn.IFS(AA273&gt;=540,"A",AA273&gt;=480,"B",AA273&gt;=420,"C",AA273&gt;=360,"D",TRUE,"F")</f>
        <v>F</v>
      </c>
      <c r="BJ273" t="str" cm="1">
        <f t="array" ref="BJ273">_xlfn.IFS(AU273&lt;0,"Separated",AU273&lt;=90,"High Risk",AU273&lt;=180,"Medium Risk",TRUE,"Retained")</f>
        <v>Retained</v>
      </c>
      <c r="BK273" t="str" cm="1">
        <f t="array" ref="BK273">_xlfn.IFS(V273=0,"No Combat",V273=1,"1 Tour",V273=2,"2 Tours",TRUE,"3+ Tours")</f>
        <v>2 Tours</v>
      </c>
      <c r="BL273" t="str">
        <f t="shared" si="20"/>
        <v>Standard</v>
      </c>
      <c r="BM273" t="str">
        <f t="shared" si="21"/>
        <v>Not Ready</v>
      </c>
      <c r="BN273" s="3">
        <f t="shared" si="22"/>
        <v>0.15220179563916203</v>
      </c>
      <c r="BO273">
        <f t="shared" si="23"/>
        <v>406.4</v>
      </c>
    </row>
    <row r="274" spans="1:67" x14ac:dyDescent="0.25">
      <c r="A274" t="s">
        <v>561</v>
      </c>
      <c r="B274" t="s">
        <v>229</v>
      </c>
      <c r="C274" t="s">
        <v>167</v>
      </c>
      <c r="D274" t="s">
        <v>51</v>
      </c>
      <c r="E274">
        <v>25</v>
      </c>
      <c r="F274" t="s">
        <v>123</v>
      </c>
      <c r="G274" t="s">
        <v>279</v>
      </c>
      <c r="H274" t="s">
        <v>280</v>
      </c>
      <c r="I274" t="s">
        <v>225</v>
      </c>
      <c r="J274" t="s">
        <v>226</v>
      </c>
      <c r="K274" t="s">
        <v>105</v>
      </c>
      <c r="L274" t="s">
        <v>174</v>
      </c>
      <c r="M274" t="s">
        <v>59</v>
      </c>
      <c r="N274" t="s">
        <v>60</v>
      </c>
      <c r="O274" t="s">
        <v>176</v>
      </c>
      <c r="P274" s="1">
        <v>43647</v>
      </c>
      <c r="Q274">
        <v>4.9000000000000004</v>
      </c>
      <c r="R274" t="s">
        <v>129</v>
      </c>
      <c r="S274" t="s">
        <v>91</v>
      </c>
      <c r="T274" t="s">
        <v>92</v>
      </c>
      <c r="U274">
        <v>11</v>
      </c>
      <c r="V274">
        <v>1</v>
      </c>
      <c r="W274" s="2">
        <v>6618</v>
      </c>
      <c r="X274" s="2">
        <v>1409</v>
      </c>
      <c r="Y274" s="2">
        <v>266</v>
      </c>
      <c r="Z274" s="2">
        <v>8293</v>
      </c>
      <c r="AA274">
        <v>502</v>
      </c>
      <c r="AB274" t="s">
        <v>65</v>
      </c>
      <c r="AC274">
        <v>17.7</v>
      </c>
      <c r="AD274">
        <v>71</v>
      </c>
      <c r="AE274">
        <v>41</v>
      </c>
      <c r="AF274" t="s">
        <v>93</v>
      </c>
      <c r="AG274">
        <v>21</v>
      </c>
      <c r="AH274" t="s">
        <v>113</v>
      </c>
      <c r="AI274" t="s">
        <v>68</v>
      </c>
      <c r="AJ274" t="s">
        <v>188</v>
      </c>
      <c r="AK274" t="s">
        <v>71</v>
      </c>
      <c r="AL274" t="s">
        <v>70</v>
      </c>
      <c r="AM274" t="s">
        <v>71</v>
      </c>
      <c r="AN274" t="s">
        <v>270</v>
      </c>
      <c r="AO274" t="s">
        <v>116</v>
      </c>
      <c r="AP274" t="s">
        <v>287</v>
      </c>
      <c r="AQ274" t="s">
        <v>74</v>
      </c>
      <c r="AR274" s="1">
        <v>44355</v>
      </c>
      <c r="AS274" t="s">
        <v>75</v>
      </c>
      <c r="AT274" t="s">
        <v>71</v>
      </c>
      <c r="AU274">
        <v>1521</v>
      </c>
      <c r="AV274" t="s">
        <v>76</v>
      </c>
      <c r="AW274" s="3">
        <v>99516</v>
      </c>
      <c r="AX274" t="s">
        <v>803</v>
      </c>
      <c r="AY274" t="s">
        <v>806</v>
      </c>
      <c r="AZ274" t="s">
        <v>76</v>
      </c>
      <c r="BA274" t="s">
        <v>807</v>
      </c>
      <c r="BB274" t="s">
        <v>801</v>
      </c>
      <c r="BC274" t="s">
        <v>802</v>
      </c>
      <c r="BD274" s="3">
        <v>6.0532979621367417E-2</v>
      </c>
      <c r="BE274">
        <v>574.4</v>
      </c>
      <c r="BG274" s="2">
        <f t="shared" si="19"/>
        <v>99516</v>
      </c>
      <c r="BH274" t="str" cm="1">
        <f t="array" ref="BH274">_xlfn.IFS(Q274&lt;5,"0-5 Years",Q274&lt;10,"5-10 Years",Q274&lt;15,"10-15 Years",TRUE,"15+ Years")</f>
        <v>0-5 Years</v>
      </c>
      <c r="BI274" t="str" cm="1">
        <f t="array" ref="BI274">_xlfn.IFS(AA274&gt;=540,"A",AA274&gt;=480,"B",AA274&gt;=420,"C",AA274&gt;=360,"D",TRUE,"F")</f>
        <v>B</v>
      </c>
      <c r="BJ274" t="str" cm="1">
        <f t="array" ref="BJ274">_xlfn.IFS(AU274&lt;0,"Separated",AU274&lt;=90,"High Risk",AU274&lt;=180,"Medium Risk",TRUE,"Retained")</f>
        <v>Retained</v>
      </c>
      <c r="BK274" t="str" cm="1">
        <f t="array" ref="BK274">_xlfn.IFS(V274=0,"No Combat",V274=1,"1 Tour",V274=2,"2 Tours",TRUE,"3+ Tours")</f>
        <v>1 Tour</v>
      </c>
      <c r="BL274" t="str">
        <f t="shared" si="20"/>
        <v>Standard</v>
      </c>
      <c r="BM274" t="str">
        <f t="shared" si="21"/>
        <v>Not Ready</v>
      </c>
      <c r="BN274" s="3">
        <f t="shared" si="22"/>
        <v>6.0532979621367417E-2</v>
      </c>
      <c r="BO274">
        <f t="shared" si="23"/>
        <v>574.4</v>
      </c>
    </row>
    <row r="275" spans="1:67" x14ac:dyDescent="0.25">
      <c r="A275" t="s">
        <v>562</v>
      </c>
      <c r="B275" t="s">
        <v>245</v>
      </c>
      <c r="C275" t="s">
        <v>394</v>
      </c>
      <c r="D275" t="s">
        <v>122</v>
      </c>
      <c r="E275">
        <v>28</v>
      </c>
      <c r="F275" t="s">
        <v>278</v>
      </c>
      <c r="G275" t="s">
        <v>81</v>
      </c>
      <c r="H275" t="s">
        <v>82</v>
      </c>
      <c r="I275" t="s">
        <v>83</v>
      </c>
      <c r="J275" t="s">
        <v>84</v>
      </c>
      <c r="K275" t="s">
        <v>85</v>
      </c>
      <c r="L275" t="s">
        <v>174</v>
      </c>
      <c r="M275" t="s">
        <v>127</v>
      </c>
      <c r="N275" t="s">
        <v>148</v>
      </c>
      <c r="O275" t="s">
        <v>176</v>
      </c>
      <c r="P275" s="1">
        <v>41712</v>
      </c>
      <c r="Q275">
        <v>10.199999999999999</v>
      </c>
      <c r="R275" t="s">
        <v>150</v>
      </c>
      <c r="S275" t="s">
        <v>91</v>
      </c>
      <c r="T275" t="s">
        <v>92</v>
      </c>
      <c r="U275">
        <v>5</v>
      </c>
      <c r="V275">
        <v>0</v>
      </c>
      <c r="W275" s="2">
        <v>2504</v>
      </c>
      <c r="X275" s="2">
        <v>0</v>
      </c>
      <c r="Y275" s="2">
        <v>422</v>
      </c>
      <c r="Z275" s="2">
        <v>2926</v>
      </c>
      <c r="AA275">
        <v>327</v>
      </c>
      <c r="AB275" t="s">
        <v>151</v>
      </c>
      <c r="AC275">
        <v>16.8</v>
      </c>
      <c r="AD275">
        <v>49</v>
      </c>
      <c r="AE275">
        <v>31</v>
      </c>
      <c r="AF275" t="s">
        <v>132</v>
      </c>
      <c r="AG275">
        <v>28</v>
      </c>
      <c r="AH275" t="s">
        <v>113</v>
      </c>
      <c r="AI275" t="s">
        <v>95</v>
      </c>
      <c r="AJ275" t="s">
        <v>72</v>
      </c>
      <c r="AK275" t="s">
        <v>70</v>
      </c>
      <c r="AL275" t="s">
        <v>71</v>
      </c>
      <c r="AM275" t="s">
        <v>70</v>
      </c>
      <c r="AN275" t="s">
        <v>72</v>
      </c>
      <c r="AO275" t="s">
        <v>221</v>
      </c>
      <c r="AP275" t="s">
        <v>73</v>
      </c>
      <c r="AQ275" t="s">
        <v>74</v>
      </c>
      <c r="AR275" s="1">
        <v>43886</v>
      </c>
      <c r="AS275" t="s">
        <v>198</v>
      </c>
      <c r="AT275" t="s">
        <v>71</v>
      </c>
      <c r="AU275">
        <v>492</v>
      </c>
      <c r="AV275" t="s">
        <v>76</v>
      </c>
      <c r="AW275" s="3">
        <v>35112</v>
      </c>
      <c r="AX275" t="s">
        <v>805</v>
      </c>
      <c r="AY275" t="s">
        <v>122</v>
      </c>
      <c r="AZ275" t="s">
        <v>76</v>
      </c>
      <c r="BA275" t="s">
        <v>800</v>
      </c>
      <c r="BB275" t="s">
        <v>801</v>
      </c>
      <c r="BC275" t="s">
        <v>802</v>
      </c>
      <c r="BD275" s="3">
        <v>0.11175666438824333</v>
      </c>
      <c r="BE275">
        <v>393.4</v>
      </c>
      <c r="BG275" s="2">
        <f t="shared" si="19"/>
        <v>35112</v>
      </c>
      <c r="BH275" t="str" cm="1">
        <f t="array" ref="BH275">_xlfn.IFS(Q275&lt;5,"0-5 Years",Q275&lt;10,"5-10 Years",Q275&lt;15,"10-15 Years",TRUE,"15+ Years")</f>
        <v>10-15 Years</v>
      </c>
      <c r="BI275" t="str" cm="1">
        <f t="array" ref="BI275">_xlfn.IFS(AA275&gt;=540,"A",AA275&gt;=480,"B",AA275&gt;=420,"C",AA275&gt;=360,"D",TRUE,"F")</f>
        <v>F</v>
      </c>
      <c r="BJ275" t="str" cm="1">
        <f t="array" ref="BJ275">_xlfn.IFS(AU275&lt;0,"Separated",AU275&lt;=90,"High Risk",AU275&lt;=180,"Medium Risk",TRUE,"Retained")</f>
        <v>Retained</v>
      </c>
      <c r="BK275" t="str" cm="1">
        <f t="array" ref="BK275">_xlfn.IFS(V275=0,"No Combat",V275=1,"1 Tour",V275=2,"2 Tours",TRUE,"3+ Tours")</f>
        <v>No Combat</v>
      </c>
      <c r="BL275" t="str">
        <f t="shared" si="20"/>
        <v>Standard</v>
      </c>
      <c r="BM275" t="str">
        <f t="shared" si="21"/>
        <v>Not Ready</v>
      </c>
      <c r="BN275" s="3">
        <f t="shared" si="22"/>
        <v>0.11175666438824333</v>
      </c>
      <c r="BO275">
        <f t="shared" si="23"/>
        <v>393.4</v>
      </c>
    </row>
    <row r="276" spans="1:67" x14ac:dyDescent="0.25">
      <c r="A276" t="s">
        <v>563</v>
      </c>
      <c r="B276" t="s">
        <v>308</v>
      </c>
      <c r="C276" t="s">
        <v>334</v>
      </c>
      <c r="D276" t="s">
        <v>122</v>
      </c>
      <c r="E276">
        <v>24</v>
      </c>
      <c r="F276" t="s">
        <v>278</v>
      </c>
      <c r="G276" t="s">
        <v>242</v>
      </c>
      <c r="H276" t="s">
        <v>54</v>
      </c>
      <c r="I276" t="s">
        <v>144</v>
      </c>
      <c r="J276" t="s">
        <v>145</v>
      </c>
      <c r="K276" t="s">
        <v>146</v>
      </c>
      <c r="L276" t="s">
        <v>58</v>
      </c>
      <c r="M276" t="s">
        <v>275</v>
      </c>
      <c r="N276" t="s">
        <v>128</v>
      </c>
      <c r="O276" t="s">
        <v>89</v>
      </c>
      <c r="P276" s="1">
        <v>43325</v>
      </c>
      <c r="Q276">
        <v>5.8</v>
      </c>
      <c r="R276" t="s">
        <v>62</v>
      </c>
      <c r="S276" t="s">
        <v>163</v>
      </c>
      <c r="T276" t="s">
        <v>164</v>
      </c>
      <c r="U276">
        <v>5</v>
      </c>
      <c r="V276">
        <v>0</v>
      </c>
      <c r="W276" s="2">
        <v>4739</v>
      </c>
      <c r="X276" s="2">
        <v>0</v>
      </c>
      <c r="Y276" s="2">
        <v>422</v>
      </c>
      <c r="Z276" s="2">
        <v>5161</v>
      </c>
      <c r="AA276">
        <v>329</v>
      </c>
      <c r="AB276" t="s">
        <v>151</v>
      </c>
      <c r="AC276">
        <v>17</v>
      </c>
      <c r="AD276">
        <v>45</v>
      </c>
      <c r="AE276">
        <v>40</v>
      </c>
      <c r="AF276" t="s">
        <v>66</v>
      </c>
      <c r="AG276">
        <v>37</v>
      </c>
      <c r="AH276" t="s">
        <v>94</v>
      </c>
      <c r="AI276" t="s">
        <v>177</v>
      </c>
      <c r="AJ276" t="s">
        <v>188</v>
      </c>
      <c r="AK276" t="s">
        <v>71</v>
      </c>
      <c r="AL276" t="s">
        <v>70</v>
      </c>
      <c r="AM276" t="s">
        <v>70</v>
      </c>
      <c r="AN276" t="s">
        <v>72</v>
      </c>
      <c r="AO276" t="s">
        <v>134</v>
      </c>
      <c r="AP276" t="s">
        <v>72</v>
      </c>
      <c r="AQ276" t="s">
        <v>117</v>
      </c>
      <c r="AR276" s="1">
        <v>44363</v>
      </c>
      <c r="AS276" t="s">
        <v>137</v>
      </c>
      <c r="AT276" t="s">
        <v>71</v>
      </c>
      <c r="AU276">
        <v>1318</v>
      </c>
      <c r="AV276" t="s">
        <v>76</v>
      </c>
      <c r="AW276" s="3">
        <v>61932</v>
      </c>
      <c r="AX276" t="s">
        <v>808</v>
      </c>
      <c r="AY276" t="s">
        <v>122</v>
      </c>
      <c r="AZ276" t="s">
        <v>76</v>
      </c>
      <c r="BA276" t="s">
        <v>800</v>
      </c>
      <c r="BB276" t="s">
        <v>801</v>
      </c>
      <c r="BC276" t="s">
        <v>802</v>
      </c>
      <c r="BD276" s="3">
        <v>6.3747335787638054E-2</v>
      </c>
      <c r="BE276">
        <v>413.4</v>
      </c>
      <c r="BG276" s="2">
        <f t="shared" si="19"/>
        <v>61932</v>
      </c>
      <c r="BH276" t="str" cm="1">
        <f t="array" ref="BH276">_xlfn.IFS(Q276&lt;5,"0-5 Years",Q276&lt;10,"5-10 Years",Q276&lt;15,"10-15 Years",TRUE,"15+ Years")</f>
        <v>5-10 Years</v>
      </c>
      <c r="BI276" t="str" cm="1">
        <f t="array" ref="BI276">_xlfn.IFS(AA276&gt;=540,"A",AA276&gt;=480,"B",AA276&gt;=420,"C",AA276&gt;=360,"D",TRUE,"F")</f>
        <v>F</v>
      </c>
      <c r="BJ276" t="str" cm="1">
        <f t="array" ref="BJ276">_xlfn.IFS(AU276&lt;0,"Separated",AU276&lt;=90,"High Risk",AU276&lt;=180,"Medium Risk",TRUE,"Retained")</f>
        <v>Retained</v>
      </c>
      <c r="BK276" t="str" cm="1">
        <f t="array" ref="BK276">_xlfn.IFS(V276=0,"No Combat",V276=1,"1 Tour",V276=2,"2 Tours",TRUE,"3+ Tours")</f>
        <v>No Combat</v>
      </c>
      <c r="BL276" t="str">
        <f t="shared" si="20"/>
        <v>Standard</v>
      </c>
      <c r="BM276" t="str">
        <f t="shared" si="21"/>
        <v>Not Ready</v>
      </c>
      <c r="BN276" s="3">
        <f t="shared" si="22"/>
        <v>6.3747335787638054E-2</v>
      </c>
      <c r="BO276">
        <f t="shared" si="23"/>
        <v>413.4</v>
      </c>
    </row>
    <row r="277" spans="1:67" x14ac:dyDescent="0.25">
      <c r="A277" t="s">
        <v>564</v>
      </c>
      <c r="B277" t="s">
        <v>205</v>
      </c>
      <c r="C277" t="s">
        <v>50</v>
      </c>
      <c r="D277" t="s">
        <v>51</v>
      </c>
      <c r="E277">
        <v>21</v>
      </c>
      <c r="F277" t="s">
        <v>382</v>
      </c>
      <c r="G277" t="s">
        <v>156</v>
      </c>
      <c r="H277" t="s">
        <v>157</v>
      </c>
      <c r="I277" t="s">
        <v>292</v>
      </c>
      <c r="J277" t="s">
        <v>293</v>
      </c>
      <c r="K277" t="s">
        <v>294</v>
      </c>
      <c r="L277" t="s">
        <v>58</v>
      </c>
      <c r="M277" t="s">
        <v>107</v>
      </c>
      <c r="N277" t="s">
        <v>88</v>
      </c>
      <c r="O277" t="s">
        <v>149</v>
      </c>
      <c r="P277" s="1">
        <v>39991</v>
      </c>
      <c r="Q277">
        <v>14.9</v>
      </c>
      <c r="R277" t="s">
        <v>129</v>
      </c>
      <c r="S277" t="s">
        <v>163</v>
      </c>
      <c r="T277" t="s">
        <v>164</v>
      </c>
      <c r="U277">
        <v>0</v>
      </c>
      <c r="V277">
        <v>0</v>
      </c>
      <c r="W277" s="2">
        <v>4836</v>
      </c>
      <c r="X277" s="2">
        <v>0</v>
      </c>
      <c r="Y277" s="2">
        <v>266</v>
      </c>
      <c r="Z277" s="2">
        <v>5102</v>
      </c>
      <c r="AA277">
        <v>322</v>
      </c>
      <c r="AB277" t="s">
        <v>151</v>
      </c>
      <c r="AC277">
        <v>20.9</v>
      </c>
      <c r="AD277">
        <v>41</v>
      </c>
      <c r="AE277">
        <v>42</v>
      </c>
      <c r="AF277" t="s">
        <v>93</v>
      </c>
      <c r="AG277">
        <v>19</v>
      </c>
      <c r="AH277" t="s">
        <v>113</v>
      </c>
      <c r="AI277" t="s">
        <v>68</v>
      </c>
      <c r="AJ277" t="s">
        <v>188</v>
      </c>
      <c r="AK277" t="s">
        <v>71</v>
      </c>
      <c r="AL277" t="s">
        <v>70</v>
      </c>
      <c r="AM277" t="s">
        <v>70</v>
      </c>
      <c r="AN277" t="s">
        <v>115</v>
      </c>
      <c r="AO277" t="s">
        <v>72</v>
      </c>
      <c r="AP277" t="s">
        <v>72</v>
      </c>
      <c r="AQ277" t="s">
        <v>98</v>
      </c>
      <c r="AR277" s="1">
        <v>43050</v>
      </c>
      <c r="AS277" t="s">
        <v>118</v>
      </c>
      <c r="AT277" t="s">
        <v>71</v>
      </c>
      <c r="AU277">
        <v>1252</v>
      </c>
      <c r="AV277" t="s">
        <v>76</v>
      </c>
      <c r="AW277" s="3">
        <v>61224</v>
      </c>
      <c r="AX277" t="s">
        <v>805</v>
      </c>
      <c r="AY277" t="s">
        <v>122</v>
      </c>
      <c r="AZ277" t="s">
        <v>76</v>
      </c>
      <c r="BA277" t="s">
        <v>800</v>
      </c>
      <c r="BB277" t="s">
        <v>801</v>
      </c>
      <c r="BC277" t="s">
        <v>802</v>
      </c>
      <c r="BD277" s="3">
        <v>6.3112504900039196E-2</v>
      </c>
      <c r="BE277">
        <v>370.4</v>
      </c>
      <c r="BG277" s="2">
        <f t="shared" si="19"/>
        <v>61224</v>
      </c>
      <c r="BH277" t="str" cm="1">
        <f t="array" ref="BH277">_xlfn.IFS(Q277&lt;5,"0-5 Years",Q277&lt;10,"5-10 Years",Q277&lt;15,"10-15 Years",TRUE,"15+ Years")</f>
        <v>10-15 Years</v>
      </c>
      <c r="BI277" t="str" cm="1">
        <f t="array" ref="BI277">_xlfn.IFS(AA277&gt;=540,"A",AA277&gt;=480,"B",AA277&gt;=420,"C",AA277&gt;=360,"D",TRUE,"F")</f>
        <v>F</v>
      </c>
      <c r="BJ277" t="str" cm="1">
        <f t="array" ref="BJ277">_xlfn.IFS(AU277&lt;0,"Separated",AU277&lt;=90,"High Risk",AU277&lt;=180,"Medium Risk",TRUE,"Retained")</f>
        <v>Retained</v>
      </c>
      <c r="BK277" t="str" cm="1">
        <f t="array" ref="BK277">_xlfn.IFS(V277=0,"No Combat",V277=1,"1 Tour",V277=2,"2 Tours",TRUE,"3+ Tours")</f>
        <v>No Combat</v>
      </c>
      <c r="BL277" t="str">
        <f t="shared" si="20"/>
        <v>Standard</v>
      </c>
      <c r="BM277" t="str">
        <f t="shared" si="21"/>
        <v>Not Ready</v>
      </c>
      <c r="BN277" s="3">
        <f t="shared" si="22"/>
        <v>6.3112504900039196E-2</v>
      </c>
      <c r="BO277">
        <f t="shared" si="23"/>
        <v>370.4</v>
      </c>
    </row>
    <row r="278" spans="1:67" x14ac:dyDescent="0.25">
      <c r="A278" t="s">
        <v>565</v>
      </c>
      <c r="B278" t="s">
        <v>263</v>
      </c>
      <c r="C278" t="s">
        <v>182</v>
      </c>
      <c r="D278" t="s">
        <v>51</v>
      </c>
      <c r="E278">
        <v>43</v>
      </c>
      <c r="F278" t="s">
        <v>241</v>
      </c>
      <c r="G278" t="s">
        <v>81</v>
      </c>
      <c r="H278" t="s">
        <v>82</v>
      </c>
      <c r="I278" t="s">
        <v>83</v>
      </c>
      <c r="J278" t="s">
        <v>84</v>
      </c>
      <c r="K278" t="s">
        <v>85</v>
      </c>
      <c r="L278" t="s">
        <v>86</v>
      </c>
      <c r="M278" t="s">
        <v>275</v>
      </c>
      <c r="N278" t="s">
        <v>60</v>
      </c>
      <c r="O278" t="s">
        <v>109</v>
      </c>
      <c r="P278" s="1">
        <v>43710</v>
      </c>
      <c r="Q278">
        <v>4.7</v>
      </c>
      <c r="R278" t="s">
        <v>90</v>
      </c>
      <c r="S278" t="s">
        <v>110</v>
      </c>
      <c r="T278" t="s">
        <v>111</v>
      </c>
      <c r="U278">
        <v>0</v>
      </c>
      <c r="V278">
        <v>0</v>
      </c>
      <c r="W278" s="2">
        <v>2504</v>
      </c>
      <c r="X278" s="2">
        <v>0</v>
      </c>
      <c r="Y278" s="2">
        <v>422</v>
      </c>
      <c r="Z278" s="2">
        <v>2926</v>
      </c>
      <c r="AA278">
        <v>432</v>
      </c>
      <c r="AB278" t="s">
        <v>65</v>
      </c>
      <c r="AC278">
        <v>16.399999999999999</v>
      </c>
      <c r="AD278">
        <v>24</v>
      </c>
      <c r="AE278">
        <v>72</v>
      </c>
      <c r="AF278" t="s">
        <v>112</v>
      </c>
      <c r="AG278">
        <v>17</v>
      </c>
      <c r="AH278" t="s">
        <v>113</v>
      </c>
      <c r="AI278" t="s">
        <v>114</v>
      </c>
      <c r="AJ278" t="s">
        <v>69</v>
      </c>
      <c r="AK278" t="s">
        <v>71</v>
      </c>
      <c r="AL278" t="s">
        <v>70</v>
      </c>
      <c r="AM278" t="s">
        <v>70</v>
      </c>
      <c r="AN278" t="s">
        <v>115</v>
      </c>
      <c r="AO278" t="s">
        <v>97</v>
      </c>
      <c r="AP278" t="s">
        <v>227</v>
      </c>
      <c r="AQ278" t="s">
        <v>117</v>
      </c>
      <c r="AR278" s="1">
        <v>44794</v>
      </c>
      <c r="AS278" t="s">
        <v>75</v>
      </c>
      <c r="AT278" t="s">
        <v>71</v>
      </c>
      <c r="AU278">
        <v>1091</v>
      </c>
      <c r="AV278" t="s">
        <v>76</v>
      </c>
      <c r="AW278" s="3">
        <v>35112</v>
      </c>
      <c r="AX278" t="s">
        <v>803</v>
      </c>
      <c r="AY278" t="s">
        <v>804</v>
      </c>
      <c r="AZ278" t="s">
        <v>76</v>
      </c>
      <c r="BA278" t="s">
        <v>800</v>
      </c>
      <c r="BB278" t="s">
        <v>801</v>
      </c>
      <c r="BC278" t="s">
        <v>802</v>
      </c>
      <c r="BD278" s="3">
        <v>0.14764183185235816</v>
      </c>
      <c r="BE278">
        <v>476.4</v>
      </c>
      <c r="BG278" s="2">
        <f t="shared" si="19"/>
        <v>35112</v>
      </c>
      <c r="BH278" t="str" cm="1">
        <f t="array" ref="BH278">_xlfn.IFS(Q278&lt;5,"0-5 Years",Q278&lt;10,"5-10 Years",Q278&lt;15,"10-15 Years",TRUE,"15+ Years")</f>
        <v>0-5 Years</v>
      </c>
      <c r="BI278" t="str" cm="1">
        <f t="array" ref="BI278">_xlfn.IFS(AA278&gt;=540,"A",AA278&gt;=480,"B",AA278&gt;=420,"C",AA278&gt;=360,"D",TRUE,"F")</f>
        <v>C</v>
      </c>
      <c r="BJ278" t="str" cm="1">
        <f t="array" ref="BJ278">_xlfn.IFS(AU278&lt;0,"Separated",AU278&lt;=90,"High Risk",AU278&lt;=180,"Medium Risk",TRUE,"Retained")</f>
        <v>Retained</v>
      </c>
      <c r="BK278" t="str" cm="1">
        <f t="array" ref="BK278">_xlfn.IFS(V278=0,"No Combat",V278=1,"1 Tour",V278=2,"2 Tours",TRUE,"3+ Tours")</f>
        <v>No Combat</v>
      </c>
      <c r="BL278" t="str">
        <f t="shared" si="20"/>
        <v>Standard</v>
      </c>
      <c r="BM278" t="str">
        <f t="shared" si="21"/>
        <v>Not Ready</v>
      </c>
      <c r="BN278" s="3">
        <f t="shared" si="22"/>
        <v>0.14764183185235816</v>
      </c>
      <c r="BO278">
        <f t="shared" si="23"/>
        <v>476.4</v>
      </c>
    </row>
    <row r="279" spans="1:67" x14ac:dyDescent="0.25">
      <c r="A279" t="s">
        <v>566</v>
      </c>
      <c r="B279" t="s">
        <v>181</v>
      </c>
      <c r="C279" t="s">
        <v>360</v>
      </c>
      <c r="D279" t="s">
        <v>51</v>
      </c>
      <c r="E279">
        <v>19</v>
      </c>
      <c r="F279" t="s">
        <v>192</v>
      </c>
      <c r="G279" t="s">
        <v>215</v>
      </c>
      <c r="H279" t="s">
        <v>216</v>
      </c>
      <c r="I279" t="s">
        <v>144</v>
      </c>
      <c r="J279" t="s">
        <v>145</v>
      </c>
      <c r="K279" t="s">
        <v>146</v>
      </c>
      <c r="L279" t="s">
        <v>106</v>
      </c>
      <c r="M279" t="s">
        <v>249</v>
      </c>
      <c r="N279" t="s">
        <v>60</v>
      </c>
      <c r="O279" t="s">
        <v>176</v>
      </c>
      <c r="P279" s="1">
        <v>38497</v>
      </c>
      <c r="Q279">
        <v>19</v>
      </c>
      <c r="R279" t="s">
        <v>62</v>
      </c>
      <c r="S279" t="s">
        <v>63</v>
      </c>
      <c r="T279" t="s">
        <v>64</v>
      </c>
      <c r="U279">
        <v>0</v>
      </c>
      <c r="V279">
        <v>0</v>
      </c>
      <c r="W279" s="2">
        <v>3637</v>
      </c>
      <c r="X279" s="2">
        <v>1998</v>
      </c>
      <c r="Y279" s="2">
        <v>266</v>
      </c>
      <c r="Z279" s="2">
        <v>5901</v>
      </c>
      <c r="AA279">
        <v>409</v>
      </c>
      <c r="AB279" t="s">
        <v>65</v>
      </c>
      <c r="AC279">
        <v>15.8</v>
      </c>
      <c r="AD279">
        <v>60</v>
      </c>
      <c r="AE279">
        <v>77</v>
      </c>
      <c r="AF279" t="s">
        <v>66</v>
      </c>
      <c r="AG279">
        <v>23</v>
      </c>
      <c r="AH279" t="s">
        <v>113</v>
      </c>
      <c r="AI279" t="s">
        <v>68</v>
      </c>
      <c r="AJ279" t="s">
        <v>69</v>
      </c>
      <c r="AK279" t="s">
        <v>70</v>
      </c>
      <c r="AL279" t="s">
        <v>70</v>
      </c>
      <c r="AM279" t="s">
        <v>71</v>
      </c>
      <c r="AN279" t="s">
        <v>72</v>
      </c>
      <c r="AO279" t="s">
        <v>135</v>
      </c>
      <c r="AP279" t="s">
        <v>97</v>
      </c>
      <c r="AQ279" t="s">
        <v>117</v>
      </c>
      <c r="AR279" s="1">
        <v>39595</v>
      </c>
      <c r="AS279" t="s">
        <v>198</v>
      </c>
      <c r="AT279" t="s">
        <v>71</v>
      </c>
      <c r="AU279">
        <v>1039</v>
      </c>
      <c r="AV279" t="s">
        <v>76</v>
      </c>
      <c r="AW279" s="3">
        <v>70812</v>
      </c>
      <c r="AX279" t="s">
        <v>798</v>
      </c>
      <c r="AY279" t="s">
        <v>809</v>
      </c>
      <c r="AZ279" t="s">
        <v>76</v>
      </c>
      <c r="BA279" t="s">
        <v>800</v>
      </c>
      <c r="BB279" t="s">
        <v>801</v>
      </c>
      <c r="BC279" t="s">
        <v>802</v>
      </c>
      <c r="BD279" s="3">
        <v>6.9310286392136933E-2</v>
      </c>
      <c r="BE279">
        <v>475.4</v>
      </c>
      <c r="BG279" s="2">
        <f t="shared" si="19"/>
        <v>70812</v>
      </c>
      <c r="BH279" t="str" cm="1">
        <f t="array" ref="BH279">_xlfn.IFS(Q279&lt;5,"0-5 Years",Q279&lt;10,"5-10 Years",Q279&lt;15,"10-15 Years",TRUE,"15+ Years")</f>
        <v>15+ Years</v>
      </c>
      <c r="BI279" t="str" cm="1">
        <f t="array" ref="BI279">_xlfn.IFS(AA279&gt;=540,"A",AA279&gt;=480,"B",AA279&gt;=420,"C",AA279&gt;=360,"D",TRUE,"F")</f>
        <v>D</v>
      </c>
      <c r="BJ279" t="str" cm="1">
        <f t="array" ref="BJ279">_xlfn.IFS(AU279&lt;0,"Separated",AU279&lt;=90,"High Risk",AU279&lt;=180,"Medium Risk",TRUE,"Retained")</f>
        <v>Retained</v>
      </c>
      <c r="BK279" t="str" cm="1">
        <f t="array" ref="BK279">_xlfn.IFS(V279=0,"No Combat",V279=1,"1 Tour",V279=2,"2 Tours",TRUE,"3+ Tours")</f>
        <v>No Combat</v>
      </c>
      <c r="BL279" t="str">
        <f t="shared" si="20"/>
        <v>Standard</v>
      </c>
      <c r="BM279" t="str">
        <f t="shared" si="21"/>
        <v>Not Ready</v>
      </c>
      <c r="BN279" s="3">
        <f t="shared" si="22"/>
        <v>6.9310286392136933E-2</v>
      </c>
      <c r="BO279">
        <f t="shared" si="23"/>
        <v>475.4</v>
      </c>
    </row>
    <row r="280" spans="1:67" x14ac:dyDescent="0.25">
      <c r="A280" t="s">
        <v>567</v>
      </c>
      <c r="B280" t="s">
        <v>120</v>
      </c>
      <c r="C280" t="s">
        <v>191</v>
      </c>
      <c r="D280" t="s">
        <v>51</v>
      </c>
      <c r="E280">
        <v>37</v>
      </c>
      <c r="F280" t="s">
        <v>291</v>
      </c>
      <c r="G280" t="s">
        <v>279</v>
      </c>
      <c r="H280" t="s">
        <v>280</v>
      </c>
      <c r="I280" t="s">
        <v>260</v>
      </c>
      <c r="J280" t="s">
        <v>261</v>
      </c>
      <c r="K280" t="s">
        <v>173</v>
      </c>
      <c r="L280" t="s">
        <v>86</v>
      </c>
      <c r="M280" t="s">
        <v>275</v>
      </c>
      <c r="N280" t="s">
        <v>88</v>
      </c>
      <c r="O280" t="s">
        <v>176</v>
      </c>
      <c r="P280" s="1">
        <v>43625</v>
      </c>
      <c r="Q280">
        <v>5</v>
      </c>
      <c r="R280" t="s">
        <v>208</v>
      </c>
      <c r="S280" t="s">
        <v>196</v>
      </c>
      <c r="T280" t="s">
        <v>197</v>
      </c>
      <c r="U280">
        <v>0</v>
      </c>
      <c r="V280">
        <v>0</v>
      </c>
      <c r="W280" s="2">
        <v>6618</v>
      </c>
      <c r="X280" s="2">
        <v>881</v>
      </c>
      <c r="Y280" s="2">
        <v>266</v>
      </c>
      <c r="Z280" s="2">
        <v>7765</v>
      </c>
      <c r="AA280">
        <v>302</v>
      </c>
      <c r="AB280" t="s">
        <v>151</v>
      </c>
      <c r="AC280">
        <v>18</v>
      </c>
      <c r="AD280">
        <v>38</v>
      </c>
      <c r="AE280">
        <v>78</v>
      </c>
      <c r="AF280" t="s">
        <v>93</v>
      </c>
      <c r="AG280">
        <v>39</v>
      </c>
      <c r="AH280" t="s">
        <v>94</v>
      </c>
      <c r="AI280" t="s">
        <v>152</v>
      </c>
      <c r="AJ280" t="s">
        <v>72</v>
      </c>
      <c r="AK280" t="s">
        <v>70</v>
      </c>
      <c r="AL280" t="s">
        <v>70</v>
      </c>
      <c r="AM280" t="s">
        <v>70</v>
      </c>
      <c r="AN280" t="s">
        <v>72</v>
      </c>
      <c r="AO280" t="s">
        <v>221</v>
      </c>
      <c r="AP280" t="s">
        <v>72</v>
      </c>
      <c r="AQ280" t="s">
        <v>98</v>
      </c>
      <c r="AR280" s="1">
        <v>43490</v>
      </c>
      <c r="AS280" t="s">
        <v>75</v>
      </c>
      <c r="AT280" t="s">
        <v>71</v>
      </c>
      <c r="AU280">
        <v>-236</v>
      </c>
      <c r="AV280" t="s">
        <v>179</v>
      </c>
      <c r="AW280" s="3">
        <v>93180</v>
      </c>
      <c r="AX280" t="s">
        <v>808</v>
      </c>
      <c r="AY280" t="s">
        <v>122</v>
      </c>
      <c r="AZ280" t="s">
        <v>810</v>
      </c>
      <c r="BA280" t="s">
        <v>800</v>
      </c>
      <c r="BB280" t="s">
        <v>801</v>
      </c>
      <c r="BC280" t="s">
        <v>802</v>
      </c>
      <c r="BD280" s="3">
        <v>3.8892466194462329E-2</v>
      </c>
      <c r="BE280">
        <v>380.4</v>
      </c>
      <c r="BG280" s="2">
        <f t="shared" si="19"/>
        <v>93180</v>
      </c>
      <c r="BH280" t="str" cm="1">
        <f t="array" ref="BH280">_xlfn.IFS(Q280&lt;5,"0-5 Years",Q280&lt;10,"5-10 Years",Q280&lt;15,"10-15 Years",TRUE,"15+ Years")</f>
        <v>5-10 Years</v>
      </c>
      <c r="BI280" t="str" cm="1">
        <f t="array" ref="BI280">_xlfn.IFS(AA280&gt;=540,"A",AA280&gt;=480,"B",AA280&gt;=420,"C",AA280&gt;=360,"D",TRUE,"F")</f>
        <v>F</v>
      </c>
      <c r="BJ280" t="str" cm="1">
        <f t="array" ref="BJ280">_xlfn.IFS(AU280&lt;0,"Separated",AU280&lt;=90,"High Risk",AU280&lt;=180,"Medium Risk",TRUE,"Retained")</f>
        <v>Separated</v>
      </c>
      <c r="BK280" t="str" cm="1">
        <f t="array" ref="BK280">_xlfn.IFS(V280=0,"No Combat",V280=1,"1 Tour",V280=2,"2 Tours",TRUE,"3+ Tours")</f>
        <v>No Combat</v>
      </c>
      <c r="BL280" t="str">
        <f t="shared" si="20"/>
        <v>Standard</v>
      </c>
      <c r="BM280" t="str">
        <f t="shared" si="21"/>
        <v>Not Ready</v>
      </c>
      <c r="BN280" s="3">
        <f t="shared" si="22"/>
        <v>3.8892466194462329E-2</v>
      </c>
      <c r="BO280">
        <f t="shared" si="23"/>
        <v>380.4</v>
      </c>
    </row>
    <row r="281" spans="1:67" x14ac:dyDescent="0.25">
      <c r="A281" t="s">
        <v>568</v>
      </c>
      <c r="B281" t="s">
        <v>263</v>
      </c>
      <c r="C281" t="s">
        <v>223</v>
      </c>
      <c r="D281" t="s">
        <v>122</v>
      </c>
      <c r="E281">
        <v>32</v>
      </c>
      <c r="F281" t="s">
        <v>211</v>
      </c>
      <c r="G281" t="s">
        <v>298</v>
      </c>
      <c r="H281" t="s">
        <v>299</v>
      </c>
      <c r="I281" t="s">
        <v>158</v>
      </c>
      <c r="J281" t="s">
        <v>159</v>
      </c>
      <c r="K281" t="s">
        <v>160</v>
      </c>
      <c r="L281" t="s">
        <v>58</v>
      </c>
      <c r="M281" t="s">
        <v>107</v>
      </c>
      <c r="N281" t="s">
        <v>108</v>
      </c>
      <c r="O281" t="s">
        <v>89</v>
      </c>
      <c r="P281" s="1">
        <v>39775</v>
      </c>
      <c r="Q281">
        <v>15.5</v>
      </c>
      <c r="R281" t="s">
        <v>62</v>
      </c>
      <c r="S281" t="s">
        <v>63</v>
      </c>
      <c r="T281" t="s">
        <v>64</v>
      </c>
      <c r="U281">
        <v>0</v>
      </c>
      <c r="V281">
        <v>0</v>
      </c>
      <c r="W281" s="2">
        <v>2149</v>
      </c>
      <c r="X281" s="2">
        <v>0</v>
      </c>
      <c r="Y281" s="2">
        <v>422</v>
      </c>
      <c r="Z281" s="2">
        <v>2571</v>
      </c>
      <c r="AA281">
        <v>529</v>
      </c>
      <c r="AB281" t="s">
        <v>65</v>
      </c>
      <c r="AC281">
        <v>14.5</v>
      </c>
      <c r="AD281">
        <v>25</v>
      </c>
      <c r="AE281">
        <v>57</v>
      </c>
      <c r="AF281" t="s">
        <v>112</v>
      </c>
      <c r="AG281">
        <v>21</v>
      </c>
      <c r="AH281" t="s">
        <v>113</v>
      </c>
      <c r="AI281" t="s">
        <v>68</v>
      </c>
      <c r="AJ281" t="s">
        <v>188</v>
      </c>
      <c r="AK281" t="s">
        <v>70</v>
      </c>
      <c r="AL281" t="s">
        <v>70</v>
      </c>
      <c r="AM281" t="s">
        <v>70</v>
      </c>
      <c r="AN281" t="s">
        <v>72</v>
      </c>
      <c r="AO281" t="s">
        <v>72</v>
      </c>
      <c r="AP281" t="s">
        <v>72</v>
      </c>
      <c r="AQ281" t="s">
        <v>74</v>
      </c>
      <c r="AR281" s="1">
        <v>42393</v>
      </c>
      <c r="AS281" t="s">
        <v>198</v>
      </c>
      <c r="AT281" t="s">
        <v>71</v>
      </c>
      <c r="AU281">
        <v>1131</v>
      </c>
      <c r="AV281" t="s">
        <v>76</v>
      </c>
      <c r="AW281" s="3">
        <v>30852</v>
      </c>
      <c r="AX281" t="s">
        <v>798</v>
      </c>
      <c r="AY281" t="s">
        <v>806</v>
      </c>
      <c r="AZ281" t="s">
        <v>76</v>
      </c>
      <c r="BA281" t="s">
        <v>800</v>
      </c>
      <c r="BB281" t="s">
        <v>801</v>
      </c>
      <c r="BC281" t="s">
        <v>802</v>
      </c>
      <c r="BD281" s="3">
        <v>0.205756514974718</v>
      </c>
      <c r="BE281">
        <v>571.4</v>
      </c>
      <c r="BG281" s="2">
        <f t="shared" si="19"/>
        <v>30852</v>
      </c>
      <c r="BH281" t="str" cm="1">
        <f t="array" ref="BH281">_xlfn.IFS(Q281&lt;5,"0-5 Years",Q281&lt;10,"5-10 Years",Q281&lt;15,"10-15 Years",TRUE,"15+ Years")</f>
        <v>15+ Years</v>
      </c>
      <c r="BI281" t="str" cm="1">
        <f t="array" ref="BI281">_xlfn.IFS(AA281&gt;=540,"A",AA281&gt;=480,"B",AA281&gt;=420,"C",AA281&gt;=360,"D",TRUE,"F")</f>
        <v>B</v>
      </c>
      <c r="BJ281" t="str" cm="1">
        <f t="array" ref="BJ281">_xlfn.IFS(AU281&lt;0,"Separated",AU281&lt;=90,"High Risk",AU281&lt;=180,"Medium Risk",TRUE,"Retained")</f>
        <v>Retained</v>
      </c>
      <c r="BK281" t="str" cm="1">
        <f t="array" ref="BK281">_xlfn.IFS(V281=0,"No Combat",V281=1,"1 Tour",V281=2,"2 Tours",TRUE,"3+ Tours")</f>
        <v>No Combat</v>
      </c>
      <c r="BL281" t="str">
        <f t="shared" si="20"/>
        <v>Standard</v>
      </c>
      <c r="BM281" t="str">
        <f t="shared" si="21"/>
        <v>Not Ready</v>
      </c>
      <c r="BN281" s="3">
        <f t="shared" si="22"/>
        <v>0.205756514974718</v>
      </c>
      <c r="BO281">
        <f t="shared" si="23"/>
        <v>571.4</v>
      </c>
    </row>
    <row r="282" spans="1:67" x14ac:dyDescent="0.25">
      <c r="A282" t="s">
        <v>569</v>
      </c>
      <c r="B282" t="s">
        <v>308</v>
      </c>
      <c r="C282" t="s">
        <v>334</v>
      </c>
      <c r="D282" t="s">
        <v>122</v>
      </c>
      <c r="E282">
        <v>35</v>
      </c>
      <c r="F282" t="s">
        <v>305</v>
      </c>
      <c r="G282" t="s">
        <v>279</v>
      </c>
      <c r="H282" t="s">
        <v>280</v>
      </c>
      <c r="I282" t="s">
        <v>253</v>
      </c>
      <c r="J282" t="s">
        <v>254</v>
      </c>
      <c r="K282" t="s">
        <v>255</v>
      </c>
      <c r="L282" t="s">
        <v>201</v>
      </c>
      <c r="M282" t="s">
        <v>87</v>
      </c>
      <c r="N282" t="s">
        <v>265</v>
      </c>
      <c r="O282" t="s">
        <v>109</v>
      </c>
      <c r="P282" s="1">
        <v>44581</v>
      </c>
      <c r="Q282">
        <v>2.4</v>
      </c>
      <c r="R282" t="s">
        <v>75</v>
      </c>
      <c r="S282" t="s">
        <v>130</v>
      </c>
      <c r="T282" t="s">
        <v>131</v>
      </c>
      <c r="U282">
        <v>15</v>
      </c>
      <c r="V282">
        <v>2</v>
      </c>
      <c r="W282" s="2">
        <v>6618</v>
      </c>
      <c r="X282" s="2">
        <v>840</v>
      </c>
      <c r="Y282" s="2">
        <v>266</v>
      </c>
      <c r="Z282" s="2">
        <v>7724</v>
      </c>
      <c r="AA282">
        <v>443</v>
      </c>
      <c r="AB282" t="s">
        <v>65</v>
      </c>
      <c r="AC282">
        <v>16.100000000000001</v>
      </c>
      <c r="AD282">
        <v>25</v>
      </c>
      <c r="AE282">
        <v>78</v>
      </c>
      <c r="AF282" t="s">
        <v>93</v>
      </c>
      <c r="AG282">
        <v>33</v>
      </c>
      <c r="AH282" t="s">
        <v>67</v>
      </c>
      <c r="AI282" t="s">
        <v>95</v>
      </c>
      <c r="AJ282" t="s">
        <v>96</v>
      </c>
      <c r="AK282" t="s">
        <v>70</v>
      </c>
      <c r="AL282" t="s">
        <v>70</v>
      </c>
      <c r="AM282" t="s">
        <v>70</v>
      </c>
      <c r="AN282" t="s">
        <v>72</v>
      </c>
      <c r="AO282" t="s">
        <v>72</v>
      </c>
      <c r="AP282" t="s">
        <v>72</v>
      </c>
      <c r="AQ282" t="s">
        <v>74</v>
      </c>
      <c r="AR282" s="1">
        <v>45523</v>
      </c>
      <c r="AS282" t="s">
        <v>137</v>
      </c>
      <c r="AT282" t="s">
        <v>71</v>
      </c>
      <c r="AU282">
        <v>301</v>
      </c>
      <c r="AV282" t="s">
        <v>76</v>
      </c>
      <c r="AW282" s="3">
        <v>92688</v>
      </c>
      <c r="AX282" t="s">
        <v>803</v>
      </c>
      <c r="AY282" t="s">
        <v>804</v>
      </c>
      <c r="AZ282" t="s">
        <v>76</v>
      </c>
      <c r="BA282" t="s">
        <v>811</v>
      </c>
      <c r="BB282" t="s">
        <v>801</v>
      </c>
      <c r="BC282" t="s">
        <v>802</v>
      </c>
      <c r="BD282" s="3">
        <v>5.735370274469187E-2</v>
      </c>
      <c r="BE282">
        <v>509.4</v>
      </c>
      <c r="BG282" s="2">
        <f t="shared" si="19"/>
        <v>92688</v>
      </c>
      <c r="BH282" t="str" cm="1">
        <f t="array" ref="BH282">_xlfn.IFS(Q282&lt;5,"0-5 Years",Q282&lt;10,"5-10 Years",Q282&lt;15,"10-15 Years",TRUE,"15+ Years")</f>
        <v>0-5 Years</v>
      </c>
      <c r="BI282" t="str" cm="1">
        <f t="array" ref="BI282">_xlfn.IFS(AA282&gt;=540,"A",AA282&gt;=480,"B",AA282&gt;=420,"C",AA282&gt;=360,"D",TRUE,"F")</f>
        <v>C</v>
      </c>
      <c r="BJ282" t="str" cm="1">
        <f t="array" ref="BJ282">_xlfn.IFS(AU282&lt;0,"Separated",AU282&lt;=90,"High Risk",AU282&lt;=180,"Medium Risk",TRUE,"Retained")</f>
        <v>Retained</v>
      </c>
      <c r="BK282" t="str" cm="1">
        <f t="array" ref="BK282">_xlfn.IFS(V282=0,"No Combat",V282=1,"1 Tour",V282=2,"2 Tours",TRUE,"3+ Tours")</f>
        <v>2 Tours</v>
      </c>
      <c r="BL282" t="str">
        <f t="shared" si="20"/>
        <v>Standard</v>
      </c>
      <c r="BM282" t="str">
        <f t="shared" si="21"/>
        <v>Not Ready</v>
      </c>
      <c r="BN282" s="3">
        <f t="shared" si="22"/>
        <v>5.735370274469187E-2</v>
      </c>
      <c r="BO282">
        <f t="shared" si="23"/>
        <v>509.4</v>
      </c>
    </row>
    <row r="283" spans="1:67" x14ac:dyDescent="0.25">
      <c r="A283" t="s">
        <v>570</v>
      </c>
      <c r="B283" t="s">
        <v>346</v>
      </c>
      <c r="C283" t="s">
        <v>155</v>
      </c>
      <c r="D283" t="s">
        <v>51</v>
      </c>
      <c r="E283">
        <v>42</v>
      </c>
      <c r="F283" t="s">
        <v>248</v>
      </c>
      <c r="G283" t="s">
        <v>234</v>
      </c>
      <c r="H283" t="s">
        <v>235</v>
      </c>
      <c r="I283" t="s">
        <v>144</v>
      </c>
      <c r="J283" t="s">
        <v>145</v>
      </c>
      <c r="K283" t="s">
        <v>146</v>
      </c>
      <c r="L283" t="s">
        <v>201</v>
      </c>
      <c r="M283" t="s">
        <v>59</v>
      </c>
      <c r="N283" t="s">
        <v>265</v>
      </c>
      <c r="O283" t="s">
        <v>176</v>
      </c>
      <c r="P283" s="1">
        <v>42378</v>
      </c>
      <c r="Q283">
        <v>8.4</v>
      </c>
      <c r="R283" t="s">
        <v>208</v>
      </c>
      <c r="S283" t="s">
        <v>91</v>
      </c>
      <c r="T283" t="s">
        <v>92</v>
      </c>
      <c r="U283">
        <v>13</v>
      </c>
      <c r="V283">
        <v>2</v>
      </c>
      <c r="W283" s="2">
        <v>1917</v>
      </c>
      <c r="X283" s="2">
        <v>1608</v>
      </c>
      <c r="Y283" s="2">
        <v>422</v>
      </c>
      <c r="Z283" s="2">
        <v>3947</v>
      </c>
      <c r="AA283">
        <v>591</v>
      </c>
      <c r="AB283" t="s">
        <v>65</v>
      </c>
      <c r="AC283">
        <v>15.8</v>
      </c>
      <c r="AD283">
        <v>39</v>
      </c>
      <c r="AE283">
        <v>71</v>
      </c>
      <c r="AF283" t="s">
        <v>66</v>
      </c>
      <c r="AG283">
        <v>29</v>
      </c>
      <c r="AH283" t="s">
        <v>113</v>
      </c>
      <c r="AI283" t="s">
        <v>152</v>
      </c>
      <c r="AJ283" t="s">
        <v>188</v>
      </c>
      <c r="AK283" t="s">
        <v>70</v>
      </c>
      <c r="AL283" t="s">
        <v>70</v>
      </c>
      <c r="AM283" t="s">
        <v>70</v>
      </c>
      <c r="AN283" t="s">
        <v>243</v>
      </c>
      <c r="AO283" t="s">
        <v>135</v>
      </c>
      <c r="AP283" t="s">
        <v>97</v>
      </c>
      <c r="AQ283" t="s">
        <v>74</v>
      </c>
      <c r="AR283" s="1">
        <v>45222</v>
      </c>
      <c r="AS283" t="s">
        <v>198</v>
      </c>
      <c r="AT283" t="s">
        <v>71</v>
      </c>
      <c r="AU283">
        <v>-264</v>
      </c>
      <c r="AV283" t="s">
        <v>179</v>
      </c>
      <c r="AW283" s="3">
        <v>47364</v>
      </c>
      <c r="AX283" t="s">
        <v>808</v>
      </c>
      <c r="AY283" t="s">
        <v>799</v>
      </c>
      <c r="AZ283" t="s">
        <v>810</v>
      </c>
      <c r="BA283" t="s">
        <v>811</v>
      </c>
      <c r="BB283" t="s">
        <v>801</v>
      </c>
      <c r="BC283" t="s">
        <v>802</v>
      </c>
      <c r="BD283" s="3">
        <v>0.14973397517101597</v>
      </c>
      <c r="BE283">
        <v>649.4</v>
      </c>
      <c r="BG283" s="2">
        <f t="shared" si="19"/>
        <v>47364</v>
      </c>
      <c r="BH283" t="str" cm="1">
        <f t="array" ref="BH283">_xlfn.IFS(Q283&lt;5,"0-5 Years",Q283&lt;10,"5-10 Years",Q283&lt;15,"10-15 Years",TRUE,"15+ Years")</f>
        <v>5-10 Years</v>
      </c>
      <c r="BI283" t="str" cm="1">
        <f t="array" ref="BI283">_xlfn.IFS(AA283&gt;=540,"A",AA283&gt;=480,"B",AA283&gt;=420,"C",AA283&gt;=360,"D",TRUE,"F")</f>
        <v>A</v>
      </c>
      <c r="BJ283" t="str" cm="1">
        <f t="array" ref="BJ283">_xlfn.IFS(AU283&lt;0,"Separated",AU283&lt;=90,"High Risk",AU283&lt;=180,"Medium Risk",TRUE,"Retained")</f>
        <v>Separated</v>
      </c>
      <c r="BK283" t="str" cm="1">
        <f t="array" ref="BK283">_xlfn.IFS(V283=0,"No Combat",V283=1,"1 Tour",V283=2,"2 Tours",TRUE,"3+ Tours")</f>
        <v>2 Tours</v>
      </c>
      <c r="BL283" t="str">
        <f t="shared" si="20"/>
        <v>Standard</v>
      </c>
      <c r="BM283" t="str">
        <f t="shared" si="21"/>
        <v>Not Ready</v>
      </c>
      <c r="BN283" s="3">
        <f t="shared" si="22"/>
        <v>0.14973397517101597</v>
      </c>
      <c r="BO283">
        <f t="shared" si="23"/>
        <v>649.4</v>
      </c>
    </row>
    <row r="284" spans="1:67" x14ac:dyDescent="0.25">
      <c r="A284" t="s">
        <v>571</v>
      </c>
      <c r="B284" t="s">
        <v>120</v>
      </c>
      <c r="C284" t="s">
        <v>369</v>
      </c>
      <c r="D284" t="s">
        <v>122</v>
      </c>
      <c r="E284">
        <v>30</v>
      </c>
      <c r="F284" t="s">
        <v>241</v>
      </c>
      <c r="G284" t="s">
        <v>53</v>
      </c>
      <c r="H284" t="s">
        <v>54</v>
      </c>
      <c r="I284" t="s">
        <v>185</v>
      </c>
      <c r="J284" t="s">
        <v>186</v>
      </c>
      <c r="K284" t="s">
        <v>187</v>
      </c>
      <c r="L284" t="s">
        <v>174</v>
      </c>
      <c r="M284" t="s">
        <v>161</v>
      </c>
      <c r="N284" t="s">
        <v>265</v>
      </c>
      <c r="O284" t="s">
        <v>89</v>
      </c>
      <c r="P284" s="1">
        <v>44066</v>
      </c>
      <c r="Q284">
        <v>3.8</v>
      </c>
      <c r="R284" t="s">
        <v>150</v>
      </c>
      <c r="S284" t="s">
        <v>219</v>
      </c>
      <c r="T284" t="s">
        <v>220</v>
      </c>
      <c r="U284">
        <v>0</v>
      </c>
      <c r="V284">
        <v>0</v>
      </c>
      <c r="W284" s="2">
        <v>4739</v>
      </c>
      <c r="X284" s="2">
        <v>0</v>
      </c>
      <c r="Y284" s="2">
        <v>422</v>
      </c>
      <c r="Z284" s="2">
        <v>5161</v>
      </c>
      <c r="AA284">
        <v>365</v>
      </c>
      <c r="AB284" t="s">
        <v>65</v>
      </c>
      <c r="AC284">
        <v>14.7</v>
      </c>
      <c r="AD284">
        <v>49</v>
      </c>
      <c r="AE284">
        <v>73</v>
      </c>
      <c r="AF284" t="s">
        <v>112</v>
      </c>
      <c r="AG284">
        <v>23</v>
      </c>
      <c r="AH284" t="s">
        <v>113</v>
      </c>
      <c r="AI284" t="s">
        <v>177</v>
      </c>
      <c r="AJ284" t="s">
        <v>72</v>
      </c>
      <c r="AK284" t="s">
        <v>71</v>
      </c>
      <c r="AL284" t="s">
        <v>70</v>
      </c>
      <c r="AM284" t="s">
        <v>70</v>
      </c>
      <c r="AN284" t="s">
        <v>202</v>
      </c>
      <c r="AO284" t="s">
        <v>116</v>
      </c>
      <c r="AP284" t="s">
        <v>72</v>
      </c>
      <c r="AQ284" t="s">
        <v>98</v>
      </c>
      <c r="AR284" s="1">
        <v>45530</v>
      </c>
      <c r="AS284" t="s">
        <v>118</v>
      </c>
      <c r="AT284" t="s">
        <v>71</v>
      </c>
      <c r="AU284">
        <v>1248</v>
      </c>
      <c r="AV284" t="s">
        <v>76</v>
      </c>
      <c r="AW284" s="3">
        <v>61932</v>
      </c>
      <c r="AX284" t="s">
        <v>803</v>
      </c>
      <c r="AY284" t="s">
        <v>809</v>
      </c>
      <c r="AZ284" t="s">
        <v>76</v>
      </c>
      <c r="BA284" t="s">
        <v>800</v>
      </c>
      <c r="BB284" t="s">
        <v>801</v>
      </c>
      <c r="BC284" t="s">
        <v>802</v>
      </c>
      <c r="BD284" s="3">
        <v>7.0722728153458633E-2</v>
      </c>
      <c r="BE284">
        <v>421.4</v>
      </c>
      <c r="BG284" s="2">
        <f t="shared" si="19"/>
        <v>61932</v>
      </c>
      <c r="BH284" t="str" cm="1">
        <f t="array" ref="BH284">_xlfn.IFS(Q284&lt;5,"0-5 Years",Q284&lt;10,"5-10 Years",Q284&lt;15,"10-15 Years",TRUE,"15+ Years")</f>
        <v>0-5 Years</v>
      </c>
      <c r="BI284" t="str" cm="1">
        <f t="array" ref="BI284">_xlfn.IFS(AA284&gt;=540,"A",AA284&gt;=480,"B",AA284&gt;=420,"C",AA284&gt;=360,"D",TRUE,"F")</f>
        <v>D</v>
      </c>
      <c r="BJ284" t="str" cm="1">
        <f t="array" ref="BJ284">_xlfn.IFS(AU284&lt;0,"Separated",AU284&lt;=90,"High Risk",AU284&lt;=180,"Medium Risk",TRUE,"Retained")</f>
        <v>Retained</v>
      </c>
      <c r="BK284" t="str" cm="1">
        <f t="array" ref="BK284">_xlfn.IFS(V284=0,"No Combat",V284=1,"1 Tour",V284=2,"2 Tours",TRUE,"3+ Tours")</f>
        <v>No Combat</v>
      </c>
      <c r="BL284" t="str">
        <f t="shared" si="20"/>
        <v>Standard</v>
      </c>
      <c r="BM284" t="str">
        <f t="shared" si="21"/>
        <v>Not Ready</v>
      </c>
      <c r="BN284" s="3">
        <f t="shared" si="22"/>
        <v>7.0722728153458633E-2</v>
      </c>
      <c r="BO284">
        <f t="shared" si="23"/>
        <v>421.4</v>
      </c>
    </row>
    <row r="285" spans="1:67" x14ac:dyDescent="0.25">
      <c r="A285" t="s">
        <v>572</v>
      </c>
      <c r="B285" t="s">
        <v>190</v>
      </c>
      <c r="C285" t="s">
        <v>252</v>
      </c>
      <c r="D285" t="s">
        <v>51</v>
      </c>
      <c r="E285">
        <v>42</v>
      </c>
      <c r="F285" t="s">
        <v>52</v>
      </c>
      <c r="G285" t="s">
        <v>156</v>
      </c>
      <c r="H285" t="s">
        <v>157</v>
      </c>
      <c r="I285" t="s">
        <v>225</v>
      </c>
      <c r="J285" t="s">
        <v>226</v>
      </c>
      <c r="K285" t="s">
        <v>105</v>
      </c>
      <c r="L285" t="s">
        <v>86</v>
      </c>
      <c r="M285" t="s">
        <v>59</v>
      </c>
      <c r="N285" t="s">
        <v>162</v>
      </c>
      <c r="O285" t="s">
        <v>89</v>
      </c>
      <c r="P285" s="1">
        <v>39248</v>
      </c>
      <c r="Q285">
        <v>17</v>
      </c>
      <c r="R285" t="s">
        <v>90</v>
      </c>
      <c r="S285" t="s">
        <v>219</v>
      </c>
      <c r="T285" t="s">
        <v>220</v>
      </c>
      <c r="U285">
        <v>0</v>
      </c>
      <c r="V285">
        <v>0</v>
      </c>
      <c r="W285" s="2">
        <v>4836</v>
      </c>
      <c r="X285" s="2">
        <v>1972</v>
      </c>
      <c r="Y285" s="2">
        <v>266</v>
      </c>
      <c r="Z285" s="2">
        <v>7074</v>
      </c>
      <c r="AA285">
        <v>397</v>
      </c>
      <c r="AB285" t="s">
        <v>65</v>
      </c>
      <c r="AC285">
        <v>19.399999999999999</v>
      </c>
      <c r="AD285">
        <v>37</v>
      </c>
      <c r="AE285">
        <v>77</v>
      </c>
      <c r="AF285" t="s">
        <v>132</v>
      </c>
      <c r="AG285">
        <v>38</v>
      </c>
      <c r="AH285" t="s">
        <v>94</v>
      </c>
      <c r="AI285" t="s">
        <v>152</v>
      </c>
      <c r="AJ285" t="s">
        <v>69</v>
      </c>
      <c r="AK285" t="s">
        <v>71</v>
      </c>
      <c r="AL285" t="s">
        <v>71</v>
      </c>
      <c r="AM285" t="s">
        <v>71</v>
      </c>
      <c r="AN285" t="s">
        <v>133</v>
      </c>
      <c r="AO285" t="s">
        <v>134</v>
      </c>
      <c r="AP285" t="s">
        <v>72</v>
      </c>
      <c r="AQ285" t="s">
        <v>98</v>
      </c>
      <c r="AR285" s="1">
        <v>42613</v>
      </c>
      <c r="AS285" t="s">
        <v>198</v>
      </c>
      <c r="AT285" t="s">
        <v>71</v>
      </c>
      <c r="AU285">
        <v>198</v>
      </c>
      <c r="AV285" t="s">
        <v>76</v>
      </c>
      <c r="AW285" s="3">
        <v>84888</v>
      </c>
      <c r="AX285" t="s">
        <v>798</v>
      </c>
      <c r="AY285" t="s">
        <v>809</v>
      </c>
      <c r="AZ285" t="s">
        <v>76</v>
      </c>
      <c r="BA285" t="s">
        <v>800</v>
      </c>
      <c r="BB285" t="s">
        <v>801</v>
      </c>
      <c r="BC285" t="s">
        <v>802</v>
      </c>
      <c r="BD285" s="3">
        <v>5.6121006502685894E-2</v>
      </c>
      <c r="BE285">
        <v>513.4</v>
      </c>
      <c r="BG285" s="2">
        <f t="shared" si="19"/>
        <v>84888</v>
      </c>
      <c r="BH285" t="str" cm="1">
        <f t="array" ref="BH285">_xlfn.IFS(Q285&lt;5,"0-5 Years",Q285&lt;10,"5-10 Years",Q285&lt;15,"10-15 Years",TRUE,"15+ Years")</f>
        <v>15+ Years</v>
      </c>
      <c r="BI285" t="str" cm="1">
        <f t="array" ref="BI285">_xlfn.IFS(AA285&gt;=540,"A",AA285&gt;=480,"B",AA285&gt;=420,"C",AA285&gt;=360,"D",TRUE,"F")</f>
        <v>D</v>
      </c>
      <c r="BJ285" t="str" cm="1">
        <f t="array" ref="BJ285">_xlfn.IFS(AU285&lt;0,"Separated",AU285&lt;=90,"High Risk",AU285&lt;=180,"Medium Risk",TRUE,"Retained")</f>
        <v>Retained</v>
      </c>
      <c r="BK285" t="str" cm="1">
        <f t="array" ref="BK285">_xlfn.IFS(V285=0,"No Combat",V285=1,"1 Tour",V285=2,"2 Tours",TRUE,"3+ Tours")</f>
        <v>No Combat</v>
      </c>
      <c r="BL285" t="str">
        <f t="shared" si="20"/>
        <v>Standard</v>
      </c>
      <c r="BM285" t="str">
        <f t="shared" si="21"/>
        <v>Not Ready</v>
      </c>
      <c r="BN285" s="3">
        <f t="shared" si="22"/>
        <v>5.6121006502685894E-2</v>
      </c>
      <c r="BO285">
        <f t="shared" si="23"/>
        <v>513.4</v>
      </c>
    </row>
    <row r="286" spans="1:67" x14ac:dyDescent="0.25">
      <c r="A286" t="s">
        <v>573</v>
      </c>
      <c r="B286" t="s">
        <v>181</v>
      </c>
      <c r="C286" t="s">
        <v>332</v>
      </c>
      <c r="D286" t="s">
        <v>51</v>
      </c>
      <c r="E286">
        <v>30</v>
      </c>
      <c r="F286" t="s">
        <v>311</v>
      </c>
      <c r="G286" t="s">
        <v>124</v>
      </c>
      <c r="H286" t="s">
        <v>125</v>
      </c>
      <c r="I286" t="s">
        <v>55</v>
      </c>
      <c r="J286" t="s">
        <v>56</v>
      </c>
      <c r="K286" t="s">
        <v>57</v>
      </c>
      <c r="L286" t="s">
        <v>126</v>
      </c>
      <c r="M286" t="s">
        <v>275</v>
      </c>
      <c r="N286" t="s">
        <v>148</v>
      </c>
      <c r="O286" t="s">
        <v>89</v>
      </c>
      <c r="P286" s="1">
        <v>42044</v>
      </c>
      <c r="Q286">
        <v>9.3000000000000007</v>
      </c>
      <c r="R286" t="s">
        <v>90</v>
      </c>
      <c r="S286" t="s">
        <v>63</v>
      </c>
      <c r="T286" t="s">
        <v>64</v>
      </c>
      <c r="U286">
        <v>0</v>
      </c>
      <c r="V286">
        <v>0</v>
      </c>
      <c r="W286" s="2">
        <v>2730</v>
      </c>
      <c r="X286" s="2">
        <v>0</v>
      </c>
      <c r="Y286" s="2">
        <v>422</v>
      </c>
      <c r="Z286" s="2">
        <v>3152</v>
      </c>
      <c r="AA286">
        <v>388</v>
      </c>
      <c r="AB286" t="s">
        <v>65</v>
      </c>
      <c r="AC286">
        <v>14.2</v>
      </c>
      <c r="AD286">
        <v>67</v>
      </c>
      <c r="AE286">
        <v>41</v>
      </c>
      <c r="AF286" t="s">
        <v>112</v>
      </c>
      <c r="AG286">
        <v>29</v>
      </c>
      <c r="AH286" t="s">
        <v>113</v>
      </c>
      <c r="AI286" t="s">
        <v>68</v>
      </c>
      <c r="AJ286" t="s">
        <v>188</v>
      </c>
      <c r="AK286" t="s">
        <v>71</v>
      </c>
      <c r="AL286" t="s">
        <v>70</v>
      </c>
      <c r="AM286" t="s">
        <v>71</v>
      </c>
      <c r="AN286" t="s">
        <v>72</v>
      </c>
      <c r="AO286" t="s">
        <v>287</v>
      </c>
      <c r="AP286" t="s">
        <v>116</v>
      </c>
      <c r="AQ286" t="s">
        <v>136</v>
      </c>
      <c r="AR286" s="1">
        <v>44403</v>
      </c>
      <c r="AS286" t="s">
        <v>137</v>
      </c>
      <c r="AT286" t="s">
        <v>71</v>
      </c>
      <c r="AU286">
        <v>461</v>
      </c>
      <c r="AV286" t="s">
        <v>76</v>
      </c>
      <c r="AW286" s="3">
        <v>37824</v>
      </c>
      <c r="AX286" t="s">
        <v>808</v>
      </c>
      <c r="AY286" t="s">
        <v>809</v>
      </c>
      <c r="AZ286" t="s">
        <v>76</v>
      </c>
      <c r="BA286" t="s">
        <v>800</v>
      </c>
      <c r="BB286" t="s">
        <v>801</v>
      </c>
      <c r="BC286" t="s">
        <v>802</v>
      </c>
      <c r="BD286" s="3">
        <v>0.12309644670050761</v>
      </c>
      <c r="BE286">
        <v>476.4</v>
      </c>
      <c r="BG286" s="2">
        <f t="shared" si="19"/>
        <v>37824</v>
      </c>
      <c r="BH286" t="str" cm="1">
        <f t="array" ref="BH286">_xlfn.IFS(Q286&lt;5,"0-5 Years",Q286&lt;10,"5-10 Years",Q286&lt;15,"10-15 Years",TRUE,"15+ Years")</f>
        <v>5-10 Years</v>
      </c>
      <c r="BI286" t="str" cm="1">
        <f t="array" ref="BI286">_xlfn.IFS(AA286&gt;=540,"A",AA286&gt;=480,"B",AA286&gt;=420,"C",AA286&gt;=360,"D",TRUE,"F")</f>
        <v>D</v>
      </c>
      <c r="BJ286" t="str" cm="1">
        <f t="array" ref="BJ286">_xlfn.IFS(AU286&lt;0,"Separated",AU286&lt;=90,"High Risk",AU286&lt;=180,"Medium Risk",TRUE,"Retained")</f>
        <v>Retained</v>
      </c>
      <c r="BK286" t="str" cm="1">
        <f t="array" ref="BK286">_xlfn.IFS(V286=0,"No Combat",V286=1,"1 Tour",V286=2,"2 Tours",TRUE,"3+ Tours")</f>
        <v>No Combat</v>
      </c>
      <c r="BL286" t="str">
        <f t="shared" si="20"/>
        <v>Standard</v>
      </c>
      <c r="BM286" t="str">
        <f t="shared" si="21"/>
        <v>Not Ready</v>
      </c>
      <c r="BN286" s="3">
        <f t="shared" si="22"/>
        <v>0.12309644670050761</v>
      </c>
      <c r="BO286">
        <f t="shared" si="23"/>
        <v>476.4</v>
      </c>
    </row>
    <row r="287" spans="1:67" x14ac:dyDescent="0.25">
      <c r="A287" t="s">
        <v>574</v>
      </c>
      <c r="B287" t="s">
        <v>210</v>
      </c>
      <c r="C287" t="s">
        <v>230</v>
      </c>
      <c r="D287" t="s">
        <v>122</v>
      </c>
      <c r="E287">
        <v>29</v>
      </c>
      <c r="F287" t="s">
        <v>291</v>
      </c>
      <c r="G287" t="s">
        <v>81</v>
      </c>
      <c r="H287" t="s">
        <v>82</v>
      </c>
      <c r="I287" t="s">
        <v>268</v>
      </c>
      <c r="J287" t="s">
        <v>269</v>
      </c>
      <c r="K287" t="s">
        <v>173</v>
      </c>
      <c r="L287" t="s">
        <v>174</v>
      </c>
      <c r="M287" t="s">
        <v>207</v>
      </c>
      <c r="N287" t="s">
        <v>128</v>
      </c>
      <c r="O287" t="s">
        <v>89</v>
      </c>
      <c r="P287" s="1">
        <v>43803</v>
      </c>
      <c r="Q287">
        <v>4.5</v>
      </c>
      <c r="R287" t="s">
        <v>195</v>
      </c>
      <c r="S287" t="s">
        <v>63</v>
      </c>
      <c r="T287" t="s">
        <v>64</v>
      </c>
      <c r="U287">
        <v>0</v>
      </c>
      <c r="V287">
        <v>0</v>
      </c>
      <c r="W287" s="2">
        <v>2504</v>
      </c>
      <c r="X287" s="2">
        <v>0</v>
      </c>
      <c r="Y287" s="2">
        <v>422</v>
      </c>
      <c r="Z287" s="2">
        <v>2926</v>
      </c>
      <c r="AA287">
        <v>482</v>
      </c>
      <c r="AB287" t="s">
        <v>65</v>
      </c>
      <c r="AC287">
        <v>14.3</v>
      </c>
      <c r="AD287">
        <v>70</v>
      </c>
      <c r="AE287">
        <v>30</v>
      </c>
      <c r="AF287" t="s">
        <v>112</v>
      </c>
      <c r="AG287">
        <v>31</v>
      </c>
      <c r="AH287" t="s">
        <v>67</v>
      </c>
      <c r="AI287" t="s">
        <v>95</v>
      </c>
      <c r="AJ287" t="s">
        <v>96</v>
      </c>
      <c r="AK287" t="s">
        <v>70</v>
      </c>
      <c r="AL287" t="s">
        <v>70</v>
      </c>
      <c r="AM287" t="s">
        <v>70</v>
      </c>
      <c r="AN287" t="s">
        <v>243</v>
      </c>
      <c r="AO287" t="s">
        <v>287</v>
      </c>
      <c r="AP287" t="s">
        <v>116</v>
      </c>
      <c r="AQ287" t="s">
        <v>74</v>
      </c>
      <c r="AR287" s="1">
        <v>43876</v>
      </c>
      <c r="AS287" t="s">
        <v>137</v>
      </c>
      <c r="AT287" t="s">
        <v>71</v>
      </c>
      <c r="AU287">
        <v>-488</v>
      </c>
      <c r="AV287" t="s">
        <v>179</v>
      </c>
      <c r="AW287" s="3">
        <v>35112</v>
      </c>
      <c r="AX287" t="s">
        <v>803</v>
      </c>
      <c r="AY287" t="s">
        <v>806</v>
      </c>
      <c r="AZ287" t="s">
        <v>810</v>
      </c>
      <c r="BA287" t="s">
        <v>800</v>
      </c>
      <c r="BB287" t="s">
        <v>801</v>
      </c>
      <c r="BC287" t="s">
        <v>802</v>
      </c>
      <c r="BD287" s="3">
        <v>0.16473000683527</v>
      </c>
      <c r="BE287">
        <v>544.4</v>
      </c>
      <c r="BG287" s="2">
        <f t="shared" si="19"/>
        <v>35112</v>
      </c>
      <c r="BH287" t="str" cm="1">
        <f t="array" ref="BH287">_xlfn.IFS(Q287&lt;5,"0-5 Years",Q287&lt;10,"5-10 Years",Q287&lt;15,"10-15 Years",TRUE,"15+ Years")</f>
        <v>0-5 Years</v>
      </c>
      <c r="BI287" t="str" cm="1">
        <f t="array" ref="BI287">_xlfn.IFS(AA287&gt;=540,"A",AA287&gt;=480,"B",AA287&gt;=420,"C",AA287&gt;=360,"D",TRUE,"F")</f>
        <v>B</v>
      </c>
      <c r="BJ287" t="str" cm="1">
        <f t="array" ref="BJ287">_xlfn.IFS(AU287&lt;0,"Separated",AU287&lt;=90,"High Risk",AU287&lt;=180,"Medium Risk",TRUE,"Retained")</f>
        <v>Separated</v>
      </c>
      <c r="BK287" t="str" cm="1">
        <f t="array" ref="BK287">_xlfn.IFS(V287=0,"No Combat",V287=1,"1 Tour",V287=2,"2 Tours",TRUE,"3+ Tours")</f>
        <v>No Combat</v>
      </c>
      <c r="BL287" t="str">
        <f t="shared" si="20"/>
        <v>Standard</v>
      </c>
      <c r="BM287" t="str">
        <f t="shared" si="21"/>
        <v>Not Ready</v>
      </c>
      <c r="BN287" s="3">
        <f t="shared" si="22"/>
        <v>0.16473000683527</v>
      </c>
      <c r="BO287">
        <f t="shared" si="23"/>
        <v>544.4</v>
      </c>
    </row>
    <row r="288" spans="1:67" x14ac:dyDescent="0.25">
      <c r="A288" t="s">
        <v>575</v>
      </c>
      <c r="B288" t="s">
        <v>78</v>
      </c>
      <c r="C288" t="s">
        <v>313</v>
      </c>
      <c r="D288" t="s">
        <v>122</v>
      </c>
      <c r="E288">
        <v>39</v>
      </c>
      <c r="F288" t="s">
        <v>278</v>
      </c>
      <c r="G288" t="s">
        <v>124</v>
      </c>
      <c r="H288" t="s">
        <v>125</v>
      </c>
      <c r="I288" t="s">
        <v>268</v>
      </c>
      <c r="J288" t="s">
        <v>269</v>
      </c>
      <c r="K288" t="s">
        <v>173</v>
      </c>
      <c r="L288" t="s">
        <v>201</v>
      </c>
      <c r="M288" t="s">
        <v>127</v>
      </c>
      <c r="N288" t="s">
        <v>128</v>
      </c>
      <c r="O288" t="s">
        <v>61</v>
      </c>
      <c r="P288" s="1">
        <v>40642</v>
      </c>
      <c r="Q288">
        <v>13.1</v>
      </c>
      <c r="R288" t="s">
        <v>150</v>
      </c>
      <c r="S288" t="s">
        <v>219</v>
      </c>
      <c r="T288" t="s">
        <v>220</v>
      </c>
      <c r="U288">
        <v>0</v>
      </c>
      <c r="V288">
        <v>0</v>
      </c>
      <c r="W288" s="2">
        <v>2730</v>
      </c>
      <c r="X288" s="2">
        <v>1309</v>
      </c>
      <c r="Y288" s="2">
        <v>422</v>
      </c>
      <c r="Z288" s="2">
        <v>4461</v>
      </c>
      <c r="AA288">
        <v>533</v>
      </c>
      <c r="AB288" t="s">
        <v>65</v>
      </c>
      <c r="AC288">
        <v>16.3</v>
      </c>
      <c r="AD288">
        <v>63</v>
      </c>
      <c r="AE288">
        <v>72</v>
      </c>
      <c r="AF288" t="s">
        <v>132</v>
      </c>
      <c r="AG288">
        <v>37</v>
      </c>
      <c r="AH288" t="s">
        <v>94</v>
      </c>
      <c r="AI288" t="s">
        <v>114</v>
      </c>
      <c r="AJ288" t="s">
        <v>96</v>
      </c>
      <c r="AK288" t="s">
        <v>71</v>
      </c>
      <c r="AL288" t="s">
        <v>70</v>
      </c>
      <c r="AM288" t="s">
        <v>70</v>
      </c>
      <c r="AN288" t="s">
        <v>115</v>
      </c>
      <c r="AO288" t="s">
        <v>73</v>
      </c>
      <c r="AP288" t="s">
        <v>72</v>
      </c>
      <c r="AQ288" t="s">
        <v>117</v>
      </c>
      <c r="AR288" s="1">
        <v>41210</v>
      </c>
      <c r="AS288" t="s">
        <v>198</v>
      </c>
      <c r="AT288" t="s">
        <v>71</v>
      </c>
      <c r="AU288">
        <v>926</v>
      </c>
      <c r="AV288" t="s">
        <v>76</v>
      </c>
      <c r="AW288" s="3">
        <v>53532</v>
      </c>
      <c r="AX288" t="s">
        <v>805</v>
      </c>
      <c r="AY288" t="s">
        <v>806</v>
      </c>
      <c r="AZ288" t="s">
        <v>76</v>
      </c>
      <c r="BA288" t="s">
        <v>800</v>
      </c>
      <c r="BB288" t="s">
        <v>801</v>
      </c>
      <c r="BC288" t="s">
        <v>802</v>
      </c>
      <c r="BD288" s="3">
        <v>0.11947993723380408</v>
      </c>
      <c r="BE288">
        <v>617.4</v>
      </c>
      <c r="BG288" s="2">
        <f t="shared" si="19"/>
        <v>53532</v>
      </c>
      <c r="BH288" t="str" cm="1">
        <f t="array" ref="BH288">_xlfn.IFS(Q288&lt;5,"0-5 Years",Q288&lt;10,"5-10 Years",Q288&lt;15,"10-15 Years",TRUE,"15+ Years")</f>
        <v>10-15 Years</v>
      </c>
      <c r="BI288" t="str" cm="1">
        <f t="array" ref="BI288">_xlfn.IFS(AA288&gt;=540,"A",AA288&gt;=480,"B",AA288&gt;=420,"C",AA288&gt;=360,"D",TRUE,"F")</f>
        <v>B</v>
      </c>
      <c r="BJ288" t="str" cm="1">
        <f t="array" ref="BJ288">_xlfn.IFS(AU288&lt;0,"Separated",AU288&lt;=90,"High Risk",AU288&lt;=180,"Medium Risk",TRUE,"Retained")</f>
        <v>Retained</v>
      </c>
      <c r="BK288" t="str" cm="1">
        <f t="array" ref="BK288">_xlfn.IFS(V288=0,"No Combat",V288=1,"1 Tour",V288=2,"2 Tours",TRUE,"3+ Tours")</f>
        <v>No Combat</v>
      </c>
      <c r="BL288" t="str">
        <f t="shared" si="20"/>
        <v>Standard</v>
      </c>
      <c r="BM288" t="str">
        <f t="shared" si="21"/>
        <v>Not Ready</v>
      </c>
      <c r="BN288" s="3">
        <f t="shared" si="22"/>
        <v>0.11947993723380408</v>
      </c>
      <c r="BO288">
        <f t="shared" si="23"/>
        <v>617.4</v>
      </c>
    </row>
    <row r="289" spans="1:67" x14ac:dyDescent="0.25">
      <c r="A289" t="s">
        <v>576</v>
      </c>
      <c r="B289" t="s">
        <v>210</v>
      </c>
      <c r="C289" t="s">
        <v>230</v>
      </c>
      <c r="D289" t="s">
        <v>122</v>
      </c>
      <c r="E289">
        <v>21</v>
      </c>
      <c r="F289" t="s">
        <v>52</v>
      </c>
      <c r="G289" t="s">
        <v>81</v>
      </c>
      <c r="H289" t="s">
        <v>82</v>
      </c>
      <c r="I289" t="s">
        <v>260</v>
      </c>
      <c r="J289" t="s">
        <v>261</v>
      </c>
      <c r="K289" t="s">
        <v>173</v>
      </c>
      <c r="L289" t="s">
        <v>126</v>
      </c>
      <c r="M289" t="s">
        <v>207</v>
      </c>
      <c r="N289" t="s">
        <v>148</v>
      </c>
      <c r="O289" t="s">
        <v>149</v>
      </c>
      <c r="P289" s="1">
        <v>44185</v>
      </c>
      <c r="Q289">
        <v>3.4</v>
      </c>
      <c r="R289" t="s">
        <v>62</v>
      </c>
      <c r="S289" t="s">
        <v>130</v>
      </c>
      <c r="T289" t="s">
        <v>131</v>
      </c>
      <c r="U289">
        <v>1</v>
      </c>
      <c r="V289">
        <v>0</v>
      </c>
      <c r="W289" s="2">
        <v>2504</v>
      </c>
      <c r="X289" s="2">
        <v>1061</v>
      </c>
      <c r="Y289" s="2">
        <v>422</v>
      </c>
      <c r="Z289" s="2">
        <v>3987</v>
      </c>
      <c r="AA289">
        <v>570</v>
      </c>
      <c r="AB289" t="s">
        <v>65</v>
      </c>
      <c r="AC289">
        <v>19.3</v>
      </c>
      <c r="AD289">
        <v>39</v>
      </c>
      <c r="AE289">
        <v>73</v>
      </c>
      <c r="AF289" t="s">
        <v>132</v>
      </c>
      <c r="AG289">
        <v>21</v>
      </c>
      <c r="AH289" t="s">
        <v>113</v>
      </c>
      <c r="AI289" t="s">
        <v>177</v>
      </c>
      <c r="AJ289" t="s">
        <v>188</v>
      </c>
      <c r="AK289" t="s">
        <v>70</v>
      </c>
      <c r="AL289" t="s">
        <v>70</v>
      </c>
      <c r="AM289" t="s">
        <v>71</v>
      </c>
      <c r="AN289" t="s">
        <v>243</v>
      </c>
      <c r="AO289" t="s">
        <v>287</v>
      </c>
      <c r="AP289" t="s">
        <v>287</v>
      </c>
      <c r="AQ289" t="s">
        <v>98</v>
      </c>
      <c r="AR289" s="1">
        <v>44616</v>
      </c>
      <c r="AS289" t="s">
        <v>118</v>
      </c>
      <c r="AT289" t="s">
        <v>71</v>
      </c>
      <c r="AU289">
        <v>648</v>
      </c>
      <c r="AV289" t="s">
        <v>76</v>
      </c>
      <c r="AW289" s="3">
        <v>47844</v>
      </c>
      <c r="AX289" t="s">
        <v>803</v>
      </c>
      <c r="AY289" t="s">
        <v>799</v>
      </c>
      <c r="AZ289" t="s">
        <v>76</v>
      </c>
      <c r="BA289" t="s">
        <v>800</v>
      </c>
      <c r="BB289" t="s">
        <v>801</v>
      </c>
      <c r="BC289" t="s">
        <v>802</v>
      </c>
      <c r="BD289" s="3">
        <v>0.14296463506395787</v>
      </c>
      <c r="BE289">
        <v>632.4</v>
      </c>
      <c r="BG289" s="2">
        <f t="shared" si="19"/>
        <v>47844</v>
      </c>
      <c r="BH289" t="str" cm="1">
        <f t="array" ref="BH289">_xlfn.IFS(Q289&lt;5,"0-5 Years",Q289&lt;10,"5-10 Years",Q289&lt;15,"10-15 Years",TRUE,"15+ Years")</f>
        <v>0-5 Years</v>
      </c>
      <c r="BI289" t="str" cm="1">
        <f t="array" ref="BI289">_xlfn.IFS(AA289&gt;=540,"A",AA289&gt;=480,"B",AA289&gt;=420,"C",AA289&gt;=360,"D",TRUE,"F")</f>
        <v>A</v>
      </c>
      <c r="BJ289" t="str" cm="1">
        <f t="array" ref="BJ289">_xlfn.IFS(AU289&lt;0,"Separated",AU289&lt;=90,"High Risk",AU289&lt;=180,"Medium Risk",TRUE,"Retained")</f>
        <v>Retained</v>
      </c>
      <c r="BK289" t="str" cm="1">
        <f t="array" ref="BK289">_xlfn.IFS(V289=0,"No Combat",V289=1,"1 Tour",V289=2,"2 Tours",TRUE,"3+ Tours")</f>
        <v>No Combat</v>
      </c>
      <c r="BL289" t="str">
        <f t="shared" si="20"/>
        <v>Standard</v>
      </c>
      <c r="BM289" t="str">
        <f t="shared" si="21"/>
        <v>Not Ready</v>
      </c>
      <c r="BN289" s="3">
        <f t="shared" si="22"/>
        <v>0.14296463506395787</v>
      </c>
      <c r="BO289">
        <f t="shared" si="23"/>
        <v>632.4</v>
      </c>
    </row>
    <row r="290" spans="1:67" x14ac:dyDescent="0.25">
      <c r="A290" t="s">
        <v>577</v>
      </c>
      <c r="B290" t="s">
        <v>210</v>
      </c>
      <c r="C290" t="s">
        <v>272</v>
      </c>
      <c r="D290" t="s">
        <v>51</v>
      </c>
      <c r="E290">
        <v>21</v>
      </c>
      <c r="F290" t="s">
        <v>224</v>
      </c>
      <c r="G290" t="s">
        <v>285</v>
      </c>
      <c r="H290" t="s">
        <v>286</v>
      </c>
      <c r="I290" t="s">
        <v>236</v>
      </c>
      <c r="J290" t="s">
        <v>237</v>
      </c>
      <c r="K290" t="s">
        <v>238</v>
      </c>
      <c r="L290" t="s">
        <v>106</v>
      </c>
      <c r="M290" t="s">
        <v>127</v>
      </c>
      <c r="N290" t="s">
        <v>265</v>
      </c>
      <c r="O290" t="s">
        <v>149</v>
      </c>
      <c r="P290" s="1">
        <v>42731</v>
      </c>
      <c r="Q290">
        <v>7.4</v>
      </c>
      <c r="R290" t="s">
        <v>129</v>
      </c>
      <c r="S290" t="s">
        <v>219</v>
      </c>
      <c r="T290" t="s">
        <v>220</v>
      </c>
      <c r="U290">
        <v>0</v>
      </c>
      <c r="V290">
        <v>0</v>
      </c>
      <c r="W290" s="2">
        <v>7668</v>
      </c>
      <c r="X290" s="2">
        <v>0</v>
      </c>
      <c r="Y290" s="2">
        <v>266</v>
      </c>
      <c r="Z290" s="2">
        <v>7934</v>
      </c>
      <c r="AA290">
        <v>584</v>
      </c>
      <c r="AB290" t="s">
        <v>65</v>
      </c>
      <c r="AC290">
        <v>19.3</v>
      </c>
      <c r="AD290">
        <v>41</v>
      </c>
      <c r="AE290">
        <v>44</v>
      </c>
      <c r="AF290" t="s">
        <v>66</v>
      </c>
      <c r="AG290">
        <v>36</v>
      </c>
      <c r="AH290" t="s">
        <v>94</v>
      </c>
      <c r="AI290" t="s">
        <v>177</v>
      </c>
      <c r="AJ290" t="s">
        <v>69</v>
      </c>
      <c r="AK290" t="s">
        <v>70</v>
      </c>
      <c r="AL290" t="s">
        <v>71</v>
      </c>
      <c r="AM290" t="s">
        <v>70</v>
      </c>
      <c r="AN290" t="s">
        <v>72</v>
      </c>
      <c r="AO290" t="s">
        <v>221</v>
      </c>
      <c r="AP290" t="s">
        <v>72</v>
      </c>
      <c r="AQ290" t="s">
        <v>74</v>
      </c>
      <c r="AR290" s="1">
        <v>45403</v>
      </c>
      <c r="AS290" t="s">
        <v>137</v>
      </c>
      <c r="AT290" t="s">
        <v>71</v>
      </c>
      <c r="AU290">
        <v>270</v>
      </c>
      <c r="AV290" t="s">
        <v>76</v>
      </c>
      <c r="AW290" s="3">
        <v>95208</v>
      </c>
      <c r="AX290" t="s">
        <v>808</v>
      </c>
      <c r="AY290" t="s">
        <v>799</v>
      </c>
      <c r="AZ290" t="s">
        <v>76</v>
      </c>
      <c r="BA290" t="s">
        <v>800</v>
      </c>
      <c r="BB290" t="s">
        <v>814</v>
      </c>
      <c r="BC290" t="s">
        <v>802</v>
      </c>
      <c r="BD290" s="3">
        <v>7.3607259894126545E-2</v>
      </c>
      <c r="BE290">
        <v>666.4</v>
      </c>
      <c r="BG290" s="2">
        <f t="shared" si="19"/>
        <v>95208</v>
      </c>
      <c r="BH290" t="str" cm="1">
        <f t="array" ref="BH290">_xlfn.IFS(Q290&lt;5,"0-5 Years",Q290&lt;10,"5-10 Years",Q290&lt;15,"10-15 Years",TRUE,"15+ Years")</f>
        <v>5-10 Years</v>
      </c>
      <c r="BI290" t="str" cm="1">
        <f t="array" ref="BI290">_xlfn.IFS(AA290&gt;=540,"A",AA290&gt;=480,"B",AA290&gt;=420,"C",AA290&gt;=360,"D",TRUE,"F")</f>
        <v>A</v>
      </c>
      <c r="BJ290" t="str" cm="1">
        <f t="array" ref="BJ290">_xlfn.IFS(AU290&lt;0,"Separated",AU290&lt;=90,"High Risk",AU290&lt;=180,"Medium Risk",TRUE,"Retained")</f>
        <v>Retained</v>
      </c>
      <c r="BK290" t="str" cm="1">
        <f t="array" ref="BK290">_xlfn.IFS(V290=0,"No Combat",V290=1,"1 Tour",V290=2,"2 Tours",TRUE,"3+ Tours")</f>
        <v>No Combat</v>
      </c>
      <c r="BL290" t="str">
        <f t="shared" si="20"/>
        <v>High Performer</v>
      </c>
      <c r="BM290" t="str">
        <f t="shared" si="21"/>
        <v>Not Ready</v>
      </c>
      <c r="BN290" s="3">
        <f t="shared" si="22"/>
        <v>7.3607259894126545E-2</v>
      </c>
      <c r="BO290">
        <f t="shared" si="23"/>
        <v>666.4</v>
      </c>
    </row>
    <row r="291" spans="1:67" x14ac:dyDescent="0.25">
      <c r="A291" t="s">
        <v>578</v>
      </c>
      <c r="B291" t="s">
        <v>377</v>
      </c>
      <c r="C291" t="s">
        <v>332</v>
      </c>
      <c r="D291" t="s">
        <v>51</v>
      </c>
      <c r="E291">
        <v>28</v>
      </c>
      <c r="F291" t="s">
        <v>192</v>
      </c>
      <c r="G291" t="s">
        <v>215</v>
      </c>
      <c r="H291" t="s">
        <v>216</v>
      </c>
      <c r="I291" t="s">
        <v>253</v>
      </c>
      <c r="J291" t="s">
        <v>254</v>
      </c>
      <c r="K291" t="s">
        <v>255</v>
      </c>
      <c r="L291" t="s">
        <v>201</v>
      </c>
      <c r="M291" t="s">
        <v>59</v>
      </c>
      <c r="N291" t="s">
        <v>60</v>
      </c>
      <c r="O291" t="s">
        <v>176</v>
      </c>
      <c r="P291" s="1">
        <v>38859</v>
      </c>
      <c r="Q291">
        <v>18</v>
      </c>
      <c r="R291" t="s">
        <v>150</v>
      </c>
      <c r="S291" t="s">
        <v>63</v>
      </c>
      <c r="T291" t="s">
        <v>64</v>
      </c>
      <c r="U291">
        <v>0</v>
      </c>
      <c r="V291">
        <v>0</v>
      </c>
      <c r="W291" s="2">
        <v>3637</v>
      </c>
      <c r="X291" s="2">
        <v>0</v>
      </c>
      <c r="Y291" s="2">
        <v>266</v>
      </c>
      <c r="Z291" s="2">
        <v>3903</v>
      </c>
      <c r="AA291">
        <v>453</v>
      </c>
      <c r="AB291" t="s">
        <v>65</v>
      </c>
      <c r="AC291">
        <v>19.7</v>
      </c>
      <c r="AD291">
        <v>82</v>
      </c>
      <c r="AE291">
        <v>57</v>
      </c>
      <c r="AF291" t="s">
        <v>112</v>
      </c>
      <c r="AG291">
        <v>37</v>
      </c>
      <c r="AH291" t="s">
        <v>94</v>
      </c>
      <c r="AI291" t="s">
        <v>68</v>
      </c>
      <c r="AJ291" t="s">
        <v>69</v>
      </c>
      <c r="AK291" t="s">
        <v>71</v>
      </c>
      <c r="AL291" t="s">
        <v>70</v>
      </c>
      <c r="AM291" t="s">
        <v>70</v>
      </c>
      <c r="AN291" t="s">
        <v>231</v>
      </c>
      <c r="AO291" t="s">
        <v>72</v>
      </c>
      <c r="AP291" t="s">
        <v>72</v>
      </c>
      <c r="AQ291" t="s">
        <v>98</v>
      </c>
      <c r="AR291" s="1">
        <v>39925</v>
      </c>
      <c r="AS291" t="s">
        <v>118</v>
      </c>
      <c r="AT291" t="s">
        <v>71</v>
      </c>
      <c r="AU291">
        <v>660</v>
      </c>
      <c r="AV291" t="s">
        <v>76</v>
      </c>
      <c r="AW291" s="3">
        <v>46836</v>
      </c>
      <c r="AX291" t="s">
        <v>798</v>
      </c>
      <c r="AY291" t="s">
        <v>804</v>
      </c>
      <c r="AZ291" t="s">
        <v>76</v>
      </c>
      <c r="BA291" t="s">
        <v>800</v>
      </c>
      <c r="BB291" t="s">
        <v>801</v>
      </c>
      <c r="BC291" t="s">
        <v>802</v>
      </c>
      <c r="BD291" s="3">
        <v>0.11606456571867795</v>
      </c>
      <c r="BE291">
        <v>537.4</v>
      </c>
      <c r="BG291" s="2">
        <f t="shared" si="19"/>
        <v>46836</v>
      </c>
      <c r="BH291" t="str" cm="1">
        <f t="array" ref="BH291">_xlfn.IFS(Q291&lt;5,"0-5 Years",Q291&lt;10,"5-10 Years",Q291&lt;15,"10-15 Years",TRUE,"15+ Years")</f>
        <v>15+ Years</v>
      </c>
      <c r="BI291" t="str" cm="1">
        <f t="array" ref="BI291">_xlfn.IFS(AA291&gt;=540,"A",AA291&gt;=480,"B",AA291&gt;=420,"C",AA291&gt;=360,"D",TRUE,"F")</f>
        <v>C</v>
      </c>
      <c r="BJ291" t="str" cm="1">
        <f t="array" ref="BJ291">_xlfn.IFS(AU291&lt;0,"Separated",AU291&lt;=90,"High Risk",AU291&lt;=180,"Medium Risk",TRUE,"Retained")</f>
        <v>Retained</v>
      </c>
      <c r="BK291" t="str" cm="1">
        <f t="array" ref="BK291">_xlfn.IFS(V291=0,"No Combat",V291=1,"1 Tour",V291=2,"2 Tours",TRUE,"3+ Tours")</f>
        <v>No Combat</v>
      </c>
      <c r="BL291" t="str">
        <f t="shared" si="20"/>
        <v>Standard</v>
      </c>
      <c r="BM291" t="str">
        <f t="shared" si="21"/>
        <v>Not Ready</v>
      </c>
      <c r="BN291" s="3">
        <f t="shared" si="22"/>
        <v>0.11606456571867795</v>
      </c>
      <c r="BO291">
        <f t="shared" si="23"/>
        <v>537.4</v>
      </c>
    </row>
    <row r="292" spans="1:67" x14ac:dyDescent="0.25">
      <c r="A292" t="s">
        <v>579</v>
      </c>
      <c r="B292" t="s">
        <v>100</v>
      </c>
      <c r="C292" t="s">
        <v>191</v>
      </c>
      <c r="D292" t="s">
        <v>51</v>
      </c>
      <c r="E292">
        <v>27</v>
      </c>
      <c r="F292" t="s">
        <v>123</v>
      </c>
      <c r="G292" t="s">
        <v>215</v>
      </c>
      <c r="H292" t="s">
        <v>216</v>
      </c>
      <c r="I292" t="s">
        <v>217</v>
      </c>
      <c r="J292" t="s">
        <v>218</v>
      </c>
      <c r="K292" t="s">
        <v>146</v>
      </c>
      <c r="L292" t="s">
        <v>201</v>
      </c>
      <c r="M292" t="s">
        <v>59</v>
      </c>
      <c r="N292" t="s">
        <v>60</v>
      </c>
      <c r="O292" t="s">
        <v>176</v>
      </c>
      <c r="P292" s="1">
        <v>44140</v>
      </c>
      <c r="Q292">
        <v>3.6</v>
      </c>
      <c r="R292" t="s">
        <v>129</v>
      </c>
      <c r="S292" t="s">
        <v>63</v>
      </c>
      <c r="T292" t="s">
        <v>64</v>
      </c>
      <c r="U292">
        <v>0</v>
      </c>
      <c r="V292">
        <v>0</v>
      </c>
      <c r="W292" s="2">
        <v>3637</v>
      </c>
      <c r="X292" s="2">
        <v>0</v>
      </c>
      <c r="Y292" s="2">
        <v>266</v>
      </c>
      <c r="Z292" s="2">
        <v>3903</v>
      </c>
      <c r="AA292">
        <v>320</v>
      </c>
      <c r="AB292" t="s">
        <v>151</v>
      </c>
      <c r="AC292">
        <v>16.7</v>
      </c>
      <c r="AD292">
        <v>65</v>
      </c>
      <c r="AE292">
        <v>54</v>
      </c>
      <c r="AF292" t="s">
        <v>112</v>
      </c>
      <c r="AG292">
        <v>20</v>
      </c>
      <c r="AH292" t="s">
        <v>113</v>
      </c>
      <c r="AI292" t="s">
        <v>177</v>
      </c>
      <c r="AJ292" t="s">
        <v>72</v>
      </c>
      <c r="AK292" t="s">
        <v>70</v>
      </c>
      <c r="AL292" t="s">
        <v>70</v>
      </c>
      <c r="AM292" t="s">
        <v>70</v>
      </c>
      <c r="AN292" t="s">
        <v>72</v>
      </c>
      <c r="AO292" t="s">
        <v>72</v>
      </c>
      <c r="AP292" t="s">
        <v>72</v>
      </c>
      <c r="AQ292" t="s">
        <v>98</v>
      </c>
      <c r="AR292" s="1">
        <v>45219</v>
      </c>
      <c r="AS292" t="s">
        <v>198</v>
      </c>
      <c r="AT292" t="s">
        <v>71</v>
      </c>
      <c r="AU292">
        <v>1439</v>
      </c>
      <c r="AV292" t="s">
        <v>76</v>
      </c>
      <c r="AW292" s="3">
        <v>46836</v>
      </c>
      <c r="AX292" t="s">
        <v>803</v>
      </c>
      <c r="AY292" t="s">
        <v>122</v>
      </c>
      <c r="AZ292" t="s">
        <v>76</v>
      </c>
      <c r="BA292" t="s">
        <v>800</v>
      </c>
      <c r="BB292" t="s">
        <v>801</v>
      </c>
      <c r="BC292" t="s">
        <v>802</v>
      </c>
      <c r="BD292" s="3">
        <v>8.1988214194209583E-2</v>
      </c>
      <c r="BE292">
        <v>360.4</v>
      </c>
      <c r="BG292" s="2">
        <f t="shared" si="19"/>
        <v>46836</v>
      </c>
      <c r="BH292" t="str" cm="1">
        <f t="array" ref="BH292">_xlfn.IFS(Q292&lt;5,"0-5 Years",Q292&lt;10,"5-10 Years",Q292&lt;15,"10-15 Years",TRUE,"15+ Years")</f>
        <v>0-5 Years</v>
      </c>
      <c r="BI292" t="str" cm="1">
        <f t="array" ref="BI292">_xlfn.IFS(AA292&gt;=540,"A",AA292&gt;=480,"B",AA292&gt;=420,"C",AA292&gt;=360,"D",TRUE,"F")</f>
        <v>F</v>
      </c>
      <c r="BJ292" t="str" cm="1">
        <f t="array" ref="BJ292">_xlfn.IFS(AU292&lt;0,"Separated",AU292&lt;=90,"High Risk",AU292&lt;=180,"Medium Risk",TRUE,"Retained")</f>
        <v>Retained</v>
      </c>
      <c r="BK292" t="str" cm="1">
        <f t="array" ref="BK292">_xlfn.IFS(V292=0,"No Combat",V292=1,"1 Tour",V292=2,"2 Tours",TRUE,"3+ Tours")</f>
        <v>No Combat</v>
      </c>
      <c r="BL292" t="str">
        <f t="shared" si="20"/>
        <v>Standard</v>
      </c>
      <c r="BM292" t="str">
        <f t="shared" si="21"/>
        <v>Not Ready</v>
      </c>
      <c r="BN292" s="3">
        <f t="shared" si="22"/>
        <v>8.1988214194209583E-2</v>
      </c>
      <c r="BO292">
        <f t="shared" si="23"/>
        <v>360.4</v>
      </c>
    </row>
    <row r="293" spans="1:67" x14ac:dyDescent="0.25">
      <c r="A293" t="s">
        <v>580</v>
      </c>
      <c r="B293" t="s">
        <v>78</v>
      </c>
      <c r="C293" t="s">
        <v>375</v>
      </c>
      <c r="D293" t="s">
        <v>51</v>
      </c>
      <c r="E293">
        <v>27</v>
      </c>
      <c r="F293" t="s">
        <v>192</v>
      </c>
      <c r="G293" t="s">
        <v>193</v>
      </c>
      <c r="H293" t="s">
        <v>194</v>
      </c>
      <c r="I293" t="s">
        <v>103</v>
      </c>
      <c r="J293" t="s">
        <v>104</v>
      </c>
      <c r="K293" t="s">
        <v>105</v>
      </c>
      <c r="L293" t="s">
        <v>106</v>
      </c>
      <c r="M293" t="s">
        <v>207</v>
      </c>
      <c r="N293" t="s">
        <v>88</v>
      </c>
      <c r="O293" t="s">
        <v>149</v>
      </c>
      <c r="P293" s="1">
        <v>44096</v>
      </c>
      <c r="Q293">
        <v>3.7</v>
      </c>
      <c r="R293" t="s">
        <v>208</v>
      </c>
      <c r="S293" t="s">
        <v>196</v>
      </c>
      <c r="T293" t="s">
        <v>197</v>
      </c>
      <c r="U293">
        <v>0</v>
      </c>
      <c r="V293">
        <v>0</v>
      </c>
      <c r="W293" s="2">
        <v>2259</v>
      </c>
      <c r="X293" s="2">
        <v>1922</v>
      </c>
      <c r="Y293" s="2">
        <v>422</v>
      </c>
      <c r="Z293" s="2">
        <v>4603</v>
      </c>
      <c r="AA293">
        <v>587</v>
      </c>
      <c r="AB293" t="s">
        <v>65</v>
      </c>
      <c r="AC293">
        <v>13.3</v>
      </c>
      <c r="AD293">
        <v>40</v>
      </c>
      <c r="AE293">
        <v>78</v>
      </c>
      <c r="AF293" t="s">
        <v>66</v>
      </c>
      <c r="AG293">
        <v>38</v>
      </c>
      <c r="AH293" t="s">
        <v>94</v>
      </c>
      <c r="AI293" t="s">
        <v>114</v>
      </c>
      <c r="AJ293" t="s">
        <v>188</v>
      </c>
      <c r="AK293" t="s">
        <v>70</v>
      </c>
      <c r="AL293" t="s">
        <v>70</v>
      </c>
      <c r="AM293" t="s">
        <v>70</v>
      </c>
      <c r="AN293" t="s">
        <v>202</v>
      </c>
      <c r="AO293" t="s">
        <v>134</v>
      </c>
      <c r="AP293" t="s">
        <v>72</v>
      </c>
      <c r="AQ293" t="s">
        <v>98</v>
      </c>
      <c r="AR293" s="1">
        <v>45336</v>
      </c>
      <c r="AS293" t="s">
        <v>118</v>
      </c>
      <c r="AT293" t="s">
        <v>71</v>
      </c>
      <c r="AU293">
        <v>-463</v>
      </c>
      <c r="AV293" t="s">
        <v>179</v>
      </c>
      <c r="AW293" s="3">
        <v>55236</v>
      </c>
      <c r="AX293" t="s">
        <v>803</v>
      </c>
      <c r="AY293" t="s">
        <v>799</v>
      </c>
      <c r="AZ293" t="s">
        <v>810</v>
      </c>
      <c r="BA293" t="s">
        <v>800</v>
      </c>
      <c r="BB293" t="s">
        <v>801</v>
      </c>
      <c r="BC293" t="s">
        <v>802</v>
      </c>
      <c r="BD293" s="3">
        <v>0.12752552683032806</v>
      </c>
      <c r="BE293">
        <v>663.4</v>
      </c>
      <c r="BG293" s="2">
        <f t="shared" si="19"/>
        <v>55236</v>
      </c>
      <c r="BH293" t="str" cm="1">
        <f t="array" ref="BH293">_xlfn.IFS(Q293&lt;5,"0-5 Years",Q293&lt;10,"5-10 Years",Q293&lt;15,"10-15 Years",TRUE,"15+ Years")</f>
        <v>0-5 Years</v>
      </c>
      <c r="BI293" t="str" cm="1">
        <f t="array" ref="BI293">_xlfn.IFS(AA293&gt;=540,"A",AA293&gt;=480,"B",AA293&gt;=420,"C",AA293&gt;=360,"D",TRUE,"F")</f>
        <v>A</v>
      </c>
      <c r="BJ293" t="str" cm="1">
        <f t="array" ref="BJ293">_xlfn.IFS(AU293&lt;0,"Separated",AU293&lt;=90,"High Risk",AU293&lt;=180,"Medium Risk",TRUE,"Retained")</f>
        <v>Separated</v>
      </c>
      <c r="BK293" t="str" cm="1">
        <f t="array" ref="BK293">_xlfn.IFS(V293=0,"No Combat",V293=1,"1 Tour",V293=2,"2 Tours",TRUE,"3+ Tours")</f>
        <v>No Combat</v>
      </c>
      <c r="BL293" t="str">
        <f t="shared" si="20"/>
        <v>Standard</v>
      </c>
      <c r="BM293" t="str">
        <f t="shared" si="21"/>
        <v>Not Ready</v>
      </c>
      <c r="BN293" s="3">
        <f t="shared" si="22"/>
        <v>0.12752552683032806</v>
      </c>
      <c r="BO293">
        <f t="shared" si="23"/>
        <v>663.4</v>
      </c>
    </row>
    <row r="294" spans="1:67" x14ac:dyDescent="0.25">
      <c r="A294" t="s">
        <v>581</v>
      </c>
      <c r="B294" t="s">
        <v>210</v>
      </c>
      <c r="C294" t="s">
        <v>140</v>
      </c>
      <c r="D294" t="s">
        <v>51</v>
      </c>
      <c r="E294">
        <v>40</v>
      </c>
      <c r="F294" t="s">
        <v>305</v>
      </c>
      <c r="G294" t="s">
        <v>124</v>
      </c>
      <c r="H294" t="s">
        <v>125</v>
      </c>
      <c r="I294" t="s">
        <v>253</v>
      </c>
      <c r="J294" t="s">
        <v>254</v>
      </c>
      <c r="K294" t="s">
        <v>255</v>
      </c>
      <c r="L294" t="s">
        <v>126</v>
      </c>
      <c r="M294" t="s">
        <v>175</v>
      </c>
      <c r="N294" t="s">
        <v>128</v>
      </c>
      <c r="O294" t="s">
        <v>149</v>
      </c>
      <c r="P294" s="1">
        <v>38814</v>
      </c>
      <c r="Q294">
        <v>18.2</v>
      </c>
      <c r="R294" t="s">
        <v>150</v>
      </c>
      <c r="S294" t="s">
        <v>163</v>
      </c>
      <c r="T294" t="s">
        <v>164</v>
      </c>
      <c r="U294">
        <v>11</v>
      </c>
      <c r="V294">
        <v>1</v>
      </c>
      <c r="W294" s="2">
        <v>2730</v>
      </c>
      <c r="X294" s="2">
        <v>0</v>
      </c>
      <c r="Y294" s="2">
        <v>422</v>
      </c>
      <c r="Z294" s="2">
        <v>3152</v>
      </c>
      <c r="AA294">
        <v>463</v>
      </c>
      <c r="AB294" t="s">
        <v>65</v>
      </c>
      <c r="AC294">
        <v>20.5</v>
      </c>
      <c r="AD294">
        <v>27</v>
      </c>
      <c r="AE294">
        <v>62</v>
      </c>
      <c r="AF294" t="s">
        <v>132</v>
      </c>
      <c r="AG294">
        <v>20</v>
      </c>
      <c r="AH294" t="s">
        <v>113</v>
      </c>
      <c r="AI294" t="s">
        <v>114</v>
      </c>
      <c r="AJ294" t="s">
        <v>188</v>
      </c>
      <c r="AK294" t="s">
        <v>70</v>
      </c>
      <c r="AL294" t="s">
        <v>70</v>
      </c>
      <c r="AM294" t="s">
        <v>70</v>
      </c>
      <c r="AN294" t="s">
        <v>133</v>
      </c>
      <c r="AO294" t="s">
        <v>72</v>
      </c>
      <c r="AP294" t="s">
        <v>73</v>
      </c>
      <c r="AQ294" t="s">
        <v>136</v>
      </c>
      <c r="AR294" s="1">
        <v>44112</v>
      </c>
      <c r="AS294" t="s">
        <v>198</v>
      </c>
      <c r="AT294" t="s">
        <v>71</v>
      </c>
      <c r="AU294">
        <v>-133</v>
      </c>
      <c r="AV294" t="s">
        <v>179</v>
      </c>
      <c r="AW294" s="3">
        <v>37824</v>
      </c>
      <c r="AX294" t="s">
        <v>798</v>
      </c>
      <c r="AY294" t="s">
        <v>804</v>
      </c>
      <c r="AZ294" t="s">
        <v>810</v>
      </c>
      <c r="BA294" t="s">
        <v>807</v>
      </c>
      <c r="BB294" t="s">
        <v>801</v>
      </c>
      <c r="BC294" t="s">
        <v>802</v>
      </c>
      <c r="BD294" s="3">
        <v>0.14689086294416243</v>
      </c>
      <c r="BE294">
        <v>503.4</v>
      </c>
      <c r="BG294" s="2">
        <f t="shared" si="19"/>
        <v>37824</v>
      </c>
      <c r="BH294" t="str" cm="1">
        <f t="array" ref="BH294">_xlfn.IFS(Q294&lt;5,"0-5 Years",Q294&lt;10,"5-10 Years",Q294&lt;15,"10-15 Years",TRUE,"15+ Years")</f>
        <v>15+ Years</v>
      </c>
      <c r="BI294" t="str" cm="1">
        <f t="array" ref="BI294">_xlfn.IFS(AA294&gt;=540,"A",AA294&gt;=480,"B",AA294&gt;=420,"C",AA294&gt;=360,"D",TRUE,"F")</f>
        <v>C</v>
      </c>
      <c r="BJ294" t="str" cm="1">
        <f t="array" ref="BJ294">_xlfn.IFS(AU294&lt;0,"Separated",AU294&lt;=90,"High Risk",AU294&lt;=180,"Medium Risk",TRUE,"Retained")</f>
        <v>Separated</v>
      </c>
      <c r="BK294" t="str" cm="1">
        <f t="array" ref="BK294">_xlfn.IFS(V294=0,"No Combat",V294=1,"1 Tour",V294=2,"2 Tours",TRUE,"3+ Tours")</f>
        <v>1 Tour</v>
      </c>
      <c r="BL294" t="str">
        <f t="shared" si="20"/>
        <v>Standard</v>
      </c>
      <c r="BM294" t="str">
        <f t="shared" si="21"/>
        <v>Not Ready</v>
      </c>
      <c r="BN294" s="3">
        <f t="shared" si="22"/>
        <v>0.14689086294416243</v>
      </c>
      <c r="BO294">
        <f t="shared" si="23"/>
        <v>503.4</v>
      </c>
    </row>
    <row r="295" spans="1:67" x14ac:dyDescent="0.25">
      <c r="A295" t="s">
        <v>582</v>
      </c>
      <c r="B295" t="s">
        <v>139</v>
      </c>
      <c r="C295" t="s">
        <v>313</v>
      </c>
      <c r="D295" t="s">
        <v>122</v>
      </c>
      <c r="E295">
        <v>38</v>
      </c>
      <c r="F295" t="s">
        <v>52</v>
      </c>
      <c r="G295" t="s">
        <v>156</v>
      </c>
      <c r="H295" t="s">
        <v>157</v>
      </c>
      <c r="I295" t="s">
        <v>217</v>
      </c>
      <c r="J295" t="s">
        <v>218</v>
      </c>
      <c r="K295" t="s">
        <v>146</v>
      </c>
      <c r="L295" t="s">
        <v>106</v>
      </c>
      <c r="M295" t="s">
        <v>175</v>
      </c>
      <c r="N295" t="s">
        <v>162</v>
      </c>
      <c r="O295" t="s">
        <v>176</v>
      </c>
      <c r="P295" s="1">
        <v>38448</v>
      </c>
      <c r="Q295">
        <v>19.2</v>
      </c>
      <c r="R295" t="s">
        <v>129</v>
      </c>
      <c r="S295" t="s">
        <v>163</v>
      </c>
      <c r="T295" t="s">
        <v>164</v>
      </c>
      <c r="U295">
        <v>3</v>
      </c>
      <c r="V295">
        <v>0</v>
      </c>
      <c r="W295" s="2">
        <v>4836</v>
      </c>
      <c r="X295" s="2">
        <v>0</v>
      </c>
      <c r="Y295" s="2">
        <v>266</v>
      </c>
      <c r="Z295" s="2">
        <v>5102</v>
      </c>
      <c r="AA295">
        <v>405</v>
      </c>
      <c r="AB295" t="s">
        <v>65</v>
      </c>
      <c r="AC295">
        <v>16.7</v>
      </c>
      <c r="AD295">
        <v>62</v>
      </c>
      <c r="AE295">
        <v>62</v>
      </c>
      <c r="AF295" t="s">
        <v>66</v>
      </c>
      <c r="AG295">
        <v>34</v>
      </c>
      <c r="AH295" t="s">
        <v>67</v>
      </c>
      <c r="AI295" t="s">
        <v>68</v>
      </c>
      <c r="AJ295" t="s">
        <v>72</v>
      </c>
      <c r="AK295" t="s">
        <v>70</v>
      </c>
      <c r="AL295" t="s">
        <v>70</v>
      </c>
      <c r="AM295" t="s">
        <v>70</v>
      </c>
      <c r="AN295" t="s">
        <v>72</v>
      </c>
      <c r="AO295" t="s">
        <v>116</v>
      </c>
      <c r="AP295" t="s">
        <v>287</v>
      </c>
      <c r="AQ295" t="s">
        <v>117</v>
      </c>
      <c r="AR295" s="1">
        <v>38873</v>
      </c>
      <c r="AS295" t="s">
        <v>118</v>
      </c>
      <c r="AT295" t="s">
        <v>71</v>
      </c>
      <c r="AU295">
        <v>1701</v>
      </c>
      <c r="AV295" t="s">
        <v>76</v>
      </c>
      <c r="AW295" s="3">
        <v>61224</v>
      </c>
      <c r="AX295" t="s">
        <v>798</v>
      </c>
      <c r="AY295" t="s">
        <v>809</v>
      </c>
      <c r="AZ295" t="s">
        <v>76</v>
      </c>
      <c r="BA295" t="s">
        <v>800</v>
      </c>
      <c r="BB295" t="s">
        <v>801</v>
      </c>
      <c r="BC295" t="s">
        <v>802</v>
      </c>
      <c r="BD295" s="3">
        <v>7.9380635045080361E-2</v>
      </c>
      <c r="BE295">
        <v>473.4</v>
      </c>
      <c r="BG295" s="2">
        <f t="shared" si="19"/>
        <v>61224</v>
      </c>
      <c r="BH295" t="str" cm="1">
        <f t="array" ref="BH295">_xlfn.IFS(Q295&lt;5,"0-5 Years",Q295&lt;10,"5-10 Years",Q295&lt;15,"10-15 Years",TRUE,"15+ Years")</f>
        <v>15+ Years</v>
      </c>
      <c r="BI295" t="str" cm="1">
        <f t="array" ref="BI295">_xlfn.IFS(AA295&gt;=540,"A",AA295&gt;=480,"B",AA295&gt;=420,"C",AA295&gt;=360,"D",TRUE,"F")</f>
        <v>D</v>
      </c>
      <c r="BJ295" t="str" cm="1">
        <f t="array" ref="BJ295">_xlfn.IFS(AU295&lt;0,"Separated",AU295&lt;=90,"High Risk",AU295&lt;=180,"Medium Risk",TRUE,"Retained")</f>
        <v>Retained</v>
      </c>
      <c r="BK295" t="str" cm="1">
        <f t="array" ref="BK295">_xlfn.IFS(V295=0,"No Combat",V295=1,"1 Tour",V295=2,"2 Tours",TRUE,"3+ Tours")</f>
        <v>No Combat</v>
      </c>
      <c r="BL295" t="str">
        <f t="shared" si="20"/>
        <v>Standard</v>
      </c>
      <c r="BM295" t="str">
        <f t="shared" si="21"/>
        <v>Not Ready</v>
      </c>
      <c r="BN295" s="3">
        <f t="shared" si="22"/>
        <v>7.9380635045080361E-2</v>
      </c>
      <c r="BO295">
        <f t="shared" si="23"/>
        <v>473.4</v>
      </c>
    </row>
    <row r="296" spans="1:67" x14ac:dyDescent="0.25">
      <c r="A296" t="s">
        <v>583</v>
      </c>
      <c r="B296" t="s">
        <v>346</v>
      </c>
      <c r="C296" t="s">
        <v>375</v>
      </c>
      <c r="D296" t="s">
        <v>51</v>
      </c>
      <c r="E296">
        <v>36</v>
      </c>
      <c r="F296" t="s">
        <v>211</v>
      </c>
      <c r="G296" t="s">
        <v>156</v>
      </c>
      <c r="H296" t="s">
        <v>157</v>
      </c>
      <c r="I296" t="s">
        <v>103</v>
      </c>
      <c r="J296" t="s">
        <v>104</v>
      </c>
      <c r="K296" t="s">
        <v>105</v>
      </c>
      <c r="L296" t="s">
        <v>201</v>
      </c>
      <c r="M296" t="s">
        <v>147</v>
      </c>
      <c r="N296" t="s">
        <v>162</v>
      </c>
      <c r="O296" t="s">
        <v>89</v>
      </c>
      <c r="P296" s="1">
        <v>42603</v>
      </c>
      <c r="Q296">
        <v>7.8</v>
      </c>
      <c r="R296" t="s">
        <v>90</v>
      </c>
      <c r="S296" t="s">
        <v>196</v>
      </c>
      <c r="T296" t="s">
        <v>197</v>
      </c>
      <c r="U296">
        <v>0</v>
      </c>
      <c r="V296">
        <v>0</v>
      </c>
      <c r="W296" s="2">
        <v>4836</v>
      </c>
      <c r="X296" s="2">
        <v>0</v>
      </c>
      <c r="Y296" s="2">
        <v>266</v>
      </c>
      <c r="Z296" s="2">
        <v>5102</v>
      </c>
      <c r="AA296">
        <v>350</v>
      </c>
      <c r="AB296" t="s">
        <v>151</v>
      </c>
      <c r="AC296">
        <v>18.899999999999999</v>
      </c>
      <c r="AD296">
        <v>33</v>
      </c>
      <c r="AE296">
        <v>72</v>
      </c>
      <c r="AF296" t="s">
        <v>93</v>
      </c>
      <c r="AG296">
        <v>35</v>
      </c>
      <c r="AH296" t="s">
        <v>67</v>
      </c>
      <c r="AI296" t="s">
        <v>114</v>
      </c>
      <c r="AJ296" t="s">
        <v>96</v>
      </c>
      <c r="AK296" t="s">
        <v>71</v>
      </c>
      <c r="AL296" t="s">
        <v>71</v>
      </c>
      <c r="AM296" t="s">
        <v>70</v>
      </c>
      <c r="AN296" t="s">
        <v>270</v>
      </c>
      <c r="AO296" t="s">
        <v>72</v>
      </c>
      <c r="AP296" t="s">
        <v>72</v>
      </c>
      <c r="AQ296" t="s">
        <v>74</v>
      </c>
      <c r="AR296" s="1">
        <v>42716</v>
      </c>
      <c r="AS296" t="s">
        <v>137</v>
      </c>
      <c r="AT296" t="s">
        <v>71</v>
      </c>
      <c r="AU296">
        <v>10</v>
      </c>
      <c r="AV296" t="s">
        <v>179</v>
      </c>
      <c r="AW296" s="3">
        <v>61224</v>
      </c>
      <c r="AX296" t="s">
        <v>808</v>
      </c>
      <c r="AY296" t="s">
        <v>122</v>
      </c>
      <c r="AZ296" t="s">
        <v>813</v>
      </c>
      <c r="BA296" t="s">
        <v>800</v>
      </c>
      <c r="BB296" t="s">
        <v>801</v>
      </c>
      <c r="BC296" t="s">
        <v>802</v>
      </c>
      <c r="BD296" s="3">
        <v>6.860054880439044E-2</v>
      </c>
      <c r="BE296">
        <v>440.4</v>
      </c>
      <c r="BG296" s="2">
        <f t="shared" si="19"/>
        <v>61224</v>
      </c>
      <c r="BH296" t="str" cm="1">
        <f t="array" ref="BH296">_xlfn.IFS(Q296&lt;5,"0-5 Years",Q296&lt;10,"5-10 Years",Q296&lt;15,"10-15 Years",TRUE,"15+ Years")</f>
        <v>5-10 Years</v>
      </c>
      <c r="BI296" t="str" cm="1">
        <f t="array" ref="BI296">_xlfn.IFS(AA296&gt;=540,"A",AA296&gt;=480,"B",AA296&gt;=420,"C",AA296&gt;=360,"D",TRUE,"F")</f>
        <v>F</v>
      </c>
      <c r="BJ296" t="str" cm="1">
        <f t="array" ref="BJ296">_xlfn.IFS(AU296&lt;0,"Separated",AU296&lt;=90,"High Risk",AU296&lt;=180,"Medium Risk",TRUE,"Retained")</f>
        <v>High Risk</v>
      </c>
      <c r="BK296" t="str" cm="1">
        <f t="array" ref="BK296">_xlfn.IFS(V296=0,"No Combat",V296=1,"1 Tour",V296=2,"2 Tours",TRUE,"3+ Tours")</f>
        <v>No Combat</v>
      </c>
      <c r="BL296" t="str">
        <f t="shared" si="20"/>
        <v>Standard</v>
      </c>
      <c r="BM296" t="str">
        <f t="shared" si="21"/>
        <v>Not Ready</v>
      </c>
      <c r="BN296" s="3">
        <f t="shared" si="22"/>
        <v>6.860054880439044E-2</v>
      </c>
      <c r="BO296">
        <f t="shared" si="23"/>
        <v>440.4</v>
      </c>
    </row>
    <row r="297" spans="1:67" x14ac:dyDescent="0.25">
      <c r="A297" t="s">
        <v>584</v>
      </c>
      <c r="B297" t="s">
        <v>245</v>
      </c>
      <c r="C297" t="s">
        <v>332</v>
      </c>
      <c r="D297" t="s">
        <v>51</v>
      </c>
      <c r="E297">
        <v>22</v>
      </c>
      <c r="F297" t="s">
        <v>224</v>
      </c>
      <c r="G297" t="s">
        <v>101</v>
      </c>
      <c r="H297" t="s">
        <v>102</v>
      </c>
      <c r="I297" t="s">
        <v>253</v>
      </c>
      <c r="J297" t="s">
        <v>254</v>
      </c>
      <c r="K297" t="s">
        <v>255</v>
      </c>
      <c r="L297" t="s">
        <v>106</v>
      </c>
      <c r="M297" t="s">
        <v>296</v>
      </c>
      <c r="N297" t="s">
        <v>108</v>
      </c>
      <c r="O297" t="s">
        <v>176</v>
      </c>
      <c r="P297" s="1">
        <v>38731</v>
      </c>
      <c r="Q297">
        <v>18.399999999999999</v>
      </c>
      <c r="R297" t="s">
        <v>129</v>
      </c>
      <c r="S297" t="s">
        <v>63</v>
      </c>
      <c r="T297" t="s">
        <v>64</v>
      </c>
      <c r="U297">
        <v>0</v>
      </c>
      <c r="V297">
        <v>0</v>
      </c>
      <c r="W297" s="2">
        <v>2980</v>
      </c>
      <c r="X297" s="2">
        <v>1400</v>
      </c>
      <c r="Y297" s="2">
        <v>422</v>
      </c>
      <c r="Z297" s="2">
        <v>4802</v>
      </c>
      <c r="AA297">
        <v>450</v>
      </c>
      <c r="AB297" t="s">
        <v>65</v>
      </c>
      <c r="AC297">
        <v>13.7</v>
      </c>
      <c r="AD297">
        <v>51</v>
      </c>
      <c r="AE297">
        <v>74</v>
      </c>
      <c r="AF297" t="s">
        <v>112</v>
      </c>
      <c r="AG297">
        <v>35</v>
      </c>
      <c r="AH297" t="s">
        <v>67</v>
      </c>
      <c r="AI297" t="s">
        <v>114</v>
      </c>
      <c r="AJ297" t="s">
        <v>72</v>
      </c>
      <c r="AK297" t="s">
        <v>70</v>
      </c>
      <c r="AL297" t="s">
        <v>71</v>
      </c>
      <c r="AM297" t="s">
        <v>70</v>
      </c>
      <c r="AN297" t="s">
        <v>202</v>
      </c>
      <c r="AO297" t="s">
        <v>203</v>
      </c>
      <c r="AP297" t="s">
        <v>72</v>
      </c>
      <c r="AQ297" t="s">
        <v>136</v>
      </c>
      <c r="AR297" s="1">
        <v>43565</v>
      </c>
      <c r="AS297" t="s">
        <v>118</v>
      </c>
      <c r="AT297" t="s">
        <v>71</v>
      </c>
      <c r="AU297">
        <v>970</v>
      </c>
      <c r="AV297" t="s">
        <v>76</v>
      </c>
      <c r="AW297" s="3">
        <v>57624</v>
      </c>
      <c r="AX297" t="s">
        <v>798</v>
      </c>
      <c r="AY297" t="s">
        <v>804</v>
      </c>
      <c r="AZ297" t="s">
        <v>76</v>
      </c>
      <c r="BA297" t="s">
        <v>800</v>
      </c>
      <c r="BB297" t="s">
        <v>801</v>
      </c>
      <c r="BC297" t="s">
        <v>802</v>
      </c>
      <c r="BD297" s="3">
        <v>9.3710953769262806E-2</v>
      </c>
      <c r="BE297">
        <v>530.4</v>
      </c>
      <c r="BG297" s="2">
        <f t="shared" si="19"/>
        <v>57624</v>
      </c>
      <c r="BH297" t="str" cm="1">
        <f t="array" ref="BH297">_xlfn.IFS(Q297&lt;5,"0-5 Years",Q297&lt;10,"5-10 Years",Q297&lt;15,"10-15 Years",TRUE,"15+ Years")</f>
        <v>15+ Years</v>
      </c>
      <c r="BI297" t="str" cm="1">
        <f t="array" ref="BI297">_xlfn.IFS(AA297&gt;=540,"A",AA297&gt;=480,"B",AA297&gt;=420,"C",AA297&gt;=360,"D",TRUE,"F")</f>
        <v>C</v>
      </c>
      <c r="BJ297" t="str" cm="1">
        <f t="array" ref="BJ297">_xlfn.IFS(AU297&lt;0,"Separated",AU297&lt;=90,"High Risk",AU297&lt;=180,"Medium Risk",TRUE,"Retained")</f>
        <v>Retained</v>
      </c>
      <c r="BK297" t="str" cm="1">
        <f t="array" ref="BK297">_xlfn.IFS(V297=0,"No Combat",V297=1,"1 Tour",V297=2,"2 Tours",TRUE,"3+ Tours")</f>
        <v>No Combat</v>
      </c>
      <c r="BL297" t="str">
        <f t="shared" si="20"/>
        <v>Standard</v>
      </c>
      <c r="BM297" t="str">
        <f t="shared" si="21"/>
        <v>Not Ready</v>
      </c>
      <c r="BN297" s="3">
        <f t="shared" si="22"/>
        <v>9.3710953769262806E-2</v>
      </c>
      <c r="BO297">
        <f t="shared" si="23"/>
        <v>530.4</v>
      </c>
    </row>
    <row r="298" spans="1:67" x14ac:dyDescent="0.25">
      <c r="A298" t="s">
        <v>585</v>
      </c>
      <c r="B298" t="s">
        <v>100</v>
      </c>
      <c r="C298" t="s">
        <v>233</v>
      </c>
      <c r="D298" t="s">
        <v>51</v>
      </c>
      <c r="E298">
        <v>28</v>
      </c>
      <c r="F298" t="s">
        <v>52</v>
      </c>
      <c r="G298" t="s">
        <v>183</v>
      </c>
      <c r="H298" t="s">
        <v>184</v>
      </c>
      <c r="I298" t="s">
        <v>171</v>
      </c>
      <c r="J298" t="s">
        <v>172</v>
      </c>
      <c r="K298" t="s">
        <v>173</v>
      </c>
      <c r="L298" t="s">
        <v>201</v>
      </c>
      <c r="M298" t="s">
        <v>207</v>
      </c>
      <c r="N298" t="s">
        <v>88</v>
      </c>
      <c r="O298" t="s">
        <v>109</v>
      </c>
      <c r="P298" s="1">
        <v>43675</v>
      </c>
      <c r="Q298">
        <v>4.8</v>
      </c>
      <c r="R298" t="s">
        <v>129</v>
      </c>
      <c r="S298" t="s">
        <v>130</v>
      </c>
      <c r="T298" t="s">
        <v>131</v>
      </c>
      <c r="U298">
        <v>12</v>
      </c>
      <c r="V298">
        <v>2</v>
      </c>
      <c r="W298" s="2">
        <v>5696</v>
      </c>
      <c r="X298" s="2">
        <v>0</v>
      </c>
      <c r="Y298" s="2">
        <v>266</v>
      </c>
      <c r="Z298" s="2">
        <v>5962</v>
      </c>
      <c r="AA298">
        <v>363</v>
      </c>
      <c r="AB298" t="s">
        <v>65</v>
      </c>
      <c r="AC298">
        <v>20.5</v>
      </c>
      <c r="AD298">
        <v>63</v>
      </c>
      <c r="AE298">
        <v>57</v>
      </c>
      <c r="AF298" t="s">
        <v>93</v>
      </c>
      <c r="AG298">
        <v>18</v>
      </c>
      <c r="AH298" t="s">
        <v>113</v>
      </c>
      <c r="AI298" t="s">
        <v>95</v>
      </c>
      <c r="AJ298" t="s">
        <v>96</v>
      </c>
      <c r="AK298" t="s">
        <v>70</v>
      </c>
      <c r="AL298" t="s">
        <v>70</v>
      </c>
      <c r="AM298" t="s">
        <v>70</v>
      </c>
      <c r="AN298" t="s">
        <v>202</v>
      </c>
      <c r="AO298" t="s">
        <v>72</v>
      </c>
      <c r="AP298" t="s">
        <v>72</v>
      </c>
      <c r="AQ298" t="s">
        <v>98</v>
      </c>
      <c r="AR298" s="1">
        <v>43783</v>
      </c>
      <c r="AS298" t="s">
        <v>137</v>
      </c>
      <c r="AT298" t="s">
        <v>71</v>
      </c>
      <c r="AU298">
        <v>606</v>
      </c>
      <c r="AV298" t="s">
        <v>76</v>
      </c>
      <c r="AW298" s="3">
        <v>71544</v>
      </c>
      <c r="AX298" t="s">
        <v>803</v>
      </c>
      <c r="AY298" t="s">
        <v>809</v>
      </c>
      <c r="AZ298" t="s">
        <v>76</v>
      </c>
      <c r="BA298" t="s">
        <v>811</v>
      </c>
      <c r="BB298" t="s">
        <v>801</v>
      </c>
      <c r="BC298" t="s">
        <v>802</v>
      </c>
      <c r="BD298" s="3">
        <v>6.0885608856088562E-2</v>
      </c>
      <c r="BE298">
        <v>399.4</v>
      </c>
      <c r="BG298" s="2">
        <f t="shared" si="19"/>
        <v>71544</v>
      </c>
      <c r="BH298" t="str" cm="1">
        <f t="array" ref="BH298">_xlfn.IFS(Q298&lt;5,"0-5 Years",Q298&lt;10,"5-10 Years",Q298&lt;15,"10-15 Years",TRUE,"15+ Years")</f>
        <v>0-5 Years</v>
      </c>
      <c r="BI298" t="str" cm="1">
        <f t="array" ref="BI298">_xlfn.IFS(AA298&gt;=540,"A",AA298&gt;=480,"B",AA298&gt;=420,"C",AA298&gt;=360,"D",TRUE,"F")</f>
        <v>D</v>
      </c>
      <c r="BJ298" t="str" cm="1">
        <f t="array" ref="BJ298">_xlfn.IFS(AU298&lt;0,"Separated",AU298&lt;=90,"High Risk",AU298&lt;=180,"Medium Risk",TRUE,"Retained")</f>
        <v>Retained</v>
      </c>
      <c r="BK298" t="str" cm="1">
        <f t="array" ref="BK298">_xlfn.IFS(V298=0,"No Combat",V298=1,"1 Tour",V298=2,"2 Tours",TRUE,"3+ Tours")</f>
        <v>2 Tours</v>
      </c>
      <c r="BL298" t="str">
        <f t="shared" si="20"/>
        <v>Standard</v>
      </c>
      <c r="BM298" t="str">
        <f t="shared" si="21"/>
        <v>Not Ready</v>
      </c>
      <c r="BN298" s="3">
        <f t="shared" si="22"/>
        <v>6.0885608856088562E-2</v>
      </c>
      <c r="BO298">
        <f t="shared" si="23"/>
        <v>399.4</v>
      </c>
    </row>
    <row r="299" spans="1:67" x14ac:dyDescent="0.25">
      <c r="A299" t="s">
        <v>586</v>
      </c>
      <c r="B299" t="s">
        <v>210</v>
      </c>
      <c r="C299" t="s">
        <v>140</v>
      </c>
      <c r="D299" t="s">
        <v>51</v>
      </c>
      <c r="E299">
        <v>36</v>
      </c>
      <c r="F299" t="s">
        <v>141</v>
      </c>
      <c r="G299" t="s">
        <v>183</v>
      </c>
      <c r="H299" t="s">
        <v>184</v>
      </c>
      <c r="I299" t="s">
        <v>171</v>
      </c>
      <c r="J299" t="s">
        <v>172</v>
      </c>
      <c r="K299" t="s">
        <v>173</v>
      </c>
      <c r="L299" t="s">
        <v>86</v>
      </c>
      <c r="M299" t="s">
        <v>175</v>
      </c>
      <c r="N299" t="s">
        <v>60</v>
      </c>
      <c r="O299" t="s">
        <v>176</v>
      </c>
      <c r="P299" s="1">
        <v>41085</v>
      </c>
      <c r="Q299">
        <v>11.9</v>
      </c>
      <c r="R299" t="s">
        <v>90</v>
      </c>
      <c r="S299" t="s">
        <v>196</v>
      </c>
      <c r="T299" t="s">
        <v>197</v>
      </c>
      <c r="U299">
        <v>0</v>
      </c>
      <c r="V299">
        <v>0</v>
      </c>
      <c r="W299" s="2">
        <v>5696</v>
      </c>
      <c r="X299" s="2">
        <v>0</v>
      </c>
      <c r="Y299" s="2">
        <v>266</v>
      </c>
      <c r="Z299" s="2">
        <v>5962</v>
      </c>
      <c r="AA299">
        <v>295</v>
      </c>
      <c r="AB299" t="s">
        <v>151</v>
      </c>
      <c r="AC299">
        <v>19.899999999999999</v>
      </c>
      <c r="AD299">
        <v>34</v>
      </c>
      <c r="AE299">
        <v>47</v>
      </c>
      <c r="AF299" t="s">
        <v>66</v>
      </c>
      <c r="AG299">
        <v>28</v>
      </c>
      <c r="AH299" t="s">
        <v>113</v>
      </c>
      <c r="AI299" t="s">
        <v>177</v>
      </c>
      <c r="AJ299" t="s">
        <v>72</v>
      </c>
      <c r="AK299" t="s">
        <v>70</v>
      </c>
      <c r="AL299" t="s">
        <v>70</v>
      </c>
      <c r="AM299" t="s">
        <v>70</v>
      </c>
      <c r="AN299" t="s">
        <v>243</v>
      </c>
      <c r="AO299" t="s">
        <v>73</v>
      </c>
      <c r="AP299" t="s">
        <v>72</v>
      </c>
      <c r="AQ299" t="s">
        <v>136</v>
      </c>
      <c r="AR299" s="1">
        <v>45427</v>
      </c>
      <c r="AS299" t="s">
        <v>75</v>
      </c>
      <c r="AT299" t="s">
        <v>71</v>
      </c>
      <c r="AU299">
        <v>610</v>
      </c>
      <c r="AV299" t="s">
        <v>76</v>
      </c>
      <c r="AW299" s="3">
        <v>71544</v>
      </c>
      <c r="AX299" t="s">
        <v>805</v>
      </c>
      <c r="AY299" t="s">
        <v>122</v>
      </c>
      <c r="AZ299" t="s">
        <v>76</v>
      </c>
      <c r="BA299" t="s">
        <v>800</v>
      </c>
      <c r="BB299" t="s">
        <v>801</v>
      </c>
      <c r="BC299" t="s">
        <v>802</v>
      </c>
      <c r="BD299" s="3">
        <v>4.9480040254948003E-2</v>
      </c>
      <c r="BE299">
        <v>351.4</v>
      </c>
      <c r="BG299" s="2">
        <f t="shared" si="19"/>
        <v>71544</v>
      </c>
      <c r="BH299" t="str" cm="1">
        <f t="array" ref="BH299">_xlfn.IFS(Q299&lt;5,"0-5 Years",Q299&lt;10,"5-10 Years",Q299&lt;15,"10-15 Years",TRUE,"15+ Years")</f>
        <v>10-15 Years</v>
      </c>
      <c r="BI299" t="str" cm="1">
        <f t="array" ref="BI299">_xlfn.IFS(AA299&gt;=540,"A",AA299&gt;=480,"B",AA299&gt;=420,"C",AA299&gt;=360,"D",TRUE,"F")</f>
        <v>F</v>
      </c>
      <c r="BJ299" t="str" cm="1">
        <f t="array" ref="BJ299">_xlfn.IFS(AU299&lt;0,"Separated",AU299&lt;=90,"High Risk",AU299&lt;=180,"Medium Risk",TRUE,"Retained")</f>
        <v>Retained</v>
      </c>
      <c r="BK299" t="str" cm="1">
        <f t="array" ref="BK299">_xlfn.IFS(V299=0,"No Combat",V299=1,"1 Tour",V299=2,"2 Tours",TRUE,"3+ Tours")</f>
        <v>No Combat</v>
      </c>
      <c r="BL299" t="str">
        <f t="shared" si="20"/>
        <v>Standard</v>
      </c>
      <c r="BM299" t="str">
        <f t="shared" si="21"/>
        <v>Not Ready</v>
      </c>
      <c r="BN299" s="3">
        <f t="shared" si="22"/>
        <v>4.9480040254948003E-2</v>
      </c>
      <c r="BO299">
        <f t="shared" si="23"/>
        <v>351.4</v>
      </c>
    </row>
    <row r="300" spans="1:67" x14ac:dyDescent="0.25">
      <c r="A300" t="s">
        <v>587</v>
      </c>
      <c r="B300" t="s">
        <v>181</v>
      </c>
      <c r="C300" t="s">
        <v>191</v>
      </c>
      <c r="D300" t="s">
        <v>51</v>
      </c>
      <c r="E300">
        <v>31</v>
      </c>
      <c r="F300" t="s">
        <v>278</v>
      </c>
      <c r="G300" t="s">
        <v>215</v>
      </c>
      <c r="H300" t="s">
        <v>216</v>
      </c>
      <c r="I300" t="s">
        <v>292</v>
      </c>
      <c r="J300" t="s">
        <v>293</v>
      </c>
      <c r="K300" t="s">
        <v>294</v>
      </c>
      <c r="L300" t="s">
        <v>126</v>
      </c>
      <c r="M300" t="s">
        <v>275</v>
      </c>
      <c r="N300" t="s">
        <v>88</v>
      </c>
      <c r="O300" t="s">
        <v>61</v>
      </c>
      <c r="P300" s="1">
        <v>42872</v>
      </c>
      <c r="Q300">
        <v>7</v>
      </c>
      <c r="R300" t="s">
        <v>150</v>
      </c>
      <c r="S300" t="s">
        <v>63</v>
      </c>
      <c r="T300" t="s">
        <v>64</v>
      </c>
      <c r="U300">
        <v>0</v>
      </c>
      <c r="V300">
        <v>0</v>
      </c>
      <c r="W300" s="2">
        <v>3637</v>
      </c>
      <c r="X300" s="2">
        <v>1624</v>
      </c>
      <c r="Y300" s="2">
        <v>266</v>
      </c>
      <c r="Z300" s="2">
        <v>5527</v>
      </c>
      <c r="AA300">
        <v>552</v>
      </c>
      <c r="AB300" t="s">
        <v>65</v>
      </c>
      <c r="AC300">
        <v>17.5</v>
      </c>
      <c r="AD300">
        <v>36</v>
      </c>
      <c r="AE300">
        <v>30</v>
      </c>
      <c r="AF300" t="s">
        <v>93</v>
      </c>
      <c r="AG300">
        <v>37</v>
      </c>
      <c r="AH300" t="s">
        <v>94</v>
      </c>
      <c r="AI300" t="s">
        <v>114</v>
      </c>
      <c r="AJ300" t="s">
        <v>96</v>
      </c>
      <c r="AK300" t="s">
        <v>70</v>
      </c>
      <c r="AL300" t="s">
        <v>70</v>
      </c>
      <c r="AM300" t="s">
        <v>70</v>
      </c>
      <c r="AN300" t="s">
        <v>231</v>
      </c>
      <c r="AO300" t="s">
        <v>178</v>
      </c>
      <c r="AP300" t="s">
        <v>72</v>
      </c>
      <c r="AQ300" t="s">
        <v>117</v>
      </c>
      <c r="AR300" s="1">
        <v>44793</v>
      </c>
      <c r="AS300" t="s">
        <v>198</v>
      </c>
      <c r="AT300" t="s">
        <v>71</v>
      </c>
      <c r="AU300">
        <v>674</v>
      </c>
      <c r="AV300" t="s">
        <v>76</v>
      </c>
      <c r="AW300" s="3">
        <v>66324</v>
      </c>
      <c r="AX300" t="s">
        <v>808</v>
      </c>
      <c r="AY300" t="s">
        <v>799</v>
      </c>
      <c r="AZ300" t="s">
        <v>76</v>
      </c>
      <c r="BA300" t="s">
        <v>800</v>
      </c>
      <c r="BB300" t="s">
        <v>801</v>
      </c>
      <c r="BC300" t="s">
        <v>802</v>
      </c>
      <c r="BD300" s="3">
        <v>9.9873349013931606E-2</v>
      </c>
      <c r="BE300">
        <v>626.4</v>
      </c>
      <c r="BG300" s="2">
        <f t="shared" si="19"/>
        <v>66324</v>
      </c>
      <c r="BH300" t="str" cm="1">
        <f t="array" ref="BH300">_xlfn.IFS(Q300&lt;5,"0-5 Years",Q300&lt;10,"5-10 Years",Q300&lt;15,"10-15 Years",TRUE,"15+ Years")</f>
        <v>5-10 Years</v>
      </c>
      <c r="BI300" t="str" cm="1">
        <f t="array" ref="BI300">_xlfn.IFS(AA300&gt;=540,"A",AA300&gt;=480,"B",AA300&gt;=420,"C",AA300&gt;=360,"D",TRUE,"F")</f>
        <v>A</v>
      </c>
      <c r="BJ300" t="str" cm="1">
        <f t="array" ref="BJ300">_xlfn.IFS(AU300&lt;0,"Separated",AU300&lt;=90,"High Risk",AU300&lt;=180,"Medium Risk",TRUE,"Retained")</f>
        <v>Retained</v>
      </c>
      <c r="BK300" t="str" cm="1">
        <f t="array" ref="BK300">_xlfn.IFS(V300=0,"No Combat",V300=1,"1 Tour",V300=2,"2 Tours",TRUE,"3+ Tours")</f>
        <v>No Combat</v>
      </c>
      <c r="BL300" t="str">
        <f t="shared" si="20"/>
        <v>Standard</v>
      </c>
      <c r="BM300" t="str">
        <f t="shared" si="21"/>
        <v>Not Ready</v>
      </c>
      <c r="BN300" s="3">
        <f t="shared" si="22"/>
        <v>9.9873349013931606E-2</v>
      </c>
      <c r="BO300">
        <f t="shared" si="23"/>
        <v>626.4</v>
      </c>
    </row>
    <row r="301" spans="1:67" x14ac:dyDescent="0.25">
      <c r="A301" t="s">
        <v>588</v>
      </c>
      <c r="B301" t="s">
        <v>190</v>
      </c>
      <c r="C301" t="s">
        <v>257</v>
      </c>
      <c r="D301" t="s">
        <v>51</v>
      </c>
      <c r="E301">
        <v>41</v>
      </c>
      <c r="F301" t="s">
        <v>192</v>
      </c>
      <c r="G301" t="s">
        <v>53</v>
      </c>
      <c r="H301" t="s">
        <v>54</v>
      </c>
      <c r="I301" t="s">
        <v>217</v>
      </c>
      <c r="J301" t="s">
        <v>218</v>
      </c>
      <c r="K301" t="s">
        <v>146</v>
      </c>
      <c r="L301" t="s">
        <v>106</v>
      </c>
      <c r="M301" t="s">
        <v>127</v>
      </c>
      <c r="N301" t="s">
        <v>88</v>
      </c>
      <c r="O301" t="s">
        <v>109</v>
      </c>
      <c r="P301" s="1">
        <v>44665</v>
      </c>
      <c r="Q301">
        <v>2.1</v>
      </c>
      <c r="R301" t="s">
        <v>90</v>
      </c>
      <c r="S301" t="s">
        <v>110</v>
      </c>
      <c r="T301" t="s">
        <v>111</v>
      </c>
      <c r="U301">
        <v>2</v>
      </c>
      <c r="V301">
        <v>0</v>
      </c>
      <c r="W301" s="2">
        <v>4739</v>
      </c>
      <c r="X301" s="2">
        <v>0</v>
      </c>
      <c r="Y301" s="2">
        <v>422</v>
      </c>
      <c r="Z301" s="2">
        <v>5161</v>
      </c>
      <c r="AA301">
        <v>374</v>
      </c>
      <c r="AB301" t="s">
        <v>65</v>
      </c>
      <c r="AC301">
        <v>13.2</v>
      </c>
      <c r="AD301">
        <v>35</v>
      </c>
      <c r="AE301">
        <v>35</v>
      </c>
      <c r="AF301" t="s">
        <v>66</v>
      </c>
      <c r="AG301">
        <v>18</v>
      </c>
      <c r="AH301" t="s">
        <v>113</v>
      </c>
      <c r="AI301" t="s">
        <v>95</v>
      </c>
      <c r="AJ301" t="s">
        <v>72</v>
      </c>
      <c r="AK301" t="s">
        <v>70</v>
      </c>
      <c r="AL301" t="s">
        <v>70</v>
      </c>
      <c r="AM301" t="s">
        <v>70</v>
      </c>
      <c r="AN301" t="s">
        <v>133</v>
      </c>
      <c r="AO301" t="s">
        <v>72</v>
      </c>
      <c r="AP301" t="s">
        <v>72</v>
      </c>
      <c r="AQ301" t="s">
        <v>74</v>
      </c>
      <c r="AR301" s="1">
        <v>45652</v>
      </c>
      <c r="AS301" t="s">
        <v>198</v>
      </c>
      <c r="AT301" t="s">
        <v>71</v>
      </c>
      <c r="AU301">
        <v>10</v>
      </c>
      <c r="AV301" t="s">
        <v>179</v>
      </c>
      <c r="AW301" s="3">
        <v>61932</v>
      </c>
      <c r="AX301" t="s">
        <v>803</v>
      </c>
      <c r="AY301" t="s">
        <v>809</v>
      </c>
      <c r="AZ301" t="s">
        <v>813</v>
      </c>
      <c r="BA301" t="s">
        <v>800</v>
      </c>
      <c r="BB301" t="s">
        <v>801</v>
      </c>
      <c r="BC301" t="s">
        <v>802</v>
      </c>
      <c r="BD301" s="3">
        <v>7.2466576244913775E-2</v>
      </c>
      <c r="BE301">
        <v>410.4</v>
      </c>
      <c r="BG301" s="2">
        <f t="shared" si="19"/>
        <v>61932</v>
      </c>
      <c r="BH301" t="str" cm="1">
        <f t="array" ref="BH301">_xlfn.IFS(Q301&lt;5,"0-5 Years",Q301&lt;10,"5-10 Years",Q301&lt;15,"10-15 Years",TRUE,"15+ Years")</f>
        <v>0-5 Years</v>
      </c>
      <c r="BI301" t="str" cm="1">
        <f t="array" ref="BI301">_xlfn.IFS(AA301&gt;=540,"A",AA301&gt;=480,"B",AA301&gt;=420,"C",AA301&gt;=360,"D",TRUE,"F")</f>
        <v>D</v>
      </c>
      <c r="BJ301" t="str" cm="1">
        <f t="array" ref="BJ301">_xlfn.IFS(AU301&lt;0,"Separated",AU301&lt;=90,"High Risk",AU301&lt;=180,"Medium Risk",TRUE,"Retained")</f>
        <v>High Risk</v>
      </c>
      <c r="BK301" t="str" cm="1">
        <f t="array" ref="BK301">_xlfn.IFS(V301=0,"No Combat",V301=1,"1 Tour",V301=2,"2 Tours",TRUE,"3+ Tours")</f>
        <v>No Combat</v>
      </c>
      <c r="BL301" t="str">
        <f t="shared" si="20"/>
        <v>Standard</v>
      </c>
      <c r="BM301" t="str">
        <f t="shared" si="21"/>
        <v>Not Ready</v>
      </c>
      <c r="BN301" s="3">
        <f t="shared" si="22"/>
        <v>7.2466576244913775E-2</v>
      </c>
      <c r="BO301">
        <f t="shared" si="23"/>
        <v>410.4</v>
      </c>
    </row>
    <row r="302" spans="1:67" x14ac:dyDescent="0.25">
      <c r="A302" t="s">
        <v>589</v>
      </c>
      <c r="B302" t="s">
        <v>100</v>
      </c>
      <c r="C302" t="s">
        <v>501</v>
      </c>
      <c r="D302" t="s">
        <v>122</v>
      </c>
      <c r="E302">
        <v>29</v>
      </c>
      <c r="F302" t="s">
        <v>214</v>
      </c>
      <c r="G302" t="s">
        <v>169</v>
      </c>
      <c r="H302" t="s">
        <v>170</v>
      </c>
      <c r="I302" t="s">
        <v>236</v>
      </c>
      <c r="J302" t="s">
        <v>237</v>
      </c>
      <c r="K302" t="s">
        <v>238</v>
      </c>
      <c r="L302" t="s">
        <v>106</v>
      </c>
      <c r="M302" t="s">
        <v>296</v>
      </c>
      <c r="N302" t="s">
        <v>265</v>
      </c>
      <c r="O302" t="s">
        <v>109</v>
      </c>
      <c r="P302" s="1">
        <v>44108</v>
      </c>
      <c r="Q302">
        <v>3.7</v>
      </c>
      <c r="R302" t="s">
        <v>62</v>
      </c>
      <c r="S302" t="s">
        <v>63</v>
      </c>
      <c r="T302" t="s">
        <v>64</v>
      </c>
      <c r="U302">
        <v>0</v>
      </c>
      <c r="V302">
        <v>0</v>
      </c>
      <c r="W302" s="2">
        <v>3294</v>
      </c>
      <c r="X302" s="2">
        <v>0</v>
      </c>
      <c r="Y302" s="2">
        <v>422</v>
      </c>
      <c r="Z302" s="2">
        <v>3716</v>
      </c>
      <c r="AA302">
        <v>311</v>
      </c>
      <c r="AB302" t="s">
        <v>151</v>
      </c>
      <c r="AC302">
        <v>21</v>
      </c>
      <c r="AD302">
        <v>62</v>
      </c>
      <c r="AE302">
        <v>63</v>
      </c>
      <c r="AF302" t="s">
        <v>132</v>
      </c>
      <c r="AG302">
        <v>21</v>
      </c>
      <c r="AH302" t="s">
        <v>113</v>
      </c>
      <c r="AI302" t="s">
        <v>95</v>
      </c>
      <c r="AJ302" t="s">
        <v>72</v>
      </c>
      <c r="AK302" t="s">
        <v>70</v>
      </c>
      <c r="AL302" t="s">
        <v>71</v>
      </c>
      <c r="AM302" t="s">
        <v>70</v>
      </c>
      <c r="AN302" t="s">
        <v>72</v>
      </c>
      <c r="AO302" t="s">
        <v>72</v>
      </c>
      <c r="AP302" t="s">
        <v>72</v>
      </c>
      <c r="AQ302" t="s">
        <v>98</v>
      </c>
      <c r="AR302" s="1">
        <v>44595</v>
      </c>
      <c r="AS302" t="s">
        <v>198</v>
      </c>
      <c r="AT302" t="s">
        <v>71</v>
      </c>
      <c r="AU302">
        <v>-37</v>
      </c>
      <c r="AV302" t="s">
        <v>179</v>
      </c>
      <c r="AW302" s="3">
        <v>44592</v>
      </c>
      <c r="AX302" t="s">
        <v>803</v>
      </c>
      <c r="AY302" t="s">
        <v>122</v>
      </c>
      <c r="AZ302" t="s">
        <v>810</v>
      </c>
      <c r="BA302" t="s">
        <v>800</v>
      </c>
      <c r="BB302" t="s">
        <v>801</v>
      </c>
      <c r="BC302" t="s">
        <v>802</v>
      </c>
      <c r="BD302" s="3">
        <v>8.369214208826696E-2</v>
      </c>
      <c r="BE302">
        <v>363.4</v>
      </c>
      <c r="BG302" s="2">
        <f t="shared" si="19"/>
        <v>44592</v>
      </c>
      <c r="BH302" t="str" cm="1">
        <f t="array" ref="BH302">_xlfn.IFS(Q302&lt;5,"0-5 Years",Q302&lt;10,"5-10 Years",Q302&lt;15,"10-15 Years",TRUE,"15+ Years")</f>
        <v>0-5 Years</v>
      </c>
      <c r="BI302" t="str" cm="1">
        <f t="array" ref="BI302">_xlfn.IFS(AA302&gt;=540,"A",AA302&gt;=480,"B",AA302&gt;=420,"C",AA302&gt;=360,"D",TRUE,"F")</f>
        <v>F</v>
      </c>
      <c r="BJ302" t="str" cm="1">
        <f t="array" ref="BJ302">_xlfn.IFS(AU302&lt;0,"Separated",AU302&lt;=90,"High Risk",AU302&lt;=180,"Medium Risk",TRUE,"Retained")</f>
        <v>Separated</v>
      </c>
      <c r="BK302" t="str" cm="1">
        <f t="array" ref="BK302">_xlfn.IFS(V302=0,"No Combat",V302=1,"1 Tour",V302=2,"2 Tours",TRUE,"3+ Tours")</f>
        <v>No Combat</v>
      </c>
      <c r="BL302" t="str">
        <f t="shared" si="20"/>
        <v>Standard</v>
      </c>
      <c r="BM302" t="str">
        <f t="shared" si="21"/>
        <v>Not Ready</v>
      </c>
      <c r="BN302" s="3">
        <f t="shared" si="22"/>
        <v>8.369214208826696E-2</v>
      </c>
      <c r="BO302">
        <f t="shared" si="23"/>
        <v>363.4</v>
      </c>
    </row>
    <row r="303" spans="1:67" x14ac:dyDescent="0.25">
      <c r="A303" t="s">
        <v>590</v>
      </c>
      <c r="B303" t="s">
        <v>245</v>
      </c>
      <c r="C303" t="s">
        <v>182</v>
      </c>
      <c r="D303" t="s">
        <v>51</v>
      </c>
      <c r="E303">
        <v>21</v>
      </c>
      <c r="F303" t="s">
        <v>316</v>
      </c>
      <c r="G303" t="s">
        <v>81</v>
      </c>
      <c r="H303" t="s">
        <v>82</v>
      </c>
      <c r="I303" t="s">
        <v>217</v>
      </c>
      <c r="J303" t="s">
        <v>218</v>
      </c>
      <c r="K303" t="s">
        <v>146</v>
      </c>
      <c r="L303" t="s">
        <v>86</v>
      </c>
      <c r="M303" t="s">
        <v>249</v>
      </c>
      <c r="N303" t="s">
        <v>88</v>
      </c>
      <c r="O303" t="s">
        <v>176</v>
      </c>
      <c r="P303" s="1">
        <v>40098</v>
      </c>
      <c r="Q303">
        <v>14.6</v>
      </c>
      <c r="R303" t="s">
        <v>150</v>
      </c>
      <c r="S303" t="s">
        <v>163</v>
      </c>
      <c r="T303" t="s">
        <v>164</v>
      </c>
      <c r="U303">
        <v>12</v>
      </c>
      <c r="V303">
        <v>2</v>
      </c>
      <c r="W303" s="2">
        <v>2504</v>
      </c>
      <c r="X303" s="2">
        <v>1245</v>
      </c>
      <c r="Y303" s="2">
        <v>422</v>
      </c>
      <c r="Z303" s="2">
        <v>4171</v>
      </c>
      <c r="AA303">
        <v>553</v>
      </c>
      <c r="AB303" t="s">
        <v>65</v>
      </c>
      <c r="AC303">
        <v>20.399999999999999</v>
      </c>
      <c r="AD303">
        <v>81</v>
      </c>
      <c r="AE303">
        <v>71</v>
      </c>
      <c r="AF303" t="s">
        <v>66</v>
      </c>
      <c r="AG303">
        <v>30</v>
      </c>
      <c r="AH303" t="s">
        <v>67</v>
      </c>
      <c r="AI303" t="s">
        <v>68</v>
      </c>
      <c r="AJ303" t="s">
        <v>69</v>
      </c>
      <c r="AK303" t="s">
        <v>70</v>
      </c>
      <c r="AL303" t="s">
        <v>70</v>
      </c>
      <c r="AM303" t="s">
        <v>70</v>
      </c>
      <c r="AN303" t="s">
        <v>270</v>
      </c>
      <c r="AO303" t="s">
        <v>116</v>
      </c>
      <c r="AP303" t="s">
        <v>135</v>
      </c>
      <c r="AQ303" t="s">
        <v>117</v>
      </c>
      <c r="AR303" s="1">
        <v>40644</v>
      </c>
      <c r="AS303" t="s">
        <v>118</v>
      </c>
      <c r="AT303" t="s">
        <v>71</v>
      </c>
      <c r="AU303">
        <v>1264</v>
      </c>
      <c r="AV303" t="s">
        <v>76</v>
      </c>
      <c r="AW303" s="3">
        <v>50052</v>
      </c>
      <c r="AX303" t="s">
        <v>805</v>
      </c>
      <c r="AY303" t="s">
        <v>799</v>
      </c>
      <c r="AZ303" t="s">
        <v>76</v>
      </c>
      <c r="BA303" t="s">
        <v>811</v>
      </c>
      <c r="BB303" t="s">
        <v>801</v>
      </c>
      <c r="BC303" t="s">
        <v>802</v>
      </c>
      <c r="BD303" s="3">
        <v>0.13258211460081515</v>
      </c>
      <c r="BE303">
        <v>613.4</v>
      </c>
      <c r="BG303" s="2">
        <f t="shared" si="19"/>
        <v>50052</v>
      </c>
      <c r="BH303" t="str" cm="1">
        <f t="array" ref="BH303">_xlfn.IFS(Q303&lt;5,"0-5 Years",Q303&lt;10,"5-10 Years",Q303&lt;15,"10-15 Years",TRUE,"15+ Years")</f>
        <v>10-15 Years</v>
      </c>
      <c r="BI303" t="str" cm="1">
        <f t="array" ref="BI303">_xlfn.IFS(AA303&gt;=540,"A",AA303&gt;=480,"B",AA303&gt;=420,"C",AA303&gt;=360,"D",TRUE,"F")</f>
        <v>A</v>
      </c>
      <c r="BJ303" t="str" cm="1">
        <f t="array" ref="BJ303">_xlfn.IFS(AU303&lt;0,"Separated",AU303&lt;=90,"High Risk",AU303&lt;=180,"Medium Risk",TRUE,"Retained")</f>
        <v>Retained</v>
      </c>
      <c r="BK303" t="str" cm="1">
        <f t="array" ref="BK303">_xlfn.IFS(V303=0,"No Combat",V303=1,"1 Tour",V303=2,"2 Tours",TRUE,"3+ Tours")</f>
        <v>2 Tours</v>
      </c>
      <c r="BL303" t="str">
        <f t="shared" si="20"/>
        <v>Standard</v>
      </c>
      <c r="BM303" t="str">
        <f t="shared" si="21"/>
        <v>Not Ready</v>
      </c>
      <c r="BN303" s="3">
        <f t="shared" si="22"/>
        <v>0.13258211460081515</v>
      </c>
      <c r="BO303">
        <f t="shared" si="23"/>
        <v>613.4</v>
      </c>
    </row>
    <row r="304" spans="1:67" x14ac:dyDescent="0.25">
      <c r="A304" t="s">
        <v>591</v>
      </c>
      <c r="B304" t="s">
        <v>259</v>
      </c>
      <c r="C304" t="s">
        <v>353</v>
      </c>
      <c r="D304" t="s">
        <v>122</v>
      </c>
      <c r="E304">
        <v>41</v>
      </c>
      <c r="F304" t="s">
        <v>52</v>
      </c>
      <c r="G304" t="s">
        <v>124</v>
      </c>
      <c r="H304" t="s">
        <v>125</v>
      </c>
      <c r="I304" t="s">
        <v>253</v>
      </c>
      <c r="J304" t="s">
        <v>254</v>
      </c>
      <c r="K304" t="s">
        <v>255</v>
      </c>
      <c r="L304" t="s">
        <v>174</v>
      </c>
      <c r="M304" t="s">
        <v>249</v>
      </c>
      <c r="N304" t="s">
        <v>60</v>
      </c>
      <c r="O304" t="s">
        <v>149</v>
      </c>
      <c r="P304" s="1">
        <v>44656</v>
      </c>
      <c r="Q304">
        <v>2.2000000000000002</v>
      </c>
      <c r="R304" t="s">
        <v>129</v>
      </c>
      <c r="S304" t="s">
        <v>219</v>
      </c>
      <c r="T304" t="s">
        <v>220</v>
      </c>
      <c r="U304">
        <v>0</v>
      </c>
      <c r="V304">
        <v>0</v>
      </c>
      <c r="W304" s="2">
        <v>2730</v>
      </c>
      <c r="X304" s="2">
        <v>0</v>
      </c>
      <c r="Y304" s="2">
        <v>422</v>
      </c>
      <c r="Z304" s="2">
        <v>3152</v>
      </c>
      <c r="AA304">
        <v>476</v>
      </c>
      <c r="AB304" t="s">
        <v>65</v>
      </c>
      <c r="AC304">
        <v>16.5</v>
      </c>
      <c r="AD304">
        <v>43</v>
      </c>
      <c r="AE304">
        <v>49</v>
      </c>
      <c r="AF304" t="s">
        <v>132</v>
      </c>
      <c r="AG304">
        <v>21</v>
      </c>
      <c r="AH304" t="s">
        <v>113</v>
      </c>
      <c r="AI304" t="s">
        <v>177</v>
      </c>
      <c r="AJ304" t="s">
        <v>69</v>
      </c>
      <c r="AK304" t="s">
        <v>70</v>
      </c>
      <c r="AL304" t="s">
        <v>71</v>
      </c>
      <c r="AM304" t="s">
        <v>70</v>
      </c>
      <c r="AN304" t="s">
        <v>133</v>
      </c>
      <c r="AO304" t="s">
        <v>203</v>
      </c>
      <c r="AP304" t="s">
        <v>97</v>
      </c>
      <c r="AQ304" t="s">
        <v>74</v>
      </c>
      <c r="AR304" s="1">
        <v>44968</v>
      </c>
      <c r="AS304" t="s">
        <v>75</v>
      </c>
      <c r="AT304" t="s">
        <v>71</v>
      </c>
      <c r="AU304">
        <v>-47</v>
      </c>
      <c r="AV304" t="s">
        <v>179</v>
      </c>
      <c r="AW304" s="3">
        <v>37824</v>
      </c>
      <c r="AX304" t="s">
        <v>803</v>
      </c>
      <c r="AY304" t="s">
        <v>804</v>
      </c>
      <c r="AZ304" t="s">
        <v>810</v>
      </c>
      <c r="BA304" t="s">
        <v>800</v>
      </c>
      <c r="BB304" t="s">
        <v>801</v>
      </c>
      <c r="BC304" t="s">
        <v>812</v>
      </c>
      <c r="BD304" s="3">
        <v>0.15101522842639595</v>
      </c>
      <c r="BE304">
        <v>528.4</v>
      </c>
      <c r="BG304" s="2">
        <f t="shared" si="19"/>
        <v>37824</v>
      </c>
      <c r="BH304" t="str" cm="1">
        <f t="array" ref="BH304">_xlfn.IFS(Q304&lt;5,"0-5 Years",Q304&lt;10,"5-10 Years",Q304&lt;15,"10-15 Years",TRUE,"15+ Years")</f>
        <v>0-5 Years</v>
      </c>
      <c r="BI304" t="str" cm="1">
        <f t="array" ref="BI304">_xlfn.IFS(AA304&gt;=540,"A",AA304&gt;=480,"B",AA304&gt;=420,"C",AA304&gt;=360,"D",TRUE,"F")</f>
        <v>C</v>
      </c>
      <c r="BJ304" t="str" cm="1">
        <f t="array" ref="BJ304">_xlfn.IFS(AU304&lt;0,"Separated",AU304&lt;=90,"High Risk",AU304&lt;=180,"Medium Risk",TRUE,"Retained")</f>
        <v>Separated</v>
      </c>
      <c r="BK304" t="str" cm="1">
        <f t="array" ref="BK304">_xlfn.IFS(V304=0,"No Combat",V304=1,"1 Tour",V304=2,"2 Tours",TRUE,"3+ Tours")</f>
        <v>No Combat</v>
      </c>
      <c r="BL304" t="str">
        <f t="shared" si="20"/>
        <v>Standard</v>
      </c>
      <c r="BM304" t="str">
        <f t="shared" si="21"/>
        <v>Promotion Ready</v>
      </c>
      <c r="BN304" s="3">
        <f t="shared" si="22"/>
        <v>0.15101522842639595</v>
      </c>
      <c r="BO304">
        <f t="shared" si="23"/>
        <v>528.4</v>
      </c>
    </row>
    <row r="305" spans="1:67" x14ac:dyDescent="0.25">
      <c r="A305" t="s">
        <v>592</v>
      </c>
      <c r="B305" t="s">
        <v>205</v>
      </c>
      <c r="C305" t="s">
        <v>252</v>
      </c>
      <c r="D305" t="s">
        <v>51</v>
      </c>
      <c r="E305">
        <v>21</v>
      </c>
      <c r="F305" t="s">
        <v>316</v>
      </c>
      <c r="G305" t="s">
        <v>124</v>
      </c>
      <c r="H305" t="s">
        <v>125</v>
      </c>
      <c r="I305" t="s">
        <v>253</v>
      </c>
      <c r="J305" t="s">
        <v>254</v>
      </c>
      <c r="K305" t="s">
        <v>255</v>
      </c>
      <c r="L305" t="s">
        <v>126</v>
      </c>
      <c r="M305" t="s">
        <v>59</v>
      </c>
      <c r="N305" t="s">
        <v>88</v>
      </c>
      <c r="O305" t="s">
        <v>89</v>
      </c>
      <c r="P305" s="1">
        <v>39666</v>
      </c>
      <c r="Q305">
        <v>15.8</v>
      </c>
      <c r="R305" t="s">
        <v>195</v>
      </c>
      <c r="S305" t="s">
        <v>219</v>
      </c>
      <c r="T305" t="s">
        <v>220</v>
      </c>
      <c r="U305">
        <v>0</v>
      </c>
      <c r="V305">
        <v>0</v>
      </c>
      <c r="W305" s="2">
        <v>2730</v>
      </c>
      <c r="X305" s="2">
        <v>1207</v>
      </c>
      <c r="Y305" s="2">
        <v>422</v>
      </c>
      <c r="Z305" s="2">
        <v>4359</v>
      </c>
      <c r="AA305">
        <v>350</v>
      </c>
      <c r="AB305" t="s">
        <v>151</v>
      </c>
      <c r="AC305">
        <v>20.7</v>
      </c>
      <c r="AD305">
        <v>82</v>
      </c>
      <c r="AE305">
        <v>47</v>
      </c>
      <c r="AF305" t="s">
        <v>132</v>
      </c>
      <c r="AG305">
        <v>31</v>
      </c>
      <c r="AH305" t="s">
        <v>67</v>
      </c>
      <c r="AI305" t="s">
        <v>114</v>
      </c>
      <c r="AJ305" t="s">
        <v>69</v>
      </c>
      <c r="AK305" t="s">
        <v>70</v>
      </c>
      <c r="AL305" t="s">
        <v>71</v>
      </c>
      <c r="AM305" t="s">
        <v>71</v>
      </c>
      <c r="AN305" t="s">
        <v>72</v>
      </c>
      <c r="AO305" t="s">
        <v>203</v>
      </c>
      <c r="AP305" t="s">
        <v>72</v>
      </c>
      <c r="AQ305" t="s">
        <v>98</v>
      </c>
      <c r="AR305" s="1">
        <v>39559</v>
      </c>
      <c r="AS305" t="s">
        <v>118</v>
      </c>
      <c r="AT305" t="s">
        <v>71</v>
      </c>
      <c r="AU305">
        <v>468</v>
      </c>
      <c r="AV305" t="s">
        <v>76</v>
      </c>
      <c r="AW305" s="3">
        <v>52308</v>
      </c>
      <c r="AX305" t="s">
        <v>798</v>
      </c>
      <c r="AY305" t="s">
        <v>122</v>
      </c>
      <c r="AZ305" t="s">
        <v>76</v>
      </c>
      <c r="BA305" t="s">
        <v>800</v>
      </c>
      <c r="BB305" t="s">
        <v>801</v>
      </c>
      <c r="BC305" t="s">
        <v>802</v>
      </c>
      <c r="BD305" s="3">
        <v>8.0293645331498048E-2</v>
      </c>
      <c r="BE305">
        <v>442.4</v>
      </c>
      <c r="BG305" s="2">
        <f t="shared" si="19"/>
        <v>52308</v>
      </c>
      <c r="BH305" t="str" cm="1">
        <f t="array" ref="BH305">_xlfn.IFS(Q305&lt;5,"0-5 Years",Q305&lt;10,"5-10 Years",Q305&lt;15,"10-15 Years",TRUE,"15+ Years")</f>
        <v>15+ Years</v>
      </c>
      <c r="BI305" t="str" cm="1">
        <f t="array" ref="BI305">_xlfn.IFS(AA305&gt;=540,"A",AA305&gt;=480,"B",AA305&gt;=420,"C",AA305&gt;=360,"D",TRUE,"F")</f>
        <v>F</v>
      </c>
      <c r="BJ305" t="str" cm="1">
        <f t="array" ref="BJ305">_xlfn.IFS(AU305&lt;0,"Separated",AU305&lt;=90,"High Risk",AU305&lt;=180,"Medium Risk",TRUE,"Retained")</f>
        <v>Retained</v>
      </c>
      <c r="BK305" t="str" cm="1">
        <f t="array" ref="BK305">_xlfn.IFS(V305=0,"No Combat",V305=1,"1 Tour",V305=2,"2 Tours",TRUE,"3+ Tours")</f>
        <v>No Combat</v>
      </c>
      <c r="BL305" t="str">
        <f t="shared" si="20"/>
        <v>Standard</v>
      </c>
      <c r="BM305" t="str">
        <f t="shared" si="21"/>
        <v>Not Ready</v>
      </c>
      <c r="BN305" s="3">
        <f t="shared" si="22"/>
        <v>8.0293645331498048E-2</v>
      </c>
      <c r="BO305">
        <f t="shared" si="23"/>
        <v>442.4</v>
      </c>
    </row>
    <row r="306" spans="1:67" x14ac:dyDescent="0.25">
      <c r="A306" t="s">
        <v>593</v>
      </c>
      <c r="B306" t="s">
        <v>166</v>
      </c>
      <c r="C306" t="s">
        <v>360</v>
      </c>
      <c r="D306" t="s">
        <v>51</v>
      </c>
      <c r="E306">
        <v>40</v>
      </c>
      <c r="F306" t="s">
        <v>311</v>
      </c>
      <c r="G306" t="s">
        <v>234</v>
      </c>
      <c r="H306" t="s">
        <v>235</v>
      </c>
      <c r="I306" t="s">
        <v>253</v>
      </c>
      <c r="J306" t="s">
        <v>254</v>
      </c>
      <c r="K306" t="s">
        <v>255</v>
      </c>
      <c r="L306" t="s">
        <v>126</v>
      </c>
      <c r="M306" t="s">
        <v>207</v>
      </c>
      <c r="N306" t="s">
        <v>88</v>
      </c>
      <c r="O306" t="s">
        <v>109</v>
      </c>
      <c r="P306" s="1">
        <v>39029</v>
      </c>
      <c r="Q306">
        <v>17.600000000000001</v>
      </c>
      <c r="R306" t="s">
        <v>129</v>
      </c>
      <c r="S306" t="s">
        <v>196</v>
      </c>
      <c r="T306" t="s">
        <v>197</v>
      </c>
      <c r="U306">
        <v>0</v>
      </c>
      <c r="V306">
        <v>0</v>
      </c>
      <c r="W306" s="2">
        <v>1917</v>
      </c>
      <c r="X306" s="2">
        <v>0</v>
      </c>
      <c r="Y306" s="2">
        <v>422</v>
      </c>
      <c r="Z306" s="2">
        <v>2339</v>
      </c>
      <c r="AA306">
        <v>385</v>
      </c>
      <c r="AB306" t="s">
        <v>65</v>
      </c>
      <c r="AC306">
        <v>17.7</v>
      </c>
      <c r="AD306">
        <v>66</v>
      </c>
      <c r="AE306">
        <v>62</v>
      </c>
      <c r="AF306" t="s">
        <v>93</v>
      </c>
      <c r="AG306">
        <v>24</v>
      </c>
      <c r="AH306" t="s">
        <v>113</v>
      </c>
      <c r="AI306" t="s">
        <v>152</v>
      </c>
      <c r="AJ306" t="s">
        <v>188</v>
      </c>
      <c r="AK306" t="s">
        <v>70</v>
      </c>
      <c r="AL306" t="s">
        <v>71</v>
      </c>
      <c r="AM306" t="s">
        <v>70</v>
      </c>
      <c r="AN306" t="s">
        <v>72</v>
      </c>
      <c r="AO306" t="s">
        <v>72</v>
      </c>
      <c r="AP306" t="s">
        <v>72</v>
      </c>
      <c r="AQ306" t="s">
        <v>117</v>
      </c>
      <c r="AR306" s="1">
        <v>43561</v>
      </c>
      <c r="AS306" t="s">
        <v>118</v>
      </c>
      <c r="AT306" t="s">
        <v>71</v>
      </c>
      <c r="AU306">
        <v>109</v>
      </c>
      <c r="AV306" t="s">
        <v>179</v>
      </c>
      <c r="AW306" s="3">
        <v>28068</v>
      </c>
      <c r="AX306" t="s">
        <v>798</v>
      </c>
      <c r="AY306" t="s">
        <v>809</v>
      </c>
      <c r="AZ306" t="s">
        <v>815</v>
      </c>
      <c r="BA306" t="s">
        <v>800</v>
      </c>
      <c r="BB306" t="s">
        <v>801</v>
      </c>
      <c r="BC306" t="s">
        <v>802</v>
      </c>
      <c r="BD306" s="3">
        <v>0.16460025651988028</v>
      </c>
      <c r="BE306">
        <v>443.4</v>
      </c>
      <c r="BG306" s="2">
        <f t="shared" si="19"/>
        <v>28068</v>
      </c>
      <c r="BH306" t="str" cm="1">
        <f t="array" ref="BH306">_xlfn.IFS(Q306&lt;5,"0-5 Years",Q306&lt;10,"5-10 Years",Q306&lt;15,"10-15 Years",TRUE,"15+ Years")</f>
        <v>15+ Years</v>
      </c>
      <c r="BI306" t="str" cm="1">
        <f t="array" ref="BI306">_xlfn.IFS(AA306&gt;=540,"A",AA306&gt;=480,"B",AA306&gt;=420,"C",AA306&gt;=360,"D",TRUE,"F")</f>
        <v>D</v>
      </c>
      <c r="BJ306" t="str" cm="1">
        <f t="array" ref="BJ306">_xlfn.IFS(AU306&lt;0,"Separated",AU306&lt;=90,"High Risk",AU306&lt;=180,"Medium Risk",TRUE,"Retained")</f>
        <v>Medium Risk</v>
      </c>
      <c r="BK306" t="str" cm="1">
        <f t="array" ref="BK306">_xlfn.IFS(V306=0,"No Combat",V306=1,"1 Tour",V306=2,"2 Tours",TRUE,"3+ Tours")</f>
        <v>No Combat</v>
      </c>
      <c r="BL306" t="str">
        <f t="shared" si="20"/>
        <v>Standard</v>
      </c>
      <c r="BM306" t="str">
        <f t="shared" si="21"/>
        <v>Not Ready</v>
      </c>
      <c r="BN306" s="3">
        <f t="shared" si="22"/>
        <v>0.16460025651988028</v>
      </c>
      <c r="BO306">
        <f t="shared" si="23"/>
        <v>443.4</v>
      </c>
    </row>
    <row r="307" spans="1:67" x14ac:dyDescent="0.25">
      <c r="A307" t="s">
        <v>594</v>
      </c>
      <c r="B307" t="s">
        <v>377</v>
      </c>
      <c r="C307" t="s">
        <v>140</v>
      </c>
      <c r="D307" t="s">
        <v>51</v>
      </c>
      <c r="E307">
        <v>38</v>
      </c>
      <c r="F307" t="s">
        <v>214</v>
      </c>
      <c r="G307" t="s">
        <v>156</v>
      </c>
      <c r="H307" t="s">
        <v>157</v>
      </c>
      <c r="I307" t="s">
        <v>268</v>
      </c>
      <c r="J307" t="s">
        <v>269</v>
      </c>
      <c r="K307" t="s">
        <v>173</v>
      </c>
      <c r="L307" t="s">
        <v>86</v>
      </c>
      <c r="M307" t="s">
        <v>107</v>
      </c>
      <c r="N307" t="s">
        <v>108</v>
      </c>
      <c r="O307" t="s">
        <v>109</v>
      </c>
      <c r="P307" s="1">
        <v>38497</v>
      </c>
      <c r="Q307">
        <v>19</v>
      </c>
      <c r="R307" t="s">
        <v>75</v>
      </c>
      <c r="S307" t="s">
        <v>63</v>
      </c>
      <c r="T307" t="s">
        <v>64</v>
      </c>
      <c r="U307">
        <v>0</v>
      </c>
      <c r="V307">
        <v>0</v>
      </c>
      <c r="W307" s="2">
        <v>4836</v>
      </c>
      <c r="X307" s="2">
        <v>0</v>
      </c>
      <c r="Y307" s="2">
        <v>266</v>
      </c>
      <c r="Z307" s="2">
        <v>5102</v>
      </c>
      <c r="AA307">
        <v>558</v>
      </c>
      <c r="AB307" t="s">
        <v>65</v>
      </c>
      <c r="AC307">
        <v>19.8</v>
      </c>
      <c r="AD307">
        <v>44</v>
      </c>
      <c r="AE307">
        <v>56</v>
      </c>
      <c r="AF307" t="s">
        <v>112</v>
      </c>
      <c r="AG307">
        <v>38</v>
      </c>
      <c r="AH307" t="s">
        <v>94</v>
      </c>
      <c r="AI307" t="s">
        <v>68</v>
      </c>
      <c r="AJ307" t="s">
        <v>69</v>
      </c>
      <c r="AK307" t="s">
        <v>71</v>
      </c>
      <c r="AL307" t="s">
        <v>70</v>
      </c>
      <c r="AM307" t="s">
        <v>70</v>
      </c>
      <c r="AN307" t="s">
        <v>72</v>
      </c>
      <c r="AO307" t="s">
        <v>72</v>
      </c>
      <c r="AP307" t="s">
        <v>73</v>
      </c>
      <c r="AQ307" t="s">
        <v>117</v>
      </c>
      <c r="AR307" s="1">
        <v>40651</v>
      </c>
      <c r="AS307" t="s">
        <v>137</v>
      </c>
      <c r="AT307" t="s">
        <v>71</v>
      </c>
      <c r="AU307">
        <v>937</v>
      </c>
      <c r="AV307" t="s">
        <v>76</v>
      </c>
      <c r="AW307" s="3">
        <v>61224</v>
      </c>
      <c r="AX307" t="s">
        <v>798</v>
      </c>
      <c r="AY307" t="s">
        <v>799</v>
      </c>
      <c r="AZ307" t="s">
        <v>76</v>
      </c>
      <c r="BA307" t="s">
        <v>800</v>
      </c>
      <c r="BB307" t="s">
        <v>801</v>
      </c>
      <c r="BC307" t="s">
        <v>802</v>
      </c>
      <c r="BD307" s="3">
        <v>0.1093688749509996</v>
      </c>
      <c r="BE307">
        <v>644.4</v>
      </c>
      <c r="BG307" s="2">
        <f t="shared" si="19"/>
        <v>61224</v>
      </c>
      <c r="BH307" t="str" cm="1">
        <f t="array" ref="BH307">_xlfn.IFS(Q307&lt;5,"0-5 Years",Q307&lt;10,"5-10 Years",Q307&lt;15,"10-15 Years",TRUE,"15+ Years")</f>
        <v>15+ Years</v>
      </c>
      <c r="BI307" t="str" cm="1">
        <f t="array" ref="BI307">_xlfn.IFS(AA307&gt;=540,"A",AA307&gt;=480,"B",AA307&gt;=420,"C",AA307&gt;=360,"D",TRUE,"F")</f>
        <v>A</v>
      </c>
      <c r="BJ307" t="str" cm="1">
        <f t="array" ref="BJ307">_xlfn.IFS(AU307&lt;0,"Separated",AU307&lt;=90,"High Risk",AU307&lt;=180,"Medium Risk",TRUE,"Retained")</f>
        <v>Retained</v>
      </c>
      <c r="BK307" t="str" cm="1">
        <f t="array" ref="BK307">_xlfn.IFS(V307=0,"No Combat",V307=1,"1 Tour",V307=2,"2 Tours",TRUE,"3+ Tours")</f>
        <v>No Combat</v>
      </c>
      <c r="BL307" t="str">
        <f t="shared" si="20"/>
        <v>Standard</v>
      </c>
      <c r="BM307" t="str">
        <f t="shared" si="21"/>
        <v>Not Ready</v>
      </c>
      <c r="BN307" s="3">
        <f t="shared" si="22"/>
        <v>0.1093688749509996</v>
      </c>
      <c r="BO307">
        <f t="shared" si="23"/>
        <v>644.4</v>
      </c>
    </row>
    <row r="308" spans="1:67" x14ac:dyDescent="0.25">
      <c r="A308" t="s">
        <v>595</v>
      </c>
      <c r="B308" t="s">
        <v>267</v>
      </c>
      <c r="C308" t="s">
        <v>353</v>
      </c>
      <c r="D308" t="s">
        <v>122</v>
      </c>
      <c r="E308">
        <v>41</v>
      </c>
      <c r="F308" t="s">
        <v>241</v>
      </c>
      <c r="G308" t="s">
        <v>298</v>
      </c>
      <c r="H308" t="s">
        <v>299</v>
      </c>
      <c r="I308" t="s">
        <v>273</v>
      </c>
      <c r="J308" t="s">
        <v>274</v>
      </c>
      <c r="K308" t="s">
        <v>57</v>
      </c>
      <c r="L308" t="s">
        <v>174</v>
      </c>
      <c r="M308" t="s">
        <v>296</v>
      </c>
      <c r="N308" t="s">
        <v>60</v>
      </c>
      <c r="O308" t="s">
        <v>176</v>
      </c>
      <c r="P308" s="1">
        <v>40089</v>
      </c>
      <c r="Q308">
        <v>14.7</v>
      </c>
      <c r="R308" t="s">
        <v>129</v>
      </c>
      <c r="S308" t="s">
        <v>110</v>
      </c>
      <c r="T308" t="s">
        <v>111</v>
      </c>
      <c r="U308">
        <v>15</v>
      </c>
      <c r="V308">
        <v>2</v>
      </c>
      <c r="W308" s="2">
        <v>2149</v>
      </c>
      <c r="X308" s="2">
        <v>0</v>
      </c>
      <c r="Y308" s="2">
        <v>422</v>
      </c>
      <c r="Z308" s="2">
        <v>2571</v>
      </c>
      <c r="AA308">
        <v>476</v>
      </c>
      <c r="AB308" t="s">
        <v>65</v>
      </c>
      <c r="AC308">
        <v>16.2</v>
      </c>
      <c r="AD308">
        <v>36</v>
      </c>
      <c r="AE308">
        <v>61</v>
      </c>
      <c r="AF308" t="s">
        <v>112</v>
      </c>
      <c r="AG308">
        <v>25</v>
      </c>
      <c r="AH308" t="s">
        <v>113</v>
      </c>
      <c r="AI308" t="s">
        <v>152</v>
      </c>
      <c r="AJ308" t="s">
        <v>188</v>
      </c>
      <c r="AK308" t="s">
        <v>70</v>
      </c>
      <c r="AL308" t="s">
        <v>70</v>
      </c>
      <c r="AM308" t="s">
        <v>70</v>
      </c>
      <c r="AN308" t="s">
        <v>72</v>
      </c>
      <c r="AO308" t="s">
        <v>97</v>
      </c>
      <c r="AP308" t="s">
        <v>72</v>
      </c>
      <c r="AQ308" t="s">
        <v>136</v>
      </c>
      <c r="AR308" s="1">
        <v>42074</v>
      </c>
      <c r="AS308" t="s">
        <v>75</v>
      </c>
      <c r="AT308" t="s">
        <v>71</v>
      </c>
      <c r="AU308">
        <v>360</v>
      </c>
      <c r="AV308" t="s">
        <v>76</v>
      </c>
      <c r="AW308" s="3">
        <v>30852</v>
      </c>
      <c r="AX308" t="s">
        <v>805</v>
      </c>
      <c r="AY308" t="s">
        <v>804</v>
      </c>
      <c r="AZ308" t="s">
        <v>76</v>
      </c>
      <c r="BA308" t="s">
        <v>811</v>
      </c>
      <c r="BB308" t="s">
        <v>801</v>
      </c>
      <c r="BC308" t="s">
        <v>802</v>
      </c>
      <c r="BD308" s="3">
        <v>0.18514196810579542</v>
      </c>
      <c r="BE308">
        <v>526.4</v>
      </c>
      <c r="BG308" s="2">
        <f t="shared" si="19"/>
        <v>30852</v>
      </c>
      <c r="BH308" t="str" cm="1">
        <f t="array" ref="BH308">_xlfn.IFS(Q308&lt;5,"0-5 Years",Q308&lt;10,"5-10 Years",Q308&lt;15,"10-15 Years",TRUE,"15+ Years")</f>
        <v>10-15 Years</v>
      </c>
      <c r="BI308" t="str" cm="1">
        <f t="array" ref="BI308">_xlfn.IFS(AA308&gt;=540,"A",AA308&gt;=480,"B",AA308&gt;=420,"C",AA308&gt;=360,"D",TRUE,"F")</f>
        <v>C</v>
      </c>
      <c r="BJ308" t="str" cm="1">
        <f t="array" ref="BJ308">_xlfn.IFS(AU308&lt;0,"Separated",AU308&lt;=90,"High Risk",AU308&lt;=180,"Medium Risk",TRUE,"Retained")</f>
        <v>Retained</v>
      </c>
      <c r="BK308" t="str" cm="1">
        <f t="array" ref="BK308">_xlfn.IFS(V308=0,"No Combat",V308=1,"1 Tour",V308=2,"2 Tours",TRUE,"3+ Tours")</f>
        <v>2 Tours</v>
      </c>
      <c r="BL308" t="str">
        <f t="shared" si="20"/>
        <v>Standard</v>
      </c>
      <c r="BM308" t="str">
        <f t="shared" si="21"/>
        <v>Not Ready</v>
      </c>
      <c r="BN308" s="3">
        <f t="shared" si="22"/>
        <v>0.18514196810579542</v>
      </c>
      <c r="BO308">
        <f t="shared" si="23"/>
        <v>526.4</v>
      </c>
    </row>
    <row r="309" spans="1:67" x14ac:dyDescent="0.25">
      <c r="A309" t="s">
        <v>596</v>
      </c>
      <c r="B309" t="s">
        <v>277</v>
      </c>
      <c r="C309" t="s">
        <v>223</v>
      </c>
      <c r="D309" t="s">
        <v>122</v>
      </c>
      <c r="E309">
        <v>31</v>
      </c>
      <c r="F309" t="s">
        <v>168</v>
      </c>
      <c r="G309" t="s">
        <v>124</v>
      </c>
      <c r="H309" t="s">
        <v>125</v>
      </c>
      <c r="I309" t="s">
        <v>158</v>
      </c>
      <c r="J309" t="s">
        <v>159</v>
      </c>
      <c r="K309" t="s">
        <v>160</v>
      </c>
      <c r="L309" t="s">
        <v>106</v>
      </c>
      <c r="M309" t="s">
        <v>87</v>
      </c>
      <c r="N309" t="s">
        <v>60</v>
      </c>
      <c r="O309" t="s">
        <v>89</v>
      </c>
      <c r="P309" s="1">
        <v>43158</v>
      </c>
      <c r="Q309">
        <v>6.3</v>
      </c>
      <c r="R309" t="s">
        <v>208</v>
      </c>
      <c r="S309" t="s">
        <v>219</v>
      </c>
      <c r="T309" t="s">
        <v>220</v>
      </c>
      <c r="U309">
        <v>0</v>
      </c>
      <c r="V309">
        <v>0</v>
      </c>
      <c r="W309" s="2">
        <v>2730</v>
      </c>
      <c r="X309" s="2">
        <v>0</v>
      </c>
      <c r="Y309" s="2">
        <v>422</v>
      </c>
      <c r="Z309" s="2">
        <v>3152</v>
      </c>
      <c r="AA309">
        <v>328</v>
      </c>
      <c r="AB309" t="s">
        <v>151</v>
      </c>
      <c r="AC309">
        <v>18.5</v>
      </c>
      <c r="AD309">
        <v>79</v>
      </c>
      <c r="AE309">
        <v>36</v>
      </c>
      <c r="AF309" t="s">
        <v>112</v>
      </c>
      <c r="AG309">
        <v>25</v>
      </c>
      <c r="AH309" t="s">
        <v>113</v>
      </c>
      <c r="AI309" t="s">
        <v>68</v>
      </c>
      <c r="AJ309" t="s">
        <v>188</v>
      </c>
      <c r="AK309" t="s">
        <v>71</v>
      </c>
      <c r="AL309" t="s">
        <v>71</v>
      </c>
      <c r="AM309" t="s">
        <v>70</v>
      </c>
      <c r="AN309" t="s">
        <v>231</v>
      </c>
      <c r="AO309" t="s">
        <v>72</v>
      </c>
      <c r="AP309" t="s">
        <v>72</v>
      </c>
      <c r="AQ309" t="s">
        <v>98</v>
      </c>
      <c r="AR309" s="1">
        <v>43581</v>
      </c>
      <c r="AS309" t="s">
        <v>75</v>
      </c>
      <c r="AT309" t="s">
        <v>71</v>
      </c>
      <c r="AU309">
        <v>1286</v>
      </c>
      <c r="AV309" t="s">
        <v>76</v>
      </c>
      <c r="AW309" s="3">
        <v>37824</v>
      </c>
      <c r="AX309" t="s">
        <v>808</v>
      </c>
      <c r="AY309" t="s">
        <v>122</v>
      </c>
      <c r="AZ309" t="s">
        <v>76</v>
      </c>
      <c r="BA309" t="s">
        <v>800</v>
      </c>
      <c r="BB309" t="s">
        <v>801</v>
      </c>
      <c r="BC309" t="s">
        <v>802</v>
      </c>
      <c r="BD309" s="3">
        <v>0.10406091370558376</v>
      </c>
      <c r="BE309">
        <v>398.4</v>
      </c>
      <c r="BG309" s="2">
        <f t="shared" si="19"/>
        <v>37824</v>
      </c>
      <c r="BH309" t="str" cm="1">
        <f t="array" ref="BH309">_xlfn.IFS(Q309&lt;5,"0-5 Years",Q309&lt;10,"5-10 Years",Q309&lt;15,"10-15 Years",TRUE,"15+ Years")</f>
        <v>5-10 Years</v>
      </c>
      <c r="BI309" t="str" cm="1">
        <f t="array" ref="BI309">_xlfn.IFS(AA309&gt;=540,"A",AA309&gt;=480,"B",AA309&gt;=420,"C",AA309&gt;=360,"D",TRUE,"F")</f>
        <v>F</v>
      </c>
      <c r="BJ309" t="str" cm="1">
        <f t="array" ref="BJ309">_xlfn.IFS(AU309&lt;0,"Separated",AU309&lt;=90,"High Risk",AU309&lt;=180,"Medium Risk",TRUE,"Retained")</f>
        <v>Retained</v>
      </c>
      <c r="BK309" t="str" cm="1">
        <f t="array" ref="BK309">_xlfn.IFS(V309=0,"No Combat",V309=1,"1 Tour",V309=2,"2 Tours",TRUE,"3+ Tours")</f>
        <v>No Combat</v>
      </c>
      <c r="BL309" t="str">
        <f t="shared" si="20"/>
        <v>Standard</v>
      </c>
      <c r="BM309" t="str">
        <f t="shared" si="21"/>
        <v>Not Ready</v>
      </c>
      <c r="BN309" s="3">
        <f t="shared" si="22"/>
        <v>0.10406091370558376</v>
      </c>
      <c r="BO309">
        <f t="shared" si="23"/>
        <v>398.4</v>
      </c>
    </row>
    <row r="310" spans="1:67" x14ac:dyDescent="0.25">
      <c r="A310" t="s">
        <v>597</v>
      </c>
      <c r="B310" t="s">
        <v>166</v>
      </c>
      <c r="C310" t="s">
        <v>167</v>
      </c>
      <c r="D310" t="s">
        <v>51</v>
      </c>
      <c r="E310">
        <v>23</v>
      </c>
      <c r="F310" t="s">
        <v>241</v>
      </c>
      <c r="G310" t="s">
        <v>234</v>
      </c>
      <c r="H310" t="s">
        <v>235</v>
      </c>
      <c r="I310" t="s">
        <v>273</v>
      </c>
      <c r="J310" t="s">
        <v>274</v>
      </c>
      <c r="K310" t="s">
        <v>57</v>
      </c>
      <c r="L310" t="s">
        <v>201</v>
      </c>
      <c r="M310" t="s">
        <v>207</v>
      </c>
      <c r="N310" t="s">
        <v>265</v>
      </c>
      <c r="O310" t="s">
        <v>149</v>
      </c>
      <c r="P310" s="1">
        <v>40725</v>
      </c>
      <c r="Q310">
        <v>12.9</v>
      </c>
      <c r="R310" t="s">
        <v>75</v>
      </c>
      <c r="S310" t="s">
        <v>163</v>
      </c>
      <c r="T310" t="s">
        <v>164</v>
      </c>
      <c r="U310">
        <v>1</v>
      </c>
      <c r="V310">
        <v>0</v>
      </c>
      <c r="W310" s="2">
        <v>1917</v>
      </c>
      <c r="X310" s="2">
        <v>1189</v>
      </c>
      <c r="Y310" s="2">
        <v>422</v>
      </c>
      <c r="Z310" s="2">
        <v>3528</v>
      </c>
      <c r="AA310">
        <v>328</v>
      </c>
      <c r="AB310" t="s">
        <v>151</v>
      </c>
      <c r="AC310">
        <v>16.7</v>
      </c>
      <c r="AD310">
        <v>54</v>
      </c>
      <c r="AE310">
        <v>62</v>
      </c>
      <c r="AF310" t="s">
        <v>93</v>
      </c>
      <c r="AG310">
        <v>30</v>
      </c>
      <c r="AH310" t="s">
        <v>67</v>
      </c>
      <c r="AI310" t="s">
        <v>114</v>
      </c>
      <c r="AJ310" t="s">
        <v>96</v>
      </c>
      <c r="AK310" t="s">
        <v>70</v>
      </c>
      <c r="AL310" t="s">
        <v>71</v>
      </c>
      <c r="AM310" t="s">
        <v>71</v>
      </c>
      <c r="AN310" t="s">
        <v>115</v>
      </c>
      <c r="AO310" t="s">
        <v>72</v>
      </c>
      <c r="AP310" t="s">
        <v>203</v>
      </c>
      <c r="AQ310" t="s">
        <v>74</v>
      </c>
      <c r="AR310" s="1">
        <v>44274</v>
      </c>
      <c r="AS310" t="s">
        <v>137</v>
      </c>
      <c r="AT310" t="s">
        <v>71</v>
      </c>
      <c r="AU310">
        <v>1563</v>
      </c>
      <c r="AV310" t="s">
        <v>76</v>
      </c>
      <c r="AW310" s="3">
        <v>42336</v>
      </c>
      <c r="AX310" t="s">
        <v>805</v>
      </c>
      <c r="AY310" t="s">
        <v>122</v>
      </c>
      <c r="AZ310" t="s">
        <v>76</v>
      </c>
      <c r="BA310" t="s">
        <v>800</v>
      </c>
      <c r="BB310" t="s">
        <v>801</v>
      </c>
      <c r="BC310" t="s">
        <v>802</v>
      </c>
      <c r="BD310" s="3">
        <v>9.297052154195011E-2</v>
      </c>
      <c r="BE310">
        <v>418.4</v>
      </c>
      <c r="BG310" s="2">
        <f t="shared" si="19"/>
        <v>42336</v>
      </c>
      <c r="BH310" t="str" cm="1">
        <f t="array" ref="BH310">_xlfn.IFS(Q310&lt;5,"0-5 Years",Q310&lt;10,"5-10 Years",Q310&lt;15,"10-15 Years",TRUE,"15+ Years")</f>
        <v>10-15 Years</v>
      </c>
      <c r="BI310" t="str" cm="1">
        <f t="array" ref="BI310">_xlfn.IFS(AA310&gt;=540,"A",AA310&gt;=480,"B",AA310&gt;=420,"C",AA310&gt;=360,"D",TRUE,"F")</f>
        <v>F</v>
      </c>
      <c r="BJ310" t="str" cm="1">
        <f t="array" ref="BJ310">_xlfn.IFS(AU310&lt;0,"Separated",AU310&lt;=90,"High Risk",AU310&lt;=180,"Medium Risk",TRUE,"Retained")</f>
        <v>Retained</v>
      </c>
      <c r="BK310" t="str" cm="1">
        <f t="array" ref="BK310">_xlfn.IFS(V310=0,"No Combat",V310=1,"1 Tour",V310=2,"2 Tours",TRUE,"3+ Tours")</f>
        <v>No Combat</v>
      </c>
      <c r="BL310" t="str">
        <f t="shared" si="20"/>
        <v>Standard</v>
      </c>
      <c r="BM310" t="str">
        <f t="shared" si="21"/>
        <v>Not Ready</v>
      </c>
      <c r="BN310" s="3">
        <f t="shared" si="22"/>
        <v>9.297052154195011E-2</v>
      </c>
      <c r="BO310">
        <f t="shared" si="23"/>
        <v>418.4</v>
      </c>
    </row>
    <row r="311" spans="1:67" x14ac:dyDescent="0.25">
      <c r="A311" t="s">
        <v>598</v>
      </c>
      <c r="B311" t="s">
        <v>120</v>
      </c>
      <c r="C311" t="s">
        <v>252</v>
      </c>
      <c r="D311" t="s">
        <v>51</v>
      </c>
      <c r="E311">
        <v>40</v>
      </c>
      <c r="F311" t="s">
        <v>168</v>
      </c>
      <c r="G311" t="s">
        <v>142</v>
      </c>
      <c r="H311" t="s">
        <v>143</v>
      </c>
      <c r="I311" t="s">
        <v>260</v>
      </c>
      <c r="J311" t="s">
        <v>261</v>
      </c>
      <c r="K311" t="s">
        <v>173</v>
      </c>
      <c r="L311" t="s">
        <v>86</v>
      </c>
      <c r="M311" t="s">
        <v>147</v>
      </c>
      <c r="N311" t="s">
        <v>60</v>
      </c>
      <c r="O311" t="s">
        <v>149</v>
      </c>
      <c r="P311" s="1">
        <v>40187</v>
      </c>
      <c r="Q311">
        <v>14.4</v>
      </c>
      <c r="R311" t="s">
        <v>150</v>
      </c>
      <c r="S311" t="s">
        <v>163</v>
      </c>
      <c r="T311" t="s">
        <v>164</v>
      </c>
      <c r="U311">
        <v>7</v>
      </c>
      <c r="V311">
        <v>1</v>
      </c>
      <c r="W311" s="2">
        <v>5473</v>
      </c>
      <c r="X311" s="2">
        <v>0</v>
      </c>
      <c r="Y311" s="2">
        <v>422</v>
      </c>
      <c r="Z311" s="2">
        <v>5895</v>
      </c>
      <c r="AA311">
        <v>358</v>
      </c>
      <c r="AB311" t="s">
        <v>151</v>
      </c>
      <c r="AC311">
        <v>17.899999999999999</v>
      </c>
      <c r="AD311">
        <v>80</v>
      </c>
      <c r="AE311">
        <v>47</v>
      </c>
      <c r="AF311" t="s">
        <v>112</v>
      </c>
      <c r="AG311">
        <v>17</v>
      </c>
      <c r="AH311" t="s">
        <v>113</v>
      </c>
      <c r="AI311" t="s">
        <v>68</v>
      </c>
      <c r="AJ311" t="s">
        <v>96</v>
      </c>
      <c r="AK311" t="s">
        <v>70</v>
      </c>
      <c r="AL311" t="s">
        <v>70</v>
      </c>
      <c r="AM311" t="s">
        <v>71</v>
      </c>
      <c r="AN311" t="s">
        <v>115</v>
      </c>
      <c r="AO311" t="s">
        <v>72</v>
      </c>
      <c r="AP311" t="s">
        <v>73</v>
      </c>
      <c r="AQ311" t="s">
        <v>136</v>
      </c>
      <c r="AR311" s="1">
        <v>42594</v>
      </c>
      <c r="AS311" t="s">
        <v>118</v>
      </c>
      <c r="AT311" t="s">
        <v>71</v>
      </c>
      <c r="AU311">
        <v>829</v>
      </c>
      <c r="AV311" t="s">
        <v>76</v>
      </c>
      <c r="AW311" s="3">
        <v>70740</v>
      </c>
      <c r="AX311" t="s">
        <v>805</v>
      </c>
      <c r="AY311" t="s">
        <v>122</v>
      </c>
      <c r="AZ311" t="s">
        <v>76</v>
      </c>
      <c r="BA311" t="s">
        <v>807</v>
      </c>
      <c r="BB311" t="s">
        <v>801</v>
      </c>
      <c r="BC311" t="s">
        <v>802</v>
      </c>
      <c r="BD311" s="3">
        <v>6.0729431721798136E-2</v>
      </c>
      <c r="BE311">
        <v>412.4</v>
      </c>
      <c r="BG311" s="2">
        <f t="shared" si="19"/>
        <v>70740</v>
      </c>
      <c r="BH311" t="str" cm="1">
        <f t="array" ref="BH311">_xlfn.IFS(Q311&lt;5,"0-5 Years",Q311&lt;10,"5-10 Years",Q311&lt;15,"10-15 Years",TRUE,"15+ Years")</f>
        <v>10-15 Years</v>
      </c>
      <c r="BI311" t="str" cm="1">
        <f t="array" ref="BI311">_xlfn.IFS(AA311&gt;=540,"A",AA311&gt;=480,"B",AA311&gt;=420,"C",AA311&gt;=360,"D",TRUE,"F")</f>
        <v>F</v>
      </c>
      <c r="BJ311" t="str" cm="1">
        <f t="array" ref="BJ311">_xlfn.IFS(AU311&lt;0,"Separated",AU311&lt;=90,"High Risk",AU311&lt;=180,"Medium Risk",TRUE,"Retained")</f>
        <v>Retained</v>
      </c>
      <c r="BK311" t="str" cm="1">
        <f t="array" ref="BK311">_xlfn.IFS(V311=0,"No Combat",V311=1,"1 Tour",V311=2,"2 Tours",TRUE,"3+ Tours")</f>
        <v>1 Tour</v>
      </c>
      <c r="BL311" t="str">
        <f t="shared" si="20"/>
        <v>Standard</v>
      </c>
      <c r="BM311" t="str">
        <f t="shared" si="21"/>
        <v>Not Ready</v>
      </c>
      <c r="BN311" s="3">
        <f t="shared" si="22"/>
        <v>6.0729431721798136E-2</v>
      </c>
      <c r="BO311">
        <f t="shared" si="23"/>
        <v>412.4</v>
      </c>
    </row>
    <row r="312" spans="1:67" x14ac:dyDescent="0.25">
      <c r="A312" t="s">
        <v>599</v>
      </c>
      <c r="B312" t="s">
        <v>282</v>
      </c>
      <c r="C312" t="s">
        <v>50</v>
      </c>
      <c r="D312" t="s">
        <v>51</v>
      </c>
      <c r="E312">
        <v>41</v>
      </c>
      <c r="F312" t="s">
        <v>52</v>
      </c>
      <c r="G312" t="s">
        <v>53</v>
      </c>
      <c r="H312" t="s">
        <v>54</v>
      </c>
      <c r="I312" t="s">
        <v>260</v>
      </c>
      <c r="J312" t="s">
        <v>261</v>
      </c>
      <c r="K312" t="s">
        <v>173</v>
      </c>
      <c r="L312" t="s">
        <v>86</v>
      </c>
      <c r="M312" t="s">
        <v>275</v>
      </c>
      <c r="N312" t="s">
        <v>88</v>
      </c>
      <c r="O312" t="s">
        <v>89</v>
      </c>
      <c r="P312" s="1">
        <v>42755</v>
      </c>
      <c r="Q312">
        <v>7.4</v>
      </c>
      <c r="R312" t="s">
        <v>208</v>
      </c>
      <c r="S312" t="s">
        <v>219</v>
      </c>
      <c r="T312" t="s">
        <v>220</v>
      </c>
      <c r="U312">
        <v>0</v>
      </c>
      <c r="V312">
        <v>0</v>
      </c>
      <c r="W312" s="2">
        <v>4739</v>
      </c>
      <c r="X312" s="2">
        <v>0</v>
      </c>
      <c r="Y312" s="2">
        <v>422</v>
      </c>
      <c r="Z312" s="2">
        <v>5161</v>
      </c>
      <c r="AA312">
        <v>421</v>
      </c>
      <c r="AB312" t="s">
        <v>65</v>
      </c>
      <c r="AC312">
        <v>18.600000000000001</v>
      </c>
      <c r="AD312">
        <v>64</v>
      </c>
      <c r="AE312">
        <v>54</v>
      </c>
      <c r="AF312" t="s">
        <v>93</v>
      </c>
      <c r="AG312">
        <v>30</v>
      </c>
      <c r="AH312" t="s">
        <v>67</v>
      </c>
      <c r="AI312" t="s">
        <v>68</v>
      </c>
      <c r="AJ312" t="s">
        <v>69</v>
      </c>
      <c r="AK312" t="s">
        <v>70</v>
      </c>
      <c r="AL312" t="s">
        <v>70</v>
      </c>
      <c r="AM312" t="s">
        <v>70</v>
      </c>
      <c r="AN312" t="s">
        <v>270</v>
      </c>
      <c r="AO312" t="s">
        <v>73</v>
      </c>
      <c r="AP312" t="s">
        <v>72</v>
      </c>
      <c r="AQ312" t="s">
        <v>98</v>
      </c>
      <c r="AR312" s="1">
        <v>44767</v>
      </c>
      <c r="AS312" t="s">
        <v>118</v>
      </c>
      <c r="AT312" t="s">
        <v>71</v>
      </c>
      <c r="AU312">
        <v>243</v>
      </c>
      <c r="AV312" t="s">
        <v>76</v>
      </c>
      <c r="AW312" s="3">
        <v>61932</v>
      </c>
      <c r="AX312" t="s">
        <v>808</v>
      </c>
      <c r="AY312" t="s">
        <v>804</v>
      </c>
      <c r="AZ312" t="s">
        <v>76</v>
      </c>
      <c r="BA312" t="s">
        <v>800</v>
      </c>
      <c r="BB312" t="s">
        <v>801</v>
      </c>
      <c r="BC312" t="s">
        <v>802</v>
      </c>
      <c r="BD312" s="3">
        <v>8.1573338500290637E-2</v>
      </c>
      <c r="BE312">
        <v>481.4</v>
      </c>
      <c r="BG312" s="2">
        <f t="shared" si="19"/>
        <v>61932</v>
      </c>
      <c r="BH312" t="str" cm="1">
        <f t="array" ref="BH312">_xlfn.IFS(Q312&lt;5,"0-5 Years",Q312&lt;10,"5-10 Years",Q312&lt;15,"10-15 Years",TRUE,"15+ Years")</f>
        <v>5-10 Years</v>
      </c>
      <c r="BI312" t="str" cm="1">
        <f t="array" ref="BI312">_xlfn.IFS(AA312&gt;=540,"A",AA312&gt;=480,"B",AA312&gt;=420,"C",AA312&gt;=360,"D",TRUE,"F")</f>
        <v>C</v>
      </c>
      <c r="BJ312" t="str" cm="1">
        <f t="array" ref="BJ312">_xlfn.IFS(AU312&lt;0,"Separated",AU312&lt;=90,"High Risk",AU312&lt;=180,"Medium Risk",TRUE,"Retained")</f>
        <v>Retained</v>
      </c>
      <c r="BK312" t="str" cm="1">
        <f t="array" ref="BK312">_xlfn.IFS(V312=0,"No Combat",V312=1,"1 Tour",V312=2,"2 Tours",TRUE,"3+ Tours")</f>
        <v>No Combat</v>
      </c>
      <c r="BL312" t="str">
        <f t="shared" si="20"/>
        <v>Standard</v>
      </c>
      <c r="BM312" t="str">
        <f t="shared" si="21"/>
        <v>Not Ready</v>
      </c>
      <c r="BN312" s="3">
        <f t="shared" si="22"/>
        <v>8.1573338500290637E-2</v>
      </c>
      <c r="BO312">
        <f t="shared" si="23"/>
        <v>481.4</v>
      </c>
    </row>
    <row r="313" spans="1:67" x14ac:dyDescent="0.25">
      <c r="A313" t="s">
        <v>600</v>
      </c>
      <c r="B313" t="s">
        <v>181</v>
      </c>
      <c r="C313" t="s">
        <v>334</v>
      </c>
      <c r="D313" t="s">
        <v>122</v>
      </c>
      <c r="E313">
        <v>30</v>
      </c>
      <c r="F313" t="s">
        <v>291</v>
      </c>
      <c r="G313" t="s">
        <v>169</v>
      </c>
      <c r="H313" t="s">
        <v>170</v>
      </c>
      <c r="I313" t="s">
        <v>225</v>
      </c>
      <c r="J313" t="s">
        <v>226</v>
      </c>
      <c r="K313" t="s">
        <v>105</v>
      </c>
      <c r="L313" t="s">
        <v>126</v>
      </c>
      <c r="M313" t="s">
        <v>59</v>
      </c>
      <c r="N313" t="s">
        <v>108</v>
      </c>
      <c r="O313" t="s">
        <v>176</v>
      </c>
      <c r="P313" s="1">
        <v>38525</v>
      </c>
      <c r="Q313">
        <v>18.899999999999999</v>
      </c>
      <c r="R313" t="s">
        <v>150</v>
      </c>
      <c r="S313" t="s">
        <v>110</v>
      </c>
      <c r="T313" t="s">
        <v>111</v>
      </c>
      <c r="U313">
        <v>5</v>
      </c>
      <c r="V313">
        <v>0</v>
      </c>
      <c r="W313" s="2">
        <v>3294</v>
      </c>
      <c r="X313" s="2">
        <v>1163</v>
      </c>
      <c r="Y313" s="2">
        <v>422</v>
      </c>
      <c r="Z313" s="2">
        <v>4879</v>
      </c>
      <c r="AA313">
        <v>363</v>
      </c>
      <c r="AB313" t="s">
        <v>65</v>
      </c>
      <c r="AC313">
        <v>18.3</v>
      </c>
      <c r="AD313">
        <v>32</v>
      </c>
      <c r="AE313">
        <v>34</v>
      </c>
      <c r="AF313" t="s">
        <v>66</v>
      </c>
      <c r="AG313">
        <v>29</v>
      </c>
      <c r="AH313" t="s">
        <v>113</v>
      </c>
      <c r="AI313" t="s">
        <v>177</v>
      </c>
      <c r="AJ313" t="s">
        <v>188</v>
      </c>
      <c r="AK313" t="s">
        <v>71</v>
      </c>
      <c r="AL313" t="s">
        <v>70</v>
      </c>
      <c r="AM313" t="s">
        <v>71</v>
      </c>
      <c r="AN313" t="s">
        <v>133</v>
      </c>
      <c r="AO313" t="s">
        <v>73</v>
      </c>
      <c r="AP313" t="s">
        <v>72</v>
      </c>
      <c r="AQ313" t="s">
        <v>74</v>
      </c>
      <c r="AR313" s="1">
        <v>38711</v>
      </c>
      <c r="AS313" t="s">
        <v>137</v>
      </c>
      <c r="AT313" t="s">
        <v>71</v>
      </c>
      <c r="AU313">
        <v>41</v>
      </c>
      <c r="AV313" t="s">
        <v>179</v>
      </c>
      <c r="AW313" s="3">
        <v>58548</v>
      </c>
      <c r="AX313" t="s">
        <v>798</v>
      </c>
      <c r="AY313" t="s">
        <v>809</v>
      </c>
      <c r="AZ313" t="s">
        <v>813</v>
      </c>
      <c r="BA313" t="s">
        <v>800</v>
      </c>
      <c r="BB313" t="s">
        <v>801</v>
      </c>
      <c r="BC313" t="s">
        <v>812</v>
      </c>
      <c r="BD313" s="3">
        <v>7.44004919040787E-2</v>
      </c>
      <c r="BE313">
        <v>451.4</v>
      </c>
      <c r="BG313" s="2">
        <f t="shared" si="19"/>
        <v>58548</v>
      </c>
      <c r="BH313" t="str" cm="1">
        <f t="array" ref="BH313">_xlfn.IFS(Q313&lt;5,"0-5 Years",Q313&lt;10,"5-10 Years",Q313&lt;15,"10-15 Years",TRUE,"15+ Years")</f>
        <v>15+ Years</v>
      </c>
      <c r="BI313" t="str" cm="1">
        <f t="array" ref="BI313">_xlfn.IFS(AA313&gt;=540,"A",AA313&gt;=480,"B",AA313&gt;=420,"C",AA313&gt;=360,"D",TRUE,"F")</f>
        <v>D</v>
      </c>
      <c r="BJ313" t="str" cm="1">
        <f t="array" ref="BJ313">_xlfn.IFS(AU313&lt;0,"Separated",AU313&lt;=90,"High Risk",AU313&lt;=180,"Medium Risk",TRUE,"Retained")</f>
        <v>High Risk</v>
      </c>
      <c r="BK313" t="str" cm="1">
        <f t="array" ref="BK313">_xlfn.IFS(V313=0,"No Combat",V313=1,"1 Tour",V313=2,"2 Tours",TRUE,"3+ Tours")</f>
        <v>No Combat</v>
      </c>
      <c r="BL313" t="str">
        <f t="shared" si="20"/>
        <v>Standard</v>
      </c>
      <c r="BM313" t="str">
        <f t="shared" si="21"/>
        <v>Promotion Ready</v>
      </c>
      <c r="BN313" s="3">
        <f t="shared" si="22"/>
        <v>7.44004919040787E-2</v>
      </c>
      <c r="BO313">
        <f t="shared" si="23"/>
        <v>451.4</v>
      </c>
    </row>
    <row r="314" spans="1:67" x14ac:dyDescent="0.25">
      <c r="A314" t="s">
        <v>601</v>
      </c>
      <c r="B314" t="s">
        <v>49</v>
      </c>
      <c r="C314" t="s">
        <v>79</v>
      </c>
      <c r="D314" t="s">
        <v>51</v>
      </c>
      <c r="E314">
        <v>21</v>
      </c>
      <c r="F314" t="s">
        <v>168</v>
      </c>
      <c r="G314" t="s">
        <v>124</v>
      </c>
      <c r="H314" t="s">
        <v>125</v>
      </c>
      <c r="I314" t="s">
        <v>158</v>
      </c>
      <c r="J314" t="s">
        <v>159</v>
      </c>
      <c r="K314" t="s">
        <v>160</v>
      </c>
      <c r="L314" t="s">
        <v>201</v>
      </c>
      <c r="M314" t="s">
        <v>296</v>
      </c>
      <c r="N314" t="s">
        <v>128</v>
      </c>
      <c r="O314" t="s">
        <v>89</v>
      </c>
      <c r="P314" s="1">
        <v>44838</v>
      </c>
      <c r="Q314">
        <v>1.7</v>
      </c>
      <c r="R314" t="s">
        <v>150</v>
      </c>
      <c r="S314" t="s">
        <v>163</v>
      </c>
      <c r="T314" t="s">
        <v>164</v>
      </c>
      <c r="U314">
        <v>10</v>
      </c>
      <c r="V314">
        <v>1</v>
      </c>
      <c r="W314" s="2">
        <v>2730</v>
      </c>
      <c r="X314" s="2">
        <v>0</v>
      </c>
      <c r="Y314" s="2">
        <v>422</v>
      </c>
      <c r="Z314" s="2">
        <v>3152</v>
      </c>
      <c r="AA314">
        <v>517</v>
      </c>
      <c r="AB314" t="s">
        <v>65</v>
      </c>
      <c r="AC314">
        <v>13.7</v>
      </c>
      <c r="AD314">
        <v>68</v>
      </c>
      <c r="AE314">
        <v>66</v>
      </c>
      <c r="AF314" t="s">
        <v>93</v>
      </c>
      <c r="AG314">
        <v>25</v>
      </c>
      <c r="AH314" t="s">
        <v>113</v>
      </c>
      <c r="AI314" t="s">
        <v>68</v>
      </c>
      <c r="AJ314" t="s">
        <v>96</v>
      </c>
      <c r="AK314" t="s">
        <v>71</v>
      </c>
      <c r="AL314" t="s">
        <v>71</v>
      </c>
      <c r="AM314" t="s">
        <v>71</v>
      </c>
      <c r="AN314" t="s">
        <v>231</v>
      </c>
      <c r="AO314" t="s">
        <v>221</v>
      </c>
      <c r="AP314" t="s">
        <v>72</v>
      </c>
      <c r="AQ314" t="s">
        <v>98</v>
      </c>
      <c r="AR314" s="1">
        <v>44852</v>
      </c>
      <c r="AS314" t="s">
        <v>137</v>
      </c>
      <c r="AT314" t="s">
        <v>70</v>
      </c>
      <c r="AU314">
        <v>-496</v>
      </c>
      <c r="AV314" t="s">
        <v>179</v>
      </c>
      <c r="AW314" s="3">
        <v>37824</v>
      </c>
      <c r="AX314" t="s">
        <v>803</v>
      </c>
      <c r="AY314" t="s">
        <v>806</v>
      </c>
      <c r="AZ314" t="s">
        <v>810</v>
      </c>
      <c r="BA314" t="s">
        <v>807</v>
      </c>
      <c r="BB314" t="s">
        <v>801</v>
      </c>
      <c r="BC314" t="s">
        <v>802</v>
      </c>
      <c r="BD314" s="3">
        <v>0.16402284263959391</v>
      </c>
      <c r="BE314">
        <v>607.4</v>
      </c>
      <c r="BG314" s="2">
        <f t="shared" si="19"/>
        <v>37824</v>
      </c>
      <c r="BH314" t="str" cm="1">
        <f t="array" ref="BH314">_xlfn.IFS(Q314&lt;5,"0-5 Years",Q314&lt;10,"5-10 Years",Q314&lt;15,"10-15 Years",TRUE,"15+ Years")</f>
        <v>0-5 Years</v>
      </c>
      <c r="BI314" t="str" cm="1">
        <f t="array" ref="BI314">_xlfn.IFS(AA314&gt;=540,"A",AA314&gt;=480,"B",AA314&gt;=420,"C",AA314&gt;=360,"D",TRUE,"F")</f>
        <v>B</v>
      </c>
      <c r="BJ314" t="str" cm="1">
        <f t="array" ref="BJ314">_xlfn.IFS(AU314&lt;0,"Separated",AU314&lt;=90,"High Risk",AU314&lt;=180,"Medium Risk",TRUE,"Retained")</f>
        <v>Separated</v>
      </c>
      <c r="BK314" t="str" cm="1">
        <f t="array" ref="BK314">_xlfn.IFS(V314=0,"No Combat",V314=1,"1 Tour",V314=2,"2 Tours",TRUE,"3+ Tours")</f>
        <v>1 Tour</v>
      </c>
      <c r="BL314" t="str">
        <f t="shared" si="20"/>
        <v>Standard</v>
      </c>
      <c r="BM314" t="str">
        <f t="shared" si="21"/>
        <v>Not Ready</v>
      </c>
      <c r="BN314" s="3">
        <f t="shared" si="22"/>
        <v>0.16402284263959391</v>
      </c>
      <c r="BO314">
        <f t="shared" si="23"/>
        <v>607.4</v>
      </c>
    </row>
    <row r="315" spans="1:67" x14ac:dyDescent="0.25">
      <c r="A315" t="s">
        <v>602</v>
      </c>
      <c r="B315" t="s">
        <v>120</v>
      </c>
      <c r="C315" t="s">
        <v>50</v>
      </c>
      <c r="D315" t="s">
        <v>51</v>
      </c>
      <c r="E315">
        <v>34</v>
      </c>
      <c r="F315" t="s">
        <v>382</v>
      </c>
      <c r="G315" t="s">
        <v>183</v>
      </c>
      <c r="H315" t="s">
        <v>184</v>
      </c>
      <c r="I315" t="s">
        <v>253</v>
      </c>
      <c r="J315" t="s">
        <v>254</v>
      </c>
      <c r="K315" t="s">
        <v>255</v>
      </c>
      <c r="L315" t="s">
        <v>58</v>
      </c>
      <c r="M315" t="s">
        <v>161</v>
      </c>
      <c r="N315" t="s">
        <v>265</v>
      </c>
      <c r="O315" t="s">
        <v>176</v>
      </c>
      <c r="P315" s="1">
        <v>40203</v>
      </c>
      <c r="Q315">
        <v>14.3</v>
      </c>
      <c r="R315" t="s">
        <v>150</v>
      </c>
      <c r="S315" t="s">
        <v>219</v>
      </c>
      <c r="T315" t="s">
        <v>220</v>
      </c>
      <c r="U315">
        <v>0</v>
      </c>
      <c r="V315">
        <v>0</v>
      </c>
      <c r="W315" s="2">
        <v>5696</v>
      </c>
      <c r="X315" s="2">
        <v>0</v>
      </c>
      <c r="Y315" s="2">
        <v>266</v>
      </c>
      <c r="Z315" s="2">
        <v>5962</v>
      </c>
      <c r="AA315">
        <v>342</v>
      </c>
      <c r="AB315" t="s">
        <v>151</v>
      </c>
      <c r="AC315">
        <v>16.7</v>
      </c>
      <c r="AD315">
        <v>27</v>
      </c>
      <c r="AE315">
        <v>44</v>
      </c>
      <c r="AF315" t="s">
        <v>112</v>
      </c>
      <c r="AG315">
        <v>27</v>
      </c>
      <c r="AH315" t="s">
        <v>113</v>
      </c>
      <c r="AI315" t="s">
        <v>152</v>
      </c>
      <c r="AJ315" t="s">
        <v>72</v>
      </c>
      <c r="AK315" t="s">
        <v>70</v>
      </c>
      <c r="AL315" t="s">
        <v>71</v>
      </c>
      <c r="AM315" t="s">
        <v>70</v>
      </c>
      <c r="AN315" t="s">
        <v>202</v>
      </c>
      <c r="AO315" t="s">
        <v>97</v>
      </c>
      <c r="AP315" t="s">
        <v>97</v>
      </c>
      <c r="AQ315" t="s">
        <v>117</v>
      </c>
      <c r="AR315" s="1">
        <v>45645</v>
      </c>
      <c r="AS315" t="s">
        <v>118</v>
      </c>
      <c r="AT315" t="s">
        <v>71</v>
      </c>
      <c r="AU315">
        <v>735</v>
      </c>
      <c r="AV315" t="s">
        <v>76</v>
      </c>
      <c r="AW315" s="3">
        <v>71544</v>
      </c>
      <c r="AX315" t="s">
        <v>805</v>
      </c>
      <c r="AY315" t="s">
        <v>122</v>
      </c>
      <c r="AZ315" t="s">
        <v>76</v>
      </c>
      <c r="BA315" t="s">
        <v>800</v>
      </c>
      <c r="BB315" t="s">
        <v>801</v>
      </c>
      <c r="BC315" t="s">
        <v>802</v>
      </c>
      <c r="BD315" s="3">
        <v>5.7363300905736332E-2</v>
      </c>
      <c r="BE315">
        <v>406.4</v>
      </c>
      <c r="BG315" s="2">
        <f t="shared" si="19"/>
        <v>71544</v>
      </c>
      <c r="BH315" t="str" cm="1">
        <f t="array" ref="BH315">_xlfn.IFS(Q315&lt;5,"0-5 Years",Q315&lt;10,"5-10 Years",Q315&lt;15,"10-15 Years",TRUE,"15+ Years")</f>
        <v>10-15 Years</v>
      </c>
      <c r="BI315" t="str" cm="1">
        <f t="array" ref="BI315">_xlfn.IFS(AA315&gt;=540,"A",AA315&gt;=480,"B",AA315&gt;=420,"C",AA315&gt;=360,"D",TRUE,"F")</f>
        <v>F</v>
      </c>
      <c r="BJ315" t="str" cm="1">
        <f t="array" ref="BJ315">_xlfn.IFS(AU315&lt;0,"Separated",AU315&lt;=90,"High Risk",AU315&lt;=180,"Medium Risk",TRUE,"Retained")</f>
        <v>Retained</v>
      </c>
      <c r="BK315" t="str" cm="1">
        <f t="array" ref="BK315">_xlfn.IFS(V315=0,"No Combat",V315=1,"1 Tour",V315=2,"2 Tours",TRUE,"3+ Tours")</f>
        <v>No Combat</v>
      </c>
      <c r="BL315" t="str">
        <f t="shared" si="20"/>
        <v>Standard</v>
      </c>
      <c r="BM315" t="str">
        <f t="shared" si="21"/>
        <v>Not Ready</v>
      </c>
      <c r="BN315" s="3">
        <f t="shared" si="22"/>
        <v>5.7363300905736332E-2</v>
      </c>
      <c r="BO315">
        <f t="shared" si="23"/>
        <v>406.4</v>
      </c>
    </row>
    <row r="316" spans="1:67" x14ac:dyDescent="0.25">
      <c r="A316" t="s">
        <v>603</v>
      </c>
      <c r="B316" t="s">
        <v>277</v>
      </c>
      <c r="C316" t="s">
        <v>332</v>
      </c>
      <c r="D316" t="s">
        <v>51</v>
      </c>
      <c r="E316">
        <v>41</v>
      </c>
      <c r="F316" t="s">
        <v>80</v>
      </c>
      <c r="G316" t="s">
        <v>242</v>
      </c>
      <c r="H316" t="s">
        <v>54</v>
      </c>
      <c r="I316" t="s">
        <v>236</v>
      </c>
      <c r="J316" t="s">
        <v>237</v>
      </c>
      <c r="K316" t="s">
        <v>238</v>
      </c>
      <c r="L316" t="s">
        <v>126</v>
      </c>
      <c r="M316" t="s">
        <v>175</v>
      </c>
      <c r="N316" t="s">
        <v>88</v>
      </c>
      <c r="O316" t="s">
        <v>176</v>
      </c>
      <c r="P316" s="1">
        <v>44180</v>
      </c>
      <c r="Q316">
        <v>3.5</v>
      </c>
      <c r="R316" t="s">
        <v>90</v>
      </c>
      <c r="S316" t="s">
        <v>196</v>
      </c>
      <c r="T316" t="s">
        <v>197</v>
      </c>
      <c r="U316">
        <v>0</v>
      </c>
      <c r="V316">
        <v>0</v>
      </c>
      <c r="W316" s="2">
        <v>4739</v>
      </c>
      <c r="X316" s="2">
        <v>0</v>
      </c>
      <c r="Y316" s="2">
        <v>422</v>
      </c>
      <c r="Z316" s="2">
        <v>5161</v>
      </c>
      <c r="AA316">
        <v>365</v>
      </c>
      <c r="AB316" t="s">
        <v>65</v>
      </c>
      <c r="AC316">
        <v>19.8</v>
      </c>
      <c r="AD316">
        <v>82</v>
      </c>
      <c r="AE316">
        <v>39</v>
      </c>
      <c r="AF316" t="s">
        <v>112</v>
      </c>
      <c r="AG316">
        <v>20</v>
      </c>
      <c r="AH316" t="s">
        <v>113</v>
      </c>
      <c r="AI316" t="s">
        <v>114</v>
      </c>
      <c r="AJ316" t="s">
        <v>72</v>
      </c>
      <c r="AK316" t="s">
        <v>71</v>
      </c>
      <c r="AL316" t="s">
        <v>70</v>
      </c>
      <c r="AM316" t="s">
        <v>70</v>
      </c>
      <c r="AN316" t="s">
        <v>72</v>
      </c>
      <c r="AO316" t="s">
        <v>227</v>
      </c>
      <c r="AP316" t="s">
        <v>72</v>
      </c>
      <c r="AQ316" t="s">
        <v>74</v>
      </c>
      <c r="AR316" s="1">
        <v>44092</v>
      </c>
      <c r="AS316" t="s">
        <v>137</v>
      </c>
      <c r="AT316" t="s">
        <v>71</v>
      </c>
      <c r="AU316">
        <v>244</v>
      </c>
      <c r="AV316" t="s">
        <v>76</v>
      </c>
      <c r="AW316" s="3">
        <v>61932</v>
      </c>
      <c r="AX316" t="s">
        <v>803</v>
      </c>
      <c r="AY316" t="s">
        <v>809</v>
      </c>
      <c r="AZ316" t="s">
        <v>76</v>
      </c>
      <c r="BA316" t="s">
        <v>800</v>
      </c>
      <c r="BB316" t="s">
        <v>801</v>
      </c>
      <c r="BC316" t="s">
        <v>802</v>
      </c>
      <c r="BD316" s="3">
        <v>7.0722728153458633E-2</v>
      </c>
      <c r="BE316">
        <v>415.4</v>
      </c>
      <c r="BG316" s="2">
        <f t="shared" si="19"/>
        <v>61932</v>
      </c>
      <c r="BH316" t="str" cm="1">
        <f t="array" ref="BH316">_xlfn.IFS(Q316&lt;5,"0-5 Years",Q316&lt;10,"5-10 Years",Q316&lt;15,"10-15 Years",TRUE,"15+ Years")</f>
        <v>0-5 Years</v>
      </c>
      <c r="BI316" t="str" cm="1">
        <f t="array" ref="BI316">_xlfn.IFS(AA316&gt;=540,"A",AA316&gt;=480,"B",AA316&gt;=420,"C",AA316&gt;=360,"D",TRUE,"F")</f>
        <v>D</v>
      </c>
      <c r="BJ316" t="str" cm="1">
        <f t="array" ref="BJ316">_xlfn.IFS(AU316&lt;0,"Separated",AU316&lt;=90,"High Risk",AU316&lt;=180,"Medium Risk",TRUE,"Retained")</f>
        <v>Retained</v>
      </c>
      <c r="BK316" t="str" cm="1">
        <f t="array" ref="BK316">_xlfn.IFS(V316=0,"No Combat",V316=1,"1 Tour",V316=2,"2 Tours",TRUE,"3+ Tours")</f>
        <v>No Combat</v>
      </c>
      <c r="BL316" t="str">
        <f t="shared" si="20"/>
        <v>Standard</v>
      </c>
      <c r="BM316" t="str">
        <f t="shared" si="21"/>
        <v>Not Ready</v>
      </c>
      <c r="BN316" s="3">
        <f t="shared" si="22"/>
        <v>7.0722728153458633E-2</v>
      </c>
      <c r="BO316">
        <f t="shared" si="23"/>
        <v>415.4</v>
      </c>
    </row>
    <row r="317" spans="1:67" x14ac:dyDescent="0.25">
      <c r="A317" t="s">
        <v>604</v>
      </c>
      <c r="B317" t="s">
        <v>267</v>
      </c>
      <c r="C317" t="s">
        <v>121</v>
      </c>
      <c r="D317" t="s">
        <v>122</v>
      </c>
      <c r="E317">
        <v>42</v>
      </c>
      <c r="F317" t="s">
        <v>322</v>
      </c>
      <c r="G317" t="s">
        <v>285</v>
      </c>
      <c r="H317" t="s">
        <v>286</v>
      </c>
      <c r="I317" t="s">
        <v>253</v>
      </c>
      <c r="J317" t="s">
        <v>254</v>
      </c>
      <c r="K317" t="s">
        <v>255</v>
      </c>
      <c r="L317" t="s">
        <v>126</v>
      </c>
      <c r="M317" t="s">
        <v>59</v>
      </c>
      <c r="N317" t="s">
        <v>162</v>
      </c>
      <c r="O317" t="s">
        <v>61</v>
      </c>
      <c r="P317" s="1">
        <v>44853</v>
      </c>
      <c r="Q317">
        <v>1.6</v>
      </c>
      <c r="R317" t="s">
        <v>75</v>
      </c>
      <c r="S317" t="s">
        <v>219</v>
      </c>
      <c r="T317" t="s">
        <v>220</v>
      </c>
      <c r="U317">
        <v>0</v>
      </c>
      <c r="V317">
        <v>0</v>
      </c>
      <c r="W317" s="2">
        <v>7668</v>
      </c>
      <c r="X317" s="2">
        <v>0</v>
      </c>
      <c r="Y317" s="2">
        <v>266</v>
      </c>
      <c r="Z317" s="2">
        <v>7934</v>
      </c>
      <c r="AA317">
        <v>486</v>
      </c>
      <c r="AB317" t="s">
        <v>65</v>
      </c>
      <c r="AC317">
        <v>19.3</v>
      </c>
      <c r="AD317">
        <v>61</v>
      </c>
      <c r="AE317">
        <v>45</v>
      </c>
      <c r="AF317" t="s">
        <v>132</v>
      </c>
      <c r="AG317">
        <v>33</v>
      </c>
      <c r="AH317" t="s">
        <v>67</v>
      </c>
      <c r="AI317" t="s">
        <v>177</v>
      </c>
      <c r="AJ317" t="s">
        <v>72</v>
      </c>
      <c r="AK317" t="s">
        <v>70</v>
      </c>
      <c r="AL317" t="s">
        <v>70</v>
      </c>
      <c r="AM317" t="s">
        <v>70</v>
      </c>
      <c r="AN317" t="s">
        <v>72</v>
      </c>
      <c r="AO317" t="s">
        <v>287</v>
      </c>
      <c r="AP317" t="s">
        <v>287</v>
      </c>
      <c r="AQ317" t="s">
        <v>98</v>
      </c>
      <c r="AR317" s="1">
        <v>44978</v>
      </c>
      <c r="AS317" t="s">
        <v>118</v>
      </c>
      <c r="AT317" t="s">
        <v>70</v>
      </c>
      <c r="AU317">
        <v>-430</v>
      </c>
      <c r="AV317" t="s">
        <v>179</v>
      </c>
      <c r="AW317" s="3">
        <v>95208</v>
      </c>
      <c r="AX317" t="s">
        <v>803</v>
      </c>
      <c r="AY317" t="s">
        <v>806</v>
      </c>
      <c r="AZ317" t="s">
        <v>810</v>
      </c>
      <c r="BA317" t="s">
        <v>800</v>
      </c>
      <c r="BB317" t="s">
        <v>801</v>
      </c>
      <c r="BC317" t="s">
        <v>802</v>
      </c>
      <c r="BD317" s="3">
        <v>6.1255356692714896E-2</v>
      </c>
      <c r="BE317">
        <v>552.4</v>
      </c>
      <c r="BG317" s="2">
        <f t="shared" si="19"/>
        <v>95208</v>
      </c>
      <c r="BH317" t="str" cm="1">
        <f t="array" ref="BH317">_xlfn.IFS(Q317&lt;5,"0-5 Years",Q317&lt;10,"5-10 Years",Q317&lt;15,"10-15 Years",TRUE,"15+ Years")</f>
        <v>0-5 Years</v>
      </c>
      <c r="BI317" t="str" cm="1">
        <f t="array" ref="BI317">_xlfn.IFS(AA317&gt;=540,"A",AA317&gt;=480,"B",AA317&gt;=420,"C",AA317&gt;=360,"D",TRUE,"F")</f>
        <v>B</v>
      </c>
      <c r="BJ317" t="str" cm="1">
        <f t="array" ref="BJ317">_xlfn.IFS(AU317&lt;0,"Separated",AU317&lt;=90,"High Risk",AU317&lt;=180,"Medium Risk",TRUE,"Retained")</f>
        <v>Separated</v>
      </c>
      <c r="BK317" t="str" cm="1">
        <f t="array" ref="BK317">_xlfn.IFS(V317=0,"No Combat",V317=1,"1 Tour",V317=2,"2 Tours",TRUE,"3+ Tours")</f>
        <v>No Combat</v>
      </c>
      <c r="BL317" t="str">
        <f t="shared" si="20"/>
        <v>Standard</v>
      </c>
      <c r="BM317" t="str">
        <f t="shared" si="21"/>
        <v>Not Ready</v>
      </c>
      <c r="BN317" s="3">
        <f t="shared" si="22"/>
        <v>6.1255356692714896E-2</v>
      </c>
      <c r="BO317">
        <f t="shared" si="23"/>
        <v>552.4</v>
      </c>
    </row>
    <row r="318" spans="1:67" x14ac:dyDescent="0.25">
      <c r="A318" t="s">
        <v>605</v>
      </c>
      <c r="B318" t="s">
        <v>377</v>
      </c>
      <c r="C318" t="s">
        <v>167</v>
      </c>
      <c r="D318" t="s">
        <v>51</v>
      </c>
      <c r="E318">
        <v>39</v>
      </c>
      <c r="F318" t="s">
        <v>241</v>
      </c>
      <c r="G318" t="s">
        <v>81</v>
      </c>
      <c r="H318" t="s">
        <v>82</v>
      </c>
      <c r="I318" t="s">
        <v>268</v>
      </c>
      <c r="J318" t="s">
        <v>269</v>
      </c>
      <c r="K318" t="s">
        <v>173</v>
      </c>
      <c r="L318" t="s">
        <v>86</v>
      </c>
      <c r="M318" t="s">
        <v>161</v>
      </c>
      <c r="N318" t="s">
        <v>128</v>
      </c>
      <c r="O318" t="s">
        <v>149</v>
      </c>
      <c r="P318" s="1">
        <v>40767</v>
      </c>
      <c r="Q318">
        <v>12.8</v>
      </c>
      <c r="R318" t="s">
        <v>129</v>
      </c>
      <c r="S318" t="s">
        <v>91</v>
      </c>
      <c r="T318" t="s">
        <v>92</v>
      </c>
      <c r="U318">
        <v>4</v>
      </c>
      <c r="V318">
        <v>0</v>
      </c>
      <c r="W318" s="2">
        <v>2504</v>
      </c>
      <c r="X318" s="2">
        <v>1929</v>
      </c>
      <c r="Y318" s="2">
        <v>422</v>
      </c>
      <c r="Z318" s="2">
        <v>4855</v>
      </c>
      <c r="AA318">
        <v>318</v>
      </c>
      <c r="AB318" t="s">
        <v>151</v>
      </c>
      <c r="AC318">
        <v>14.6</v>
      </c>
      <c r="AD318">
        <v>72</v>
      </c>
      <c r="AE318">
        <v>44</v>
      </c>
      <c r="AF318" t="s">
        <v>93</v>
      </c>
      <c r="AG318">
        <v>19</v>
      </c>
      <c r="AH318" t="s">
        <v>113</v>
      </c>
      <c r="AI318" t="s">
        <v>177</v>
      </c>
      <c r="AJ318" t="s">
        <v>69</v>
      </c>
      <c r="AK318" t="s">
        <v>70</v>
      </c>
      <c r="AL318" t="s">
        <v>71</v>
      </c>
      <c r="AM318" t="s">
        <v>71</v>
      </c>
      <c r="AN318" t="s">
        <v>202</v>
      </c>
      <c r="AO318" t="s">
        <v>72</v>
      </c>
      <c r="AP318" t="s">
        <v>227</v>
      </c>
      <c r="AQ318" t="s">
        <v>136</v>
      </c>
      <c r="AR318" s="1">
        <v>40791</v>
      </c>
      <c r="AS318" t="s">
        <v>198</v>
      </c>
      <c r="AT318" t="s">
        <v>71</v>
      </c>
      <c r="AU318">
        <v>101</v>
      </c>
      <c r="AV318" t="s">
        <v>179</v>
      </c>
      <c r="AW318" s="3">
        <v>58260</v>
      </c>
      <c r="AX318" t="s">
        <v>805</v>
      </c>
      <c r="AY318" t="s">
        <v>122</v>
      </c>
      <c r="AZ318" t="s">
        <v>815</v>
      </c>
      <c r="BA318" t="s">
        <v>800</v>
      </c>
      <c r="BB318" t="s">
        <v>801</v>
      </c>
      <c r="BC318" t="s">
        <v>802</v>
      </c>
      <c r="BD318" s="3">
        <v>6.5499485066941296E-2</v>
      </c>
      <c r="BE318">
        <v>386.4</v>
      </c>
      <c r="BG318" s="2">
        <f t="shared" si="19"/>
        <v>58260</v>
      </c>
      <c r="BH318" t="str" cm="1">
        <f t="array" ref="BH318">_xlfn.IFS(Q318&lt;5,"0-5 Years",Q318&lt;10,"5-10 Years",Q318&lt;15,"10-15 Years",TRUE,"15+ Years")</f>
        <v>10-15 Years</v>
      </c>
      <c r="BI318" t="str" cm="1">
        <f t="array" ref="BI318">_xlfn.IFS(AA318&gt;=540,"A",AA318&gt;=480,"B",AA318&gt;=420,"C",AA318&gt;=360,"D",TRUE,"F")</f>
        <v>F</v>
      </c>
      <c r="BJ318" t="str" cm="1">
        <f t="array" ref="BJ318">_xlfn.IFS(AU318&lt;0,"Separated",AU318&lt;=90,"High Risk",AU318&lt;=180,"Medium Risk",TRUE,"Retained")</f>
        <v>Medium Risk</v>
      </c>
      <c r="BK318" t="str" cm="1">
        <f t="array" ref="BK318">_xlfn.IFS(V318=0,"No Combat",V318=1,"1 Tour",V318=2,"2 Tours",TRUE,"3+ Tours")</f>
        <v>No Combat</v>
      </c>
      <c r="BL318" t="str">
        <f t="shared" si="20"/>
        <v>Standard</v>
      </c>
      <c r="BM318" t="str">
        <f t="shared" si="21"/>
        <v>Not Ready</v>
      </c>
      <c r="BN318" s="3">
        <f t="shared" si="22"/>
        <v>6.5499485066941296E-2</v>
      </c>
      <c r="BO318">
        <f t="shared" si="23"/>
        <v>386.4</v>
      </c>
    </row>
    <row r="319" spans="1:67" x14ac:dyDescent="0.25">
      <c r="A319" t="s">
        <v>606</v>
      </c>
      <c r="B319" t="s">
        <v>259</v>
      </c>
      <c r="C319" t="s">
        <v>233</v>
      </c>
      <c r="D319" t="s">
        <v>51</v>
      </c>
      <c r="E319">
        <v>37</v>
      </c>
      <c r="F319" t="s">
        <v>123</v>
      </c>
      <c r="G319" t="s">
        <v>53</v>
      </c>
      <c r="H319" t="s">
        <v>54</v>
      </c>
      <c r="I319" t="s">
        <v>171</v>
      </c>
      <c r="J319" t="s">
        <v>172</v>
      </c>
      <c r="K319" t="s">
        <v>173</v>
      </c>
      <c r="L319" t="s">
        <v>174</v>
      </c>
      <c r="M319" t="s">
        <v>87</v>
      </c>
      <c r="N319" t="s">
        <v>128</v>
      </c>
      <c r="O319" t="s">
        <v>109</v>
      </c>
      <c r="P319" s="1">
        <v>39579</v>
      </c>
      <c r="Q319">
        <v>16.100000000000001</v>
      </c>
      <c r="R319" t="s">
        <v>195</v>
      </c>
      <c r="S319" t="s">
        <v>196</v>
      </c>
      <c r="T319" t="s">
        <v>197</v>
      </c>
      <c r="U319">
        <v>0</v>
      </c>
      <c r="V319">
        <v>0</v>
      </c>
      <c r="W319" s="2">
        <v>4739</v>
      </c>
      <c r="X319" s="2">
        <v>1173</v>
      </c>
      <c r="Y319" s="2">
        <v>422</v>
      </c>
      <c r="Z319" s="2">
        <v>6334</v>
      </c>
      <c r="AA319">
        <v>443</v>
      </c>
      <c r="AB319" t="s">
        <v>65</v>
      </c>
      <c r="AC319">
        <v>18.8</v>
      </c>
      <c r="AD319">
        <v>67</v>
      </c>
      <c r="AE319">
        <v>63</v>
      </c>
      <c r="AF319" t="s">
        <v>132</v>
      </c>
      <c r="AG319">
        <v>29</v>
      </c>
      <c r="AH319" t="s">
        <v>113</v>
      </c>
      <c r="AI319" t="s">
        <v>152</v>
      </c>
      <c r="AJ319" t="s">
        <v>72</v>
      </c>
      <c r="AK319" t="s">
        <v>70</v>
      </c>
      <c r="AL319" t="s">
        <v>71</v>
      </c>
      <c r="AM319" t="s">
        <v>71</v>
      </c>
      <c r="AN319" t="s">
        <v>72</v>
      </c>
      <c r="AO319" t="s">
        <v>72</v>
      </c>
      <c r="AP319" t="s">
        <v>72</v>
      </c>
      <c r="AQ319" t="s">
        <v>136</v>
      </c>
      <c r="AR319" s="1">
        <v>42918</v>
      </c>
      <c r="AS319" t="s">
        <v>118</v>
      </c>
      <c r="AT319" t="s">
        <v>71</v>
      </c>
      <c r="AU319">
        <v>1360</v>
      </c>
      <c r="AV319" t="s">
        <v>76</v>
      </c>
      <c r="AW319" s="3">
        <v>76008</v>
      </c>
      <c r="AX319" t="s">
        <v>798</v>
      </c>
      <c r="AY319" t="s">
        <v>804</v>
      </c>
      <c r="AZ319" t="s">
        <v>76</v>
      </c>
      <c r="BA319" t="s">
        <v>800</v>
      </c>
      <c r="BB319" t="s">
        <v>801</v>
      </c>
      <c r="BC319" t="s">
        <v>802</v>
      </c>
      <c r="BD319" s="3">
        <v>6.9940006315124717E-2</v>
      </c>
      <c r="BE319">
        <v>531.4</v>
      </c>
      <c r="BG319" s="2">
        <f t="shared" si="19"/>
        <v>76008</v>
      </c>
      <c r="BH319" t="str" cm="1">
        <f t="array" ref="BH319">_xlfn.IFS(Q319&lt;5,"0-5 Years",Q319&lt;10,"5-10 Years",Q319&lt;15,"10-15 Years",TRUE,"15+ Years")</f>
        <v>15+ Years</v>
      </c>
      <c r="BI319" t="str" cm="1">
        <f t="array" ref="BI319">_xlfn.IFS(AA319&gt;=540,"A",AA319&gt;=480,"B",AA319&gt;=420,"C",AA319&gt;=360,"D",TRUE,"F")</f>
        <v>C</v>
      </c>
      <c r="BJ319" t="str" cm="1">
        <f t="array" ref="BJ319">_xlfn.IFS(AU319&lt;0,"Separated",AU319&lt;=90,"High Risk",AU319&lt;=180,"Medium Risk",TRUE,"Retained")</f>
        <v>Retained</v>
      </c>
      <c r="BK319" t="str" cm="1">
        <f t="array" ref="BK319">_xlfn.IFS(V319=0,"No Combat",V319=1,"1 Tour",V319=2,"2 Tours",TRUE,"3+ Tours")</f>
        <v>No Combat</v>
      </c>
      <c r="BL319" t="str">
        <f t="shared" si="20"/>
        <v>Standard</v>
      </c>
      <c r="BM319" t="str">
        <f t="shared" si="21"/>
        <v>Not Ready</v>
      </c>
      <c r="BN319" s="3">
        <f t="shared" si="22"/>
        <v>6.9940006315124717E-2</v>
      </c>
      <c r="BO319">
        <f t="shared" si="23"/>
        <v>531.4</v>
      </c>
    </row>
    <row r="320" spans="1:67" x14ac:dyDescent="0.25">
      <c r="A320" t="s">
        <v>607</v>
      </c>
      <c r="B320" t="s">
        <v>120</v>
      </c>
      <c r="C320" t="s">
        <v>252</v>
      </c>
      <c r="D320" t="s">
        <v>51</v>
      </c>
      <c r="E320">
        <v>38</v>
      </c>
      <c r="F320" t="s">
        <v>52</v>
      </c>
      <c r="G320" t="s">
        <v>183</v>
      </c>
      <c r="H320" t="s">
        <v>184</v>
      </c>
      <c r="I320" t="s">
        <v>236</v>
      </c>
      <c r="J320" t="s">
        <v>237</v>
      </c>
      <c r="K320" t="s">
        <v>238</v>
      </c>
      <c r="L320" t="s">
        <v>58</v>
      </c>
      <c r="M320" t="s">
        <v>207</v>
      </c>
      <c r="N320" t="s">
        <v>60</v>
      </c>
      <c r="O320" t="s">
        <v>61</v>
      </c>
      <c r="P320" s="1">
        <v>41445</v>
      </c>
      <c r="Q320">
        <v>10.9</v>
      </c>
      <c r="R320" t="s">
        <v>90</v>
      </c>
      <c r="S320" t="s">
        <v>130</v>
      </c>
      <c r="T320" t="s">
        <v>131</v>
      </c>
      <c r="U320">
        <v>6</v>
      </c>
      <c r="V320">
        <v>1</v>
      </c>
      <c r="W320" s="2">
        <v>5696</v>
      </c>
      <c r="X320" s="2">
        <v>0</v>
      </c>
      <c r="Y320" s="2">
        <v>266</v>
      </c>
      <c r="Z320" s="2">
        <v>5962</v>
      </c>
      <c r="AA320">
        <v>576</v>
      </c>
      <c r="AB320" t="s">
        <v>65</v>
      </c>
      <c r="AC320">
        <v>14.4</v>
      </c>
      <c r="AD320">
        <v>31</v>
      </c>
      <c r="AE320">
        <v>77</v>
      </c>
      <c r="AF320" t="s">
        <v>66</v>
      </c>
      <c r="AG320">
        <v>38</v>
      </c>
      <c r="AH320" t="s">
        <v>94</v>
      </c>
      <c r="AI320" t="s">
        <v>114</v>
      </c>
      <c r="AJ320" t="s">
        <v>69</v>
      </c>
      <c r="AK320" t="s">
        <v>70</v>
      </c>
      <c r="AL320" t="s">
        <v>71</v>
      </c>
      <c r="AM320" t="s">
        <v>70</v>
      </c>
      <c r="AN320" t="s">
        <v>72</v>
      </c>
      <c r="AO320" t="s">
        <v>287</v>
      </c>
      <c r="AP320" t="s">
        <v>72</v>
      </c>
      <c r="AQ320" t="s">
        <v>74</v>
      </c>
      <c r="AR320" s="1">
        <v>41912</v>
      </c>
      <c r="AS320" t="s">
        <v>75</v>
      </c>
      <c r="AT320" t="s">
        <v>71</v>
      </c>
      <c r="AU320">
        <v>985</v>
      </c>
      <c r="AV320" t="s">
        <v>76</v>
      </c>
      <c r="AW320" s="3">
        <v>71544</v>
      </c>
      <c r="AX320" t="s">
        <v>805</v>
      </c>
      <c r="AY320" t="s">
        <v>799</v>
      </c>
      <c r="AZ320" t="s">
        <v>76</v>
      </c>
      <c r="BA320" t="s">
        <v>807</v>
      </c>
      <c r="BB320" t="s">
        <v>814</v>
      </c>
      <c r="BC320" t="s">
        <v>802</v>
      </c>
      <c r="BD320" s="3">
        <v>9.6611875209661191E-2</v>
      </c>
      <c r="BE320">
        <v>662.4</v>
      </c>
      <c r="BG320" s="2">
        <f t="shared" si="19"/>
        <v>71544</v>
      </c>
      <c r="BH320" t="str" cm="1">
        <f t="array" ref="BH320">_xlfn.IFS(Q320&lt;5,"0-5 Years",Q320&lt;10,"5-10 Years",Q320&lt;15,"10-15 Years",TRUE,"15+ Years")</f>
        <v>10-15 Years</v>
      </c>
      <c r="BI320" t="str" cm="1">
        <f t="array" ref="BI320">_xlfn.IFS(AA320&gt;=540,"A",AA320&gt;=480,"B",AA320&gt;=420,"C",AA320&gt;=360,"D",TRUE,"F")</f>
        <v>A</v>
      </c>
      <c r="BJ320" t="str" cm="1">
        <f t="array" ref="BJ320">_xlfn.IFS(AU320&lt;0,"Separated",AU320&lt;=90,"High Risk",AU320&lt;=180,"Medium Risk",TRUE,"Retained")</f>
        <v>Retained</v>
      </c>
      <c r="BK320" t="str" cm="1">
        <f t="array" ref="BK320">_xlfn.IFS(V320=0,"No Combat",V320=1,"1 Tour",V320=2,"2 Tours",TRUE,"3+ Tours")</f>
        <v>1 Tour</v>
      </c>
      <c r="BL320" t="str">
        <f t="shared" si="20"/>
        <v>High Performer</v>
      </c>
      <c r="BM320" t="str">
        <f t="shared" si="21"/>
        <v>Not Ready</v>
      </c>
      <c r="BN320" s="3">
        <f t="shared" si="22"/>
        <v>9.6611875209661191E-2</v>
      </c>
      <c r="BO320">
        <f t="shared" si="23"/>
        <v>662.4</v>
      </c>
    </row>
    <row r="321" spans="1:67" x14ac:dyDescent="0.25">
      <c r="A321" t="s">
        <v>608</v>
      </c>
      <c r="B321" t="s">
        <v>120</v>
      </c>
      <c r="C321" t="s">
        <v>50</v>
      </c>
      <c r="D321" t="s">
        <v>51</v>
      </c>
      <c r="E321">
        <v>18</v>
      </c>
      <c r="F321" t="s">
        <v>248</v>
      </c>
      <c r="G321" t="s">
        <v>142</v>
      </c>
      <c r="H321" t="s">
        <v>143</v>
      </c>
      <c r="I321" t="s">
        <v>273</v>
      </c>
      <c r="J321" t="s">
        <v>274</v>
      </c>
      <c r="K321" t="s">
        <v>57</v>
      </c>
      <c r="L321" t="s">
        <v>201</v>
      </c>
      <c r="M321" t="s">
        <v>127</v>
      </c>
      <c r="N321" t="s">
        <v>60</v>
      </c>
      <c r="O321" t="s">
        <v>149</v>
      </c>
      <c r="P321" s="1">
        <v>43244</v>
      </c>
      <c r="Q321">
        <v>6</v>
      </c>
      <c r="R321" t="s">
        <v>150</v>
      </c>
      <c r="S321" t="s">
        <v>163</v>
      </c>
      <c r="T321" t="s">
        <v>164</v>
      </c>
      <c r="U321">
        <v>9</v>
      </c>
      <c r="V321">
        <v>1</v>
      </c>
      <c r="W321" s="2">
        <v>5473</v>
      </c>
      <c r="X321" s="2">
        <v>0</v>
      </c>
      <c r="Y321" s="2">
        <v>422</v>
      </c>
      <c r="Z321" s="2">
        <v>5895</v>
      </c>
      <c r="AA321">
        <v>427</v>
      </c>
      <c r="AB321" t="s">
        <v>65</v>
      </c>
      <c r="AC321">
        <v>17.899999999999999</v>
      </c>
      <c r="AD321">
        <v>22</v>
      </c>
      <c r="AE321">
        <v>45</v>
      </c>
      <c r="AF321" t="s">
        <v>66</v>
      </c>
      <c r="AG321">
        <v>34</v>
      </c>
      <c r="AH321" t="s">
        <v>67</v>
      </c>
      <c r="AI321" t="s">
        <v>68</v>
      </c>
      <c r="AJ321" t="s">
        <v>72</v>
      </c>
      <c r="AK321" t="s">
        <v>70</v>
      </c>
      <c r="AL321" t="s">
        <v>71</v>
      </c>
      <c r="AM321" t="s">
        <v>70</v>
      </c>
      <c r="AN321" t="s">
        <v>243</v>
      </c>
      <c r="AO321" t="s">
        <v>116</v>
      </c>
      <c r="AP321" t="s">
        <v>72</v>
      </c>
      <c r="AQ321" t="s">
        <v>74</v>
      </c>
      <c r="AR321" s="1">
        <v>44701</v>
      </c>
      <c r="AS321" t="s">
        <v>198</v>
      </c>
      <c r="AT321" t="s">
        <v>71</v>
      </c>
      <c r="AU321">
        <v>957</v>
      </c>
      <c r="AV321" t="s">
        <v>76</v>
      </c>
      <c r="AW321" s="3">
        <v>70740</v>
      </c>
      <c r="AX321" t="s">
        <v>808</v>
      </c>
      <c r="AY321" t="s">
        <v>804</v>
      </c>
      <c r="AZ321" t="s">
        <v>76</v>
      </c>
      <c r="BA321" t="s">
        <v>807</v>
      </c>
      <c r="BB321" t="s">
        <v>801</v>
      </c>
      <c r="BC321" t="s">
        <v>802</v>
      </c>
      <c r="BD321" s="3">
        <v>7.2434266327396093E-2</v>
      </c>
      <c r="BE321">
        <v>505.4</v>
      </c>
      <c r="BG321" s="2">
        <f t="shared" si="19"/>
        <v>70740</v>
      </c>
      <c r="BH321" t="str" cm="1">
        <f t="array" ref="BH321">_xlfn.IFS(Q321&lt;5,"0-5 Years",Q321&lt;10,"5-10 Years",Q321&lt;15,"10-15 Years",TRUE,"15+ Years")</f>
        <v>5-10 Years</v>
      </c>
      <c r="BI321" t="str" cm="1">
        <f t="array" ref="BI321">_xlfn.IFS(AA321&gt;=540,"A",AA321&gt;=480,"B",AA321&gt;=420,"C",AA321&gt;=360,"D",TRUE,"F")</f>
        <v>C</v>
      </c>
      <c r="BJ321" t="str" cm="1">
        <f t="array" ref="BJ321">_xlfn.IFS(AU321&lt;0,"Separated",AU321&lt;=90,"High Risk",AU321&lt;=180,"Medium Risk",TRUE,"Retained")</f>
        <v>Retained</v>
      </c>
      <c r="BK321" t="str" cm="1">
        <f t="array" ref="BK321">_xlfn.IFS(V321=0,"No Combat",V321=1,"1 Tour",V321=2,"2 Tours",TRUE,"3+ Tours")</f>
        <v>1 Tour</v>
      </c>
      <c r="BL321" t="str">
        <f t="shared" si="20"/>
        <v>Standard</v>
      </c>
      <c r="BM321" t="str">
        <f t="shared" si="21"/>
        <v>Not Ready</v>
      </c>
      <c r="BN321" s="3">
        <f t="shared" si="22"/>
        <v>7.2434266327396093E-2</v>
      </c>
      <c r="BO321">
        <f t="shared" si="23"/>
        <v>505.4</v>
      </c>
    </row>
    <row r="322" spans="1:67" x14ac:dyDescent="0.25">
      <c r="A322" t="s">
        <v>609</v>
      </c>
      <c r="B322" t="s">
        <v>267</v>
      </c>
      <c r="C322" t="s">
        <v>140</v>
      </c>
      <c r="D322" t="s">
        <v>51</v>
      </c>
      <c r="E322">
        <v>42</v>
      </c>
      <c r="F322" t="s">
        <v>123</v>
      </c>
      <c r="G322" t="s">
        <v>183</v>
      </c>
      <c r="H322" t="s">
        <v>184</v>
      </c>
      <c r="I322" t="s">
        <v>236</v>
      </c>
      <c r="J322" t="s">
        <v>237</v>
      </c>
      <c r="K322" t="s">
        <v>238</v>
      </c>
      <c r="L322" t="s">
        <v>106</v>
      </c>
      <c r="M322" t="s">
        <v>147</v>
      </c>
      <c r="N322" t="s">
        <v>60</v>
      </c>
      <c r="O322" t="s">
        <v>61</v>
      </c>
      <c r="P322" s="1">
        <v>44702</v>
      </c>
      <c r="Q322">
        <v>2</v>
      </c>
      <c r="R322" t="s">
        <v>129</v>
      </c>
      <c r="S322" t="s">
        <v>130</v>
      </c>
      <c r="T322" t="s">
        <v>131</v>
      </c>
      <c r="U322">
        <v>0</v>
      </c>
      <c r="V322">
        <v>0</v>
      </c>
      <c r="W322" s="2">
        <v>5696</v>
      </c>
      <c r="X322" s="2">
        <v>2002</v>
      </c>
      <c r="Y322" s="2">
        <v>266</v>
      </c>
      <c r="Z322" s="2">
        <v>7964</v>
      </c>
      <c r="AA322">
        <v>438</v>
      </c>
      <c r="AB322" t="s">
        <v>65</v>
      </c>
      <c r="AC322">
        <v>16.600000000000001</v>
      </c>
      <c r="AD322">
        <v>75</v>
      </c>
      <c r="AE322">
        <v>32</v>
      </c>
      <c r="AF322" t="s">
        <v>93</v>
      </c>
      <c r="AG322">
        <v>20</v>
      </c>
      <c r="AH322" t="s">
        <v>113</v>
      </c>
      <c r="AI322" t="s">
        <v>152</v>
      </c>
      <c r="AJ322" t="s">
        <v>188</v>
      </c>
      <c r="AK322" t="s">
        <v>70</v>
      </c>
      <c r="AL322" t="s">
        <v>70</v>
      </c>
      <c r="AM322" t="s">
        <v>70</v>
      </c>
      <c r="AN322" t="s">
        <v>202</v>
      </c>
      <c r="AO322" t="s">
        <v>72</v>
      </c>
      <c r="AP322" t="s">
        <v>72</v>
      </c>
      <c r="AQ322" t="s">
        <v>136</v>
      </c>
      <c r="AR322" s="1">
        <v>45256</v>
      </c>
      <c r="AS322" t="s">
        <v>75</v>
      </c>
      <c r="AT322" t="s">
        <v>71</v>
      </c>
      <c r="AU322">
        <v>691</v>
      </c>
      <c r="AV322" t="s">
        <v>76</v>
      </c>
      <c r="AW322" s="3">
        <v>95568</v>
      </c>
      <c r="AX322" t="s">
        <v>803</v>
      </c>
      <c r="AY322" t="s">
        <v>804</v>
      </c>
      <c r="AZ322" t="s">
        <v>76</v>
      </c>
      <c r="BA322" t="s">
        <v>800</v>
      </c>
      <c r="BB322" t="s">
        <v>801</v>
      </c>
      <c r="BC322" t="s">
        <v>802</v>
      </c>
      <c r="BD322" s="3">
        <v>5.4997488699146155E-2</v>
      </c>
      <c r="BE322">
        <v>478.4</v>
      </c>
      <c r="BG322" s="2">
        <f t="shared" si="19"/>
        <v>95568</v>
      </c>
      <c r="BH322" t="str" cm="1">
        <f t="array" ref="BH322">_xlfn.IFS(Q322&lt;5,"0-5 Years",Q322&lt;10,"5-10 Years",Q322&lt;15,"10-15 Years",TRUE,"15+ Years")</f>
        <v>0-5 Years</v>
      </c>
      <c r="BI322" t="str" cm="1">
        <f t="array" ref="BI322">_xlfn.IFS(AA322&gt;=540,"A",AA322&gt;=480,"B",AA322&gt;=420,"C",AA322&gt;=360,"D",TRUE,"F")</f>
        <v>C</v>
      </c>
      <c r="BJ322" t="str" cm="1">
        <f t="array" ref="BJ322">_xlfn.IFS(AU322&lt;0,"Separated",AU322&lt;=90,"High Risk",AU322&lt;=180,"Medium Risk",TRUE,"Retained")</f>
        <v>Retained</v>
      </c>
      <c r="BK322" t="str" cm="1">
        <f t="array" ref="BK322">_xlfn.IFS(V322=0,"No Combat",V322=1,"1 Tour",V322=2,"2 Tours",TRUE,"3+ Tours")</f>
        <v>No Combat</v>
      </c>
      <c r="BL322" t="str">
        <f t="shared" si="20"/>
        <v>Standard</v>
      </c>
      <c r="BM322" t="str">
        <f t="shared" si="21"/>
        <v>Not Ready</v>
      </c>
      <c r="BN322" s="3">
        <f t="shared" si="22"/>
        <v>5.4997488699146155E-2</v>
      </c>
      <c r="BO322">
        <f t="shared" si="23"/>
        <v>478.4</v>
      </c>
    </row>
    <row r="323" spans="1:67" x14ac:dyDescent="0.25">
      <c r="A323" t="s">
        <v>610</v>
      </c>
      <c r="B323" t="s">
        <v>205</v>
      </c>
      <c r="C323" t="s">
        <v>257</v>
      </c>
      <c r="D323" t="s">
        <v>51</v>
      </c>
      <c r="E323">
        <v>29</v>
      </c>
      <c r="F323" t="s">
        <v>248</v>
      </c>
      <c r="G323" t="s">
        <v>156</v>
      </c>
      <c r="H323" t="s">
        <v>157</v>
      </c>
      <c r="I323" t="s">
        <v>55</v>
      </c>
      <c r="J323" t="s">
        <v>56</v>
      </c>
      <c r="K323" t="s">
        <v>57</v>
      </c>
      <c r="L323" t="s">
        <v>58</v>
      </c>
      <c r="M323" t="s">
        <v>87</v>
      </c>
      <c r="N323" t="s">
        <v>148</v>
      </c>
      <c r="O323" t="s">
        <v>89</v>
      </c>
      <c r="P323" s="1">
        <v>39601</v>
      </c>
      <c r="Q323">
        <v>16</v>
      </c>
      <c r="R323" t="s">
        <v>195</v>
      </c>
      <c r="S323" t="s">
        <v>63</v>
      </c>
      <c r="T323" t="s">
        <v>64</v>
      </c>
      <c r="U323">
        <v>0</v>
      </c>
      <c r="V323">
        <v>0</v>
      </c>
      <c r="W323" s="2">
        <v>4836</v>
      </c>
      <c r="X323" s="2">
        <v>2085</v>
      </c>
      <c r="Y323" s="2">
        <v>266</v>
      </c>
      <c r="Z323" s="2">
        <v>7187</v>
      </c>
      <c r="AA323">
        <v>448</v>
      </c>
      <c r="AB323" t="s">
        <v>65</v>
      </c>
      <c r="AC323">
        <v>13.3</v>
      </c>
      <c r="AD323">
        <v>20</v>
      </c>
      <c r="AE323">
        <v>39</v>
      </c>
      <c r="AF323" t="s">
        <v>66</v>
      </c>
      <c r="AG323">
        <v>31</v>
      </c>
      <c r="AH323" t="s">
        <v>67</v>
      </c>
      <c r="AI323" t="s">
        <v>177</v>
      </c>
      <c r="AJ323" t="s">
        <v>188</v>
      </c>
      <c r="AK323" t="s">
        <v>71</v>
      </c>
      <c r="AL323" t="s">
        <v>70</v>
      </c>
      <c r="AM323" t="s">
        <v>70</v>
      </c>
      <c r="AN323" t="s">
        <v>72</v>
      </c>
      <c r="AO323" t="s">
        <v>97</v>
      </c>
      <c r="AP323" t="s">
        <v>72</v>
      </c>
      <c r="AQ323" t="s">
        <v>98</v>
      </c>
      <c r="AR323" s="1">
        <v>43222</v>
      </c>
      <c r="AS323" t="s">
        <v>137</v>
      </c>
      <c r="AT323" t="s">
        <v>71</v>
      </c>
      <c r="AU323">
        <v>556</v>
      </c>
      <c r="AV323" t="s">
        <v>76</v>
      </c>
      <c r="AW323" s="3">
        <v>86244</v>
      </c>
      <c r="AX323" t="s">
        <v>798</v>
      </c>
      <c r="AY323" t="s">
        <v>804</v>
      </c>
      <c r="AZ323" t="s">
        <v>76</v>
      </c>
      <c r="BA323" t="s">
        <v>800</v>
      </c>
      <c r="BB323" t="s">
        <v>801</v>
      </c>
      <c r="BC323" t="s">
        <v>802</v>
      </c>
      <c r="BD323" s="3">
        <v>6.2334771114512313E-2</v>
      </c>
      <c r="BE323">
        <v>520.4</v>
      </c>
      <c r="BG323" s="2">
        <f t="shared" ref="BG323:BG386" si="24">Z323*12</f>
        <v>86244</v>
      </c>
      <c r="BH323" t="str" cm="1">
        <f t="array" ref="BH323">_xlfn.IFS(Q323&lt;5,"0-5 Years",Q323&lt;10,"5-10 Years",Q323&lt;15,"10-15 Years",TRUE,"15+ Years")</f>
        <v>15+ Years</v>
      </c>
      <c r="BI323" t="str" cm="1">
        <f t="array" ref="BI323">_xlfn.IFS(AA323&gt;=540,"A",AA323&gt;=480,"B",AA323&gt;=420,"C",AA323&gt;=360,"D",TRUE,"F")</f>
        <v>C</v>
      </c>
      <c r="BJ323" t="str" cm="1">
        <f t="array" ref="BJ323">_xlfn.IFS(AU323&lt;0,"Separated",AU323&lt;=90,"High Risk",AU323&lt;=180,"Medium Risk",TRUE,"Retained")</f>
        <v>Retained</v>
      </c>
      <c r="BK323" t="str" cm="1">
        <f t="array" ref="BK323">_xlfn.IFS(V323=0,"No Combat",V323=1,"1 Tour",V323=2,"2 Tours",TRUE,"3+ Tours")</f>
        <v>No Combat</v>
      </c>
      <c r="BL323" t="str">
        <f t="shared" ref="BL323:BL386" si="25">IF(AND(AA323&gt;=500,AG323&gt;=35,AQ323="Outstanding"),"High Performer","Standard")</f>
        <v>Standard</v>
      </c>
      <c r="BM323" t="str">
        <f t="shared" ref="BM323:BM386" si="26">IF(AND(OR(G323="SGT",G323="SSG",G323="SFC"),AQ323="Outstanding"),"Promotion Ready","Not Ready")</f>
        <v>Not Ready</v>
      </c>
      <c r="BN323" s="3">
        <f t="shared" ref="BN323:BN386" si="27">AA323/Z323</f>
        <v>6.2334771114512313E-2</v>
      </c>
      <c r="BO323">
        <f t="shared" ref="BO323:BO386" si="28">(AA323+0.4)+(AG323*10*0.2)+(IF(AK323="YES",100,0)*0.1)+(IF(AL323="YES",100,0)*0.1)+(IF(AM323="YES",100,0)*0.2)</f>
        <v>520.4</v>
      </c>
    </row>
    <row r="324" spans="1:67" x14ac:dyDescent="0.25">
      <c r="A324" t="s">
        <v>611</v>
      </c>
      <c r="B324" t="s">
        <v>229</v>
      </c>
      <c r="C324" t="s">
        <v>206</v>
      </c>
      <c r="D324" t="s">
        <v>122</v>
      </c>
      <c r="E324">
        <v>40</v>
      </c>
      <c r="F324" t="s">
        <v>168</v>
      </c>
      <c r="G324" t="s">
        <v>124</v>
      </c>
      <c r="H324" t="s">
        <v>125</v>
      </c>
      <c r="I324" t="s">
        <v>171</v>
      </c>
      <c r="J324" t="s">
        <v>172</v>
      </c>
      <c r="K324" t="s">
        <v>173</v>
      </c>
      <c r="L324" t="s">
        <v>201</v>
      </c>
      <c r="M324" t="s">
        <v>249</v>
      </c>
      <c r="N324" t="s">
        <v>60</v>
      </c>
      <c r="O324" t="s">
        <v>176</v>
      </c>
      <c r="P324" s="1">
        <v>40701</v>
      </c>
      <c r="Q324">
        <v>13</v>
      </c>
      <c r="R324" t="s">
        <v>195</v>
      </c>
      <c r="S324" t="s">
        <v>91</v>
      </c>
      <c r="T324" t="s">
        <v>92</v>
      </c>
      <c r="U324">
        <v>13</v>
      </c>
      <c r="V324">
        <v>2</v>
      </c>
      <c r="W324" s="2">
        <v>2730</v>
      </c>
      <c r="X324" s="2">
        <v>0</v>
      </c>
      <c r="Y324" s="2">
        <v>422</v>
      </c>
      <c r="Z324" s="2">
        <v>3152</v>
      </c>
      <c r="AA324">
        <v>450</v>
      </c>
      <c r="AB324" t="s">
        <v>65</v>
      </c>
      <c r="AC324">
        <v>16.2</v>
      </c>
      <c r="AD324">
        <v>52</v>
      </c>
      <c r="AE324">
        <v>69</v>
      </c>
      <c r="AF324" t="s">
        <v>112</v>
      </c>
      <c r="AG324">
        <v>18</v>
      </c>
      <c r="AH324" t="s">
        <v>113</v>
      </c>
      <c r="AI324" t="s">
        <v>177</v>
      </c>
      <c r="AJ324" t="s">
        <v>72</v>
      </c>
      <c r="AK324" t="s">
        <v>71</v>
      </c>
      <c r="AL324" t="s">
        <v>70</v>
      </c>
      <c r="AM324" t="s">
        <v>70</v>
      </c>
      <c r="AN324" t="s">
        <v>243</v>
      </c>
      <c r="AO324" t="s">
        <v>72</v>
      </c>
      <c r="AP324" t="s">
        <v>72</v>
      </c>
      <c r="AQ324" t="s">
        <v>74</v>
      </c>
      <c r="AR324" s="1">
        <v>43622</v>
      </c>
      <c r="AS324" t="s">
        <v>118</v>
      </c>
      <c r="AT324" t="s">
        <v>71</v>
      </c>
      <c r="AU324">
        <v>148</v>
      </c>
      <c r="AV324" t="s">
        <v>179</v>
      </c>
      <c r="AW324" s="3">
        <v>37824</v>
      </c>
      <c r="AX324" t="s">
        <v>805</v>
      </c>
      <c r="AY324" t="s">
        <v>804</v>
      </c>
      <c r="AZ324" t="s">
        <v>815</v>
      </c>
      <c r="BA324" t="s">
        <v>811</v>
      </c>
      <c r="BB324" t="s">
        <v>801</v>
      </c>
      <c r="BC324" t="s">
        <v>812</v>
      </c>
      <c r="BD324" s="3">
        <v>0.14276649746192893</v>
      </c>
      <c r="BE324">
        <v>496.4</v>
      </c>
      <c r="BG324" s="2">
        <f t="shared" si="24"/>
        <v>37824</v>
      </c>
      <c r="BH324" t="str" cm="1">
        <f t="array" ref="BH324">_xlfn.IFS(Q324&lt;5,"0-5 Years",Q324&lt;10,"5-10 Years",Q324&lt;15,"10-15 Years",TRUE,"15+ Years")</f>
        <v>10-15 Years</v>
      </c>
      <c r="BI324" t="str" cm="1">
        <f t="array" ref="BI324">_xlfn.IFS(AA324&gt;=540,"A",AA324&gt;=480,"B",AA324&gt;=420,"C",AA324&gt;=360,"D",TRUE,"F")</f>
        <v>C</v>
      </c>
      <c r="BJ324" t="str" cm="1">
        <f t="array" ref="BJ324">_xlfn.IFS(AU324&lt;0,"Separated",AU324&lt;=90,"High Risk",AU324&lt;=180,"Medium Risk",TRUE,"Retained")</f>
        <v>Medium Risk</v>
      </c>
      <c r="BK324" t="str" cm="1">
        <f t="array" ref="BK324">_xlfn.IFS(V324=0,"No Combat",V324=1,"1 Tour",V324=2,"2 Tours",TRUE,"3+ Tours")</f>
        <v>2 Tours</v>
      </c>
      <c r="BL324" t="str">
        <f t="shared" si="25"/>
        <v>Standard</v>
      </c>
      <c r="BM324" t="str">
        <f t="shared" si="26"/>
        <v>Promotion Ready</v>
      </c>
      <c r="BN324" s="3">
        <f t="shared" si="27"/>
        <v>0.14276649746192893</v>
      </c>
      <c r="BO324">
        <f t="shared" si="28"/>
        <v>496.4</v>
      </c>
    </row>
    <row r="325" spans="1:67" x14ac:dyDescent="0.25">
      <c r="A325" t="s">
        <v>612</v>
      </c>
      <c r="B325" t="s">
        <v>259</v>
      </c>
      <c r="C325" t="s">
        <v>313</v>
      </c>
      <c r="D325" t="s">
        <v>122</v>
      </c>
      <c r="E325">
        <v>21</v>
      </c>
      <c r="F325" t="s">
        <v>80</v>
      </c>
      <c r="G325" t="s">
        <v>53</v>
      </c>
      <c r="H325" t="s">
        <v>54</v>
      </c>
      <c r="I325" t="s">
        <v>253</v>
      </c>
      <c r="J325" t="s">
        <v>254</v>
      </c>
      <c r="K325" t="s">
        <v>255</v>
      </c>
      <c r="L325" t="s">
        <v>126</v>
      </c>
      <c r="M325" t="s">
        <v>175</v>
      </c>
      <c r="N325" t="s">
        <v>60</v>
      </c>
      <c r="O325" t="s">
        <v>176</v>
      </c>
      <c r="P325" s="1">
        <v>42169</v>
      </c>
      <c r="Q325">
        <v>9</v>
      </c>
      <c r="R325" t="s">
        <v>208</v>
      </c>
      <c r="S325" t="s">
        <v>91</v>
      </c>
      <c r="T325" t="s">
        <v>92</v>
      </c>
      <c r="U325">
        <v>14</v>
      </c>
      <c r="V325">
        <v>2</v>
      </c>
      <c r="W325" s="2">
        <v>4739</v>
      </c>
      <c r="X325" s="2">
        <v>0</v>
      </c>
      <c r="Y325" s="2">
        <v>422</v>
      </c>
      <c r="Z325" s="2">
        <v>5161</v>
      </c>
      <c r="AA325">
        <v>511</v>
      </c>
      <c r="AB325" t="s">
        <v>65</v>
      </c>
      <c r="AC325">
        <v>14</v>
      </c>
      <c r="AD325">
        <v>26</v>
      </c>
      <c r="AE325">
        <v>55</v>
      </c>
      <c r="AF325" t="s">
        <v>93</v>
      </c>
      <c r="AG325">
        <v>28</v>
      </c>
      <c r="AH325" t="s">
        <v>113</v>
      </c>
      <c r="AI325" t="s">
        <v>95</v>
      </c>
      <c r="AJ325" t="s">
        <v>69</v>
      </c>
      <c r="AK325" t="s">
        <v>70</v>
      </c>
      <c r="AL325" t="s">
        <v>70</v>
      </c>
      <c r="AM325" t="s">
        <v>70</v>
      </c>
      <c r="AN325" t="s">
        <v>231</v>
      </c>
      <c r="AO325" t="s">
        <v>221</v>
      </c>
      <c r="AP325" t="s">
        <v>72</v>
      </c>
      <c r="AQ325" t="s">
        <v>117</v>
      </c>
      <c r="AR325" s="1">
        <v>42601</v>
      </c>
      <c r="AS325" t="s">
        <v>137</v>
      </c>
      <c r="AT325" t="s">
        <v>71</v>
      </c>
      <c r="AU325">
        <v>374</v>
      </c>
      <c r="AV325" t="s">
        <v>76</v>
      </c>
      <c r="AW325" s="3">
        <v>61932</v>
      </c>
      <c r="AX325" t="s">
        <v>808</v>
      </c>
      <c r="AY325" t="s">
        <v>806</v>
      </c>
      <c r="AZ325" t="s">
        <v>76</v>
      </c>
      <c r="BA325" t="s">
        <v>811</v>
      </c>
      <c r="BB325" t="s">
        <v>801</v>
      </c>
      <c r="BC325" t="s">
        <v>802</v>
      </c>
      <c r="BD325" s="3">
        <v>9.9011819414842078E-2</v>
      </c>
      <c r="BE325">
        <v>567.4</v>
      </c>
      <c r="BG325" s="2">
        <f t="shared" si="24"/>
        <v>61932</v>
      </c>
      <c r="BH325" t="str" cm="1">
        <f t="array" ref="BH325">_xlfn.IFS(Q325&lt;5,"0-5 Years",Q325&lt;10,"5-10 Years",Q325&lt;15,"10-15 Years",TRUE,"15+ Years")</f>
        <v>5-10 Years</v>
      </c>
      <c r="BI325" t="str" cm="1">
        <f t="array" ref="BI325">_xlfn.IFS(AA325&gt;=540,"A",AA325&gt;=480,"B",AA325&gt;=420,"C",AA325&gt;=360,"D",TRUE,"F")</f>
        <v>B</v>
      </c>
      <c r="BJ325" t="str" cm="1">
        <f t="array" ref="BJ325">_xlfn.IFS(AU325&lt;0,"Separated",AU325&lt;=90,"High Risk",AU325&lt;=180,"Medium Risk",TRUE,"Retained")</f>
        <v>Retained</v>
      </c>
      <c r="BK325" t="str" cm="1">
        <f t="array" ref="BK325">_xlfn.IFS(V325=0,"No Combat",V325=1,"1 Tour",V325=2,"2 Tours",TRUE,"3+ Tours")</f>
        <v>2 Tours</v>
      </c>
      <c r="BL325" t="str">
        <f t="shared" si="25"/>
        <v>Standard</v>
      </c>
      <c r="BM325" t="str">
        <f t="shared" si="26"/>
        <v>Not Ready</v>
      </c>
      <c r="BN325" s="3">
        <f t="shared" si="27"/>
        <v>9.9011819414842078E-2</v>
      </c>
      <c r="BO325">
        <f t="shared" si="28"/>
        <v>567.4</v>
      </c>
    </row>
    <row r="326" spans="1:67" x14ac:dyDescent="0.25">
      <c r="A326" t="s">
        <v>613</v>
      </c>
      <c r="B326" t="s">
        <v>100</v>
      </c>
      <c r="C326" t="s">
        <v>191</v>
      </c>
      <c r="D326" t="s">
        <v>51</v>
      </c>
      <c r="E326">
        <v>39</v>
      </c>
      <c r="F326" t="s">
        <v>80</v>
      </c>
      <c r="G326" t="s">
        <v>156</v>
      </c>
      <c r="H326" t="s">
        <v>157</v>
      </c>
      <c r="I326" t="s">
        <v>268</v>
      </c>
      <c r="J326" t="s">
        <v>269</v>
      </c>
      <c r="K326" t="s">
        <v>173</v>
      </c>
      <c r="L326" t="s">
        <v>86</v>
      </c>
      <c r="M326" t="s">
        <v>212</v>
      </c>
      <c r="N326" t="s">
        <v>162</v>
      </c>
      <c r="O326" t="s">
        <v>149</v>
      </c>
      <c r="P326" s="1">
        <v>38796</v>
      </c>
      <c r="Q326">
        <v>18.2</v>
      </c>
      <c r="R326" t="s">
        <v>90</v>
      </c>
      <c r="S326" t="s">
        <v>130</v>
      </c>
      <c r="T326" t="s">
        <v>131</v>
      </c>
      <c r="U326">
        <v>0</v>
      </c>
      <c r="V326">
        <v>0</v>
      </c>
      <c r="W326" s="2">
        <v>4836</v>
      </c>
      <c r="X326" s="2">
        <v>2200</v>
      </c>
      <c r="Y326" s="2">
        <v>266</v>
      </c>
      <c r="Z326" s="2">
        <v>7302</v>
      </c>
      <c r="AA326">
        <v>332</v>
      </c>
      <c r="AB326" t="s">
        <v>151</v>
      </c>
      <c r="AC326">
        <v>14.8</v>
      </c>
      <c r="AD326">
        <v>60</v>
      </c>
      <c r="AE326">
        <v>41</v>
      </c>
      <c r="AF326" t="s">
        <v>93</v>
      </c>
      <c r="AG326">
        <v>18</v>
      </c>
      <c r="AH326" t="s">
        <v>113</v>
      </c>
      <c r="AI326" t="s">
        <v>114</v>
      </c>
      <c r="AJ326" t="s">
        <v>69</v>
      </c>
      <c r="AK326" t="s">
        <v>70</v>
      </c>
      <c r="AL326" t="s">
        <v>70</v>
      </c>
      <c r="AM326" t="s">
        <v>70</v>
      </c>
      <c r="AN326" t="s">
        <v>72</v>
      </c>
      <c r="AO326" t="s">
        <v>134</v>
      </c>
      <c r="AP326" t="s">
        <v>72</v>
      </c>
      <c r="AQ326" t="s">
        <v>117</v>
      </c>
      <c r="AR326" s="1">
        <v>42228</v>
      </c>
      <c r="AS326" t="s">
        <v>137</v>
      </c>
      <c r="AT326" t="s">
        <v>71</v>
      </c>
      <c r="AU326">
        <v>900</v>
      </c>
      <c r="AV326" t="s">
        <v>76</v>
      </c>
      <c r="AW326" s="3">
        <v>87624</v>
      </c>
      <c r="AX326" t="s">
        <v>798</v>
      </c>
      <c r="AY326" t="s">
        <v>122</v>
      </c>
      <c r="AZ326" t="s">
        <v>76</v>
      </c>
      <c r="BA326" t="s">
        <v>800</v>
      </c>
      <c r="BB326" t="s">
        <v>801</v>
      </c>
      <c r="BC326" t="s">
        <v>802</v>
      </c>
      <c r="BD326" s="3">
        <v>4.5466995343741441E-2</v>
      </c>
      <c r="BE326">
        <v>368.4</v>
      </c>
      <c r="BG326" s="2">
        <f t="shared" si="24"/>
        <v>87624</v>
      </c>
      <c r="BH326" t="str" cm="1">
        <f t="array" ref="BH326">_xlfn.IFS(Q326&lt;5,"0-5 Years",Q326&lt;10,"5-10 Years",Q326&lt;15,"10-15 Years",TRUE,"15+ Years")</f>
        <v>15+ Years</v>
      </c>
      <c r="BI326" t="str" cm="1">
        <f t="array" ref="BI326">_xlfn.IFS(AA326&gt;=540,"A",AA326&gt;=480,"B",AA326&gt;=420,"C",AA326&gt;=360,"D",TRUE,"F")</f>
        <v>F</v>
      </c>
      <c r="BJ326" t="str" cm="1">
        <f t="array" ref="BJ326">_xlfn.IFS(AU326&lt;0,"Separated",AU326&lt;=90,"High Risk",AU326&lt;=180,"Medium Risk",TRUE,"Retained")</f>
        <v>Retained</v>
      </c>
      <c r="BK326" t="str" cm="1">
        <f t="array" ref="BK326">_xlfn.IFS(V326=0,"No Combat",V326=1,"1 Tour",V326=2,"2 Tours",TRUE,"3+ Tours")</f>
        <v>No Combat</v>
      </c>
      <c r="BL326" t="str">
        <f t="shared" si="25"/>
        <v>Standard</v>
      </c>
      <c r="BM326" t="str">
        <f t="shared" si="26"/>
        <v>Not Ready</v>
      </c>
      <c r="BN326" s="3">
        <f t="shared" si="27"/>
        <v>4.5466995343741441E-2</v>
      </c>
      <c r="BO326">
        <f t="shared" si="28"/>
        <v>368.4</v>
      </c>
    </row>
    <row r="327" spans="1:67" x14ac:dyDescent="0.25">
      <c r="A327" t="s">
        <v>614</v>
      </c>
      <c r="B327" t="s">
        <v>263</v>
      </c>
      <c r="C327" t="s">
        <v>264</v>
      </c>
      <c r="D327" t="s">
        <v>51</v>
      </c>
      <c r="E327">
        <v>22</v>
      </c>
      <c r="F327" t="s">
        <v>141</v>
      </c>
      <c r="G327" t="s">
        <v>301</v>
      </c>
      <c r="H327" t="s">
        <v>302</v>
      </c>
      <c r="I327" t="s">
        <v>253</v>
      </c>
      <c r="J327" t="s">
        <v>254</v>
      </c>
      <c r="K327" t="s">
        <v>255</v>
      </c>
      <c r="L327" t="s">
        <v>126</v>
      </c>
      <c r="M327" t="s">
        <v>249</v>
      </c>
      <c r="N327" t="s">
        <v>148</v>
      </c>
      <c r="O327" t="s">
        <v>149</v>
      </c>
      <c r="P327" s="1">
        <v>44060</v>
      </c>
      <c r="Q327">
        <v>3.8</v>
      </c>
      <c r="R327" t="s">
        <v>195</v>
      </c>
      <c r="S327" t="s">
        <v>91</v>
      </c>
      <c r="T327" t="s">
        <v>92</v>
      </c>
      <c r="U327">
        <v>11</v>
      </c>
      <c r="V327">
        <v>1</v>
      </c>
      <c r="W327" s="2">
        <v>4188</v>
      </c>
      <c r="X327" s="2">
        <v>1968</v>
      </c>
      <c r="Y327" s="2">
        <v>266</v>
      </c>
      <c r="Z327" s="2">
        <v>6422</v>
      </c>
      <c r="AA327">
        <v>595</v>
      </c>
      <c r="AB327" t="s">
        <v>65</v>
      </c>
      <c r="AC327">
        <v>19.5</v>
      </c>
      <c r="AD327">
        <v>55</v>
      </c>
      <c r="AE327">
        <v>80</v>
      </c>
      <c r="AF327" t="s">
        <v>93</v>
      </c>
      <c r="AG327">
        <v>18</v>
      </c>
      <c r="AH327" t="s">
        <v>113</v>
      </c>
      <c r="AI327" t="s">
        <v>68</v>
      </c>
      <c r="AJ327" t="s">
        <v>96</v>
      </c>
      <c r="AK327" t="s">
        <v>71</v>
      </c>
      <c r="AL327" t="s">
        <v>71</v>
      </c>
      <c r="AM327" t="s">
        <v>70</v>
      </c>
      <c r="AN327" t="s">
        <v>133</v>
      </c>
      <c r="AO327" t="s">
        <v>72</v>
      </c>
      <c r="AP327" t="s">
        <v>116</v>
      </c>
      <c r="AQ327" t="s">
        <v>98</v>
      </c>
      <c r="AR327" s="1">
        <v>44663</v>
      </c>
      <c r="AS327" t="s">
        <v>137</v>
      </c>
      <c r="AT327" t="s">
        <v>71</v>
      </c>
      <c r="AU327">
        <v>576</v>
      </c>
      <c r="AV327" t="s">
        <v>76</v>
      </c>
      <c r="AW327" s="3">
        <v>77064</v>
      </c>
      <c r="AX327" t="s">
        <v>803</v>
      </c>
      <c r="AY327" t="s">
        <v>799</v>
      </c>
      <c r="AZ327" t="s">
        <v>76</v>
      </c>
      <c r="BA327" t="s">
        <v>807</v>
      </c>
      <c r="BB327" t="s">
        <v>801</v>
      </c>
      <c r="BC327" t="s">
        <v>802</v>
      </c>
      <c r="BD327" s="3">
        <v>9.2650264715042049E-2</v>
      </c>
      <c r="BE327">
        <v>651.4</v>
      </c>
      <c r="BG327" s="2">
        <f t="shared" si="24"/>
        <v>77064</v>
      </c>
      <c r="BH327" t="str" cm="1">
        <f t="array" ref="BH327">_xlfn.IFS(Q327&lt;5,"0-5 Years",Q327&lt;10,"5-10 Years",Q327&lt;15,"10-15 Years",TRUE,"15+ Years")</f>
        <v>0-5 Years</v>
      </c>
      <c r="BI327" t="str" cm="1">
        <f t="array" ref="BI327">_xlfn.IFS(AA327&gt;=540,"A",AA327&gt;=480,"B",AA327&gt;=420,"C",AA327&gt;=360,"D",TRUE,"F")</f>
        <v>A</v>
      </c>
      <c r="BJ327" t="str" cm="1">
        <f t="array" ref="BJ327">_xlfn.IFS(AU327&lt;0,"Separated",AU327&lt;=90,"High Risk",AU327&lt;=180,"Medium Risk",TRUE,"Retained")</f>
        <v>Retained</v>
      </c>
      <c r="BK327" t="str" cm="1">
        <f t="array" ref="BK327">_xlfn.IFS(V327=0,"No Combat",V327=1,"1 Tour",V327=2,"2 Tours",TRUE,"3+ Tours")</f>
        <v>1 Tour</v>
      </c>
      <c r="BL327" t="str">
        <f t="shared" si="25"/>
        <v>Standard</v>
      </c>
      <c r="BM327" t="str">
        <f t="shared" si="26"/>
        <v>Not Ready</v>
      </c>
      <c r="BN327" s="3">
        <f t="shared" si="27"/>
        <v>9.2650264715042049E-2</v>
      </c>
      <c r="BO327">
        <f t="shared" si="28"/>
        <v>651.4</v>
      </c>
    </row>
    <row r="328" spans="1:67" x14ac:dyDescent="0.25">
      <c r="A328" t="s">
        <v>615</v>
      </c>
      <c r="B328" t="s">
        <v>377</v>
      </c>
      <c r="C328" t="s">
        <v>200</v>
      </c>
      <c r="D328" t="s">
        <v>51</v>
      </c>
      <c r="E328">
        <v>40</v>
      </c>
      <c r="F328" t="s">
        <v>141</v>
      </c>
      <c r="G328" t="s">
        <v>279</v>
      </c>
      <c r="H328" t="s">
        <v>280</v>
      </c>
      <c r="I328" t="s">
        <v>158</v>
      </c>
      <c r="J328" t="s">
        <v>159</v>
      </c>
      <c r="K328" t="s">
        <v>160</v>
      </c>
      <c r="L328" t="s">
        <v>201</v>
      </c>
      <c r="M328" t="s">
        <v>127</v>
      </c>
      <c r="N328" t="s">
        <v>60</v>
      </c>
      <c r="O328" t="s">
        <v>149</v>
      </c>
      <c r="P328" s="1">
        <v>44461</v>
      </c>
      <c r="Q328">
        <v>2.7</v>
      </c>
      <c r="R328" t="s">
        <v>150</v>
      </c>
      <c r="S328" t="s">
        <v>130</v>
      </c>
      <c r="T328" t="s">
        <v>131</v>
      </c>
      <c r="U328">
        <v>13</v>
      </c>
      <c r="V328">
        <v>2</v>
      </c>
      <c r="W328" s="2">
        <v>6618</v>
      </c>
      <c r="X328" s="2">
        <v>0</v>
      </c>
      <c r="Y328" s="2">
        <v>266</v>
      </c>
      <c r="Z328" s="2">
        <v>6884</v>
      </c>
      <c r="AA328">
        <v>397</v>
      </c>
      <c r="AB328" t="s">
        <v>65</v>
      </c>
      <c r="AC328">
        <v>17.600000000000001</v>
      </c>
      <c r="AD328">
        <v>33</v>
      </c>
      <c r="AE328">
        <v>52</v>
      </c>
      <c r="AF328" t="s">
        <v>93</v>
      </c>
      <c r="AG328">
        <v>37</v>
      </c>
      <c r="AH328" t="s">
        <v>94</v>
      </c>
      <c r="AI328" t="s">
        <v>95</v>
      </c>
      <c r="AJ328" t="s">
        <v>96</v>
      </c>
      <c r="AK328" t="s">
        <v>70</v>
      </c>
      <c r="AL328" t="s">
        <v>70</v>
      </c>
      <c r="AM328" t="s">
        <v>71</v>
      </c>
      <c r="AN328" t="s">
        <v>243</v>
      </c>
      <c r="AO328" t="s">
        <v>116</v>
      </c>
      <c r="AP328" t="s">
        <v>221</v>
      </c>
      <c r="AQ328" t="s">
        <v>117</v>
      </c>
      <c r="AR328" s="1">
        <v>45307</v>
      </c>
      <c r="AS328" t="s">
        <v>198</v>
      </c>
      <c r="AT328" t="s">
        <v>71</v>
      </c>
      <c r="AU328">
        <v>1244</v>
      </c>
      <c r="AV328" t="s">
        <v>76</v>
      </c>
      <c r="AW328" s="3">
        <v>82608</v>
      </c>
      <c r="AX328" t="s">
        <v>803</v>
      </c>
      <c r="AY328" t="s">
        <v>809</v>
      </c>
      <c r="AZ328" t="s">
        <v>76</v>
      </c>
      <c r="BA328" t="s">
        <v>811</v>
      </c>
      <c r="BB328" t="s">
        <v>801</v>
      </c>
      <c r="BC328" t="s">
        <v>802</v>
      </c>
      <c r="BD328" s="3">
        <v>5.7669959325973269E-2</v>
      </c>
      <c r="BE328">
        <v>491.4</v>
      </c>
      <c r="BG328" s="2">
        <f t="shared" si="24"/>
        <v>82608</v>
      </c>
      <c r="BH328" t="str" cm="1">
        <f t="array" ref="BH328">_xlfn.IFS(Q328&lt;5,"0-5 Years",Q328&lt;10,"5-10 Years",Q328&lt;15,"10-15 Years",TRUE,"15+ Years")</f>
        <v>0-5 Years</v>
      </c>
      <c r="BI328" t="str" cm="1">
        <f t="array" ref="BI328">_xlfn.IFS(AA328&gt;=540,"A",AA328&gt;=480,"B",AA328&gt;=420,"C",AA328&gt;=360,"D",TRUE,"F")</f>
        <v>D</v>
      </c>
      <c r="BJ328" t="str" cm="1">
        <f t="array" ref="BJ328">_xlfn.IFS(AU328&lt;0,"Separated",AU328&lt;=90,"High Risk",AU328&lt;=180,"Medium Risk",TRUE,"Retained")</f>
        <v>Retained</v>
      </c>
      <c r="BK328" t="str" cm="1">
        <f t="array" ref="BK328">_xlfn.IFS(V328=0,"No Combat",V328=1,"1 Tour",V328=2,"2 Tours",TRUE,"3+ Tours")</f>
        <v>2 Tours</v>
      </c>
      <c r="BL328" t="str">
        <f t="shared" si="25"/>
        <v>Standard</v>
      </c>
      <c r="BM328" t="str">
        <f t="shared" si="26"/>
        <v>Not Ready</v>
      </c>
      <c r="BN328" s="3">
        <f t="shared" si="27"/>
        <v>5.7669959325973269E-2</v>
      </c>
      <c r="BO328">
        <f t="shared" si="28"/>
        <v>491.4</v>
      </c>
    </row>
    <row r="329" spans="1:67" x14ac:dyDescent="0.25">
      <c r="A329" t="s">
        <v>616</v>
      </c>
      <c r="B329" t="s">
        <v>181</v>
      </c>
      <c r="C329" t="s">
        <v>140</v>
      </c>
      <c r="D329" t="s">
        <v>51</v>
      </c>
      <c r="E329">
        <v>37</v>
      </c>
      <c r="F329" t="s">
        <v>52</v>
      </c>
      <c r="G329" t="s">
        <v>279</v>
      </c>
      <c r="H329" t="s">
        <v>280</v>
      </c>
      <c r="I329" t="s">
        <v>253</v>
      </c>
      <c r="J329" t="s">
        <v>254</v>
      </c>
      <c r="K329" t="s">
        <v>255</v>
      </c>
      <c r="L329" t="s">
        <v>86</v>
      </c>
      <c r="M329" t="s">
        <v>275</v>
      </c>
      <c r="N329" t="s">
        <v>148</v>
      </c>
      <c r="O329" t="s">
        <v>61</v>
      </c>
      <c r="P329" s="1">
        <v>39685</v>
      </c>
      <c r="Q329">
        <v>15.8</v>
      </c>
      <c r="R329" t="s">
        <v>90</v>
      </c>
      <c r="S329" t="s">
        <v>63</v>
      </c>
      <c r="T329" t="s">
        <v>64</v>
      </c>
      <c r="U329">
        <v>0</v>
      </c>
      <c r="V329">
        <v>0</v>
      </c>
      <c r="W329" s="2">
        <v>6618</v>
      </c>
      <c r="X329" s="2">
        <v>1692</v>
      </c>
      <c r="Y329" s="2">
        <v>266</v>
      </c>
      <c r="Z329" s="2">
        <v>8576</v>
      </c>
      <c r="AA329">
        <v>513</v>
      </c>
      <c r="AB329" t="s">
        <v>65</v>
      </c>
      <c r="AC329">
        <v>14.9</v>
      </c>
      <c r="AD329">
        <v>62</v>
      </c>
      <c r="AE329">
        <v>74</v>
      </c>
      <c r="AF329" t="s">
        <v>112</v>
      </c>
      <c r="AG329">
        <v>38</v>
      </c>
      <c r="AH329" t="s">
        <v>94</v>
      </c>
      <c r="AI329" t="s">
        <v>177</v>
      </c>
      <c r="AJ329" t="s">
        <v>72</v>
      </c>
      <c r="AK329" t="s">
        <v>71</v>
      </c>
      <c r="AL329" t="s">
        <v>70</v>
      </c>
      <c r="AM329" t="s">
        <v>71</v>
      </c>
      <c r="AN329" t="s">
        <v>115</v>
      </c>
      <c r="AO329" t="s">
        <v>116</v>
      </c>
      <c r="AP329" t="s">
        <v>97</v>
      </c>
      <c r="AQ329" t="s">
        <v>136</v>
      </c>
      <c r="AR329" s="1">
        <v>43910</v>
      </c>
      <c r="AS329" t="s">
        <v>198</v>
      </c>
      <c r="AT329" t="s">
        <v>71</v>
      </c>
      <c r="AU329">
        <v>-92</v>
      </c>
      <c r="AV329" t="s">
        <v>179</v>
      </c>
      <c r="AW329" s="3">
        <v>102912</v>
      </c>
      <c r="AX329" t="s">
        <v>798</v>
      </c>
      <c r="AY329" t="s">
        <v>806</v>
      </c>
      <c r="AZ329" t="s">
        <v>810</v>
      </c>
      <c r="BA329" t="s">
        <v>800</v>
      </c>
      <c r="BB329" t="s">
        <v>801</v>
      </c>
      <c r="BC329" t="s">
        <v>802</v>
      </c>
      <c r="BD329" s="3">
        <v>5.9818097014925374E-2</v>
      </c>
      <c r="BE329">
        <v>619.4</v>
      </c>
      <c r="BG329" s="2">
        <f t="shared" si="24"/>
        <v>102912</v>
      </c>
      <c r="BH329" t="str" cm="1">
        <f t="array" ref="BH329">_xlfn.IFS(Q329&lt;5,"0-5 Years",Q329&lt;10,"5-10 Years",Q329&lt;15,"10-15 Years",TRUE,"15+ Years")</f>
        <v>15+ Years</v>
      </c>
      <c r="BI329" t="str" cm="1">
        <f t="array" ref="BI329">_xlfn.IFS(AA329&gt;=540,"A",AA329&gt;=480,"B",AA329&gt;=420,"C",AA329&gt;=360,"D",TRUE,"F")</f>
        <v>B</v>
      </c>
      <c r="BJ329" t="str" cm="1">
        <f t="array" ref="BJ329">_xlfn.IFS(AU329&lt;0,"Separated",AU329&lt;=90,"High Risk",AU329&lt;=180,"Medium Risk",TRUE,"Retained")</f>
        <v>Separated</v>
      </c>
      <c r="BK329" t="str" cm="1">
        <f t="array" ref="BK329">_xlfn.IFS(V329=0,"No Combat",V329=1,"1 Tour",V329=2,"2 Tours",TRUE,"3+ Tours")</f>
        <v>No Combat</v>
      </c>
      <c r="BL329" t="str">
        <f t="shared" si="25"/>
        <v>Standard</v>
      </c>
      <c r="BM329" t="str">
        <f t="shared" si="26"/>
        <v>Not Ready</v>
      </c>
      <c r="BN329" s="3">
        <f t="shared" si="27"/>
        <v>5.9818097014925374E-2</v>
      </c>
      <c r="BO329">
        <f t="shared" si="28"/>
        <v>619.4</v>
      </c>
    </row>
    <row r="330" spans="1:67" x14ac:dyDescent="0.25">
      <c r="A330" t="s">
        <v>617</v>
      </c>
      <c r="B330" t="s">
        <v>251</v>
      </c>
      <c r="C330" t="s">
        <v>246</v>
      </c>
      <c r="D330" t="s">
        <v>122</v>
      </c>
      <c r="E330">
        <v>26</v>
      </c>
      <c r="F330" t="s">
        <v>80</v>
      </c>
      <c r="G330" t="s">
        <v>298</v>
      </c>
      <c r="H330" t="s">
        <v>299</v>
      </c>
      <c r="I330" t="s">
        <v>158</v>
      </c>
      <c r="J330" t="s">
        <v>159</v>
      </c>
      <c r="K330" t="s">
        <v>160</v>
      </c>
      <c r="L330" t="s">
        <v>86</v>
      </c>
      <c r="M330" t="s">
        <v>212</v>
      </c>
      <c r="N330" t="s">
        <v>108</v>
      </c>
      <c r="O330" t="s">
        <v>149</v>
      </c>
      <c r="P330" s="1">
        <v>44717</v>
      </c>
      <c r="Q330">
        <v>2</v>
      </c>
      <c r="R330" t="s">
        <v>150</v>
      </c>
      <c r="S330" t="s">
        <v>91</v>
      </c>
      <c r="T330" t="s">
        <v>92</v>
      </c>
      <c r="U330">
        <v>12</v>
      </c>
      <c r="V330">
        <v>2</v>
      </c>
      <c r="W330" s="2">
        <v>2149</v>
      </c>
      <c r="X330" s="2">
        <v>0</v>
      </c>
      <c r="Y330" s="2">
        <v>422</v>
      </c>
      <c r="Z330" s="2">
        <v>2571</v>
      </c>
      <c r="AA330">
        <v>469</v>
      </c>
      <c r="AB330" t="s">
        <v>65</v>
      </c>
      <c r="AC330">
        <v>19.8</v>
      </c>
      <c r="AD330">
        <v>80</v>
      </c>
      <c r="AE330">
        <v>37</v>
      </c>
      <c r="AF330" t="s">
        <v>132</v>
      </c>
      <c r="AG330">
        <v>29</v>
      </c>
      <c r="AH330" t="s">
        <v>113</v>
      </c>
      <c r="AI330" t="s">
        <v>68</v>
      </c>
      <c r="AJ330" t="s">
        <v>96</v>
      </c>
      <c r="AK330" t="s">
        <v>70</v>
      </c>
      <c r="AL330" t="s">
        <v>70</v>
      </c>
      <c r="AM330" t="s">
        <v>70</v>
      </c>
      <c r="AN330" t="s">
        <v>270</v>
      </c>
      <c r="AO330" t="s">
        <v>72</v>
      </c>
      <c r="AP330" t="s">
        <v>72</v>
      </c>
      <c r="AQ330" t="s">
        <v>74</v>
      </c>
      <c r="AR330" s="1">
        <v>45411</v>
      </c>
      <c r="AS330" t="s">
        <v>198</v>
      </c>
      <c r="AT330" t="s">
        <v>71</v>
      </c>
      <c r="AU330">
        <v>-367</v>
      </c>
      <c r="AV330" t="s">
        <v>179</v>
      </c>
      <c r="AW330" s="3">
        <v>30852</v>
      </c>
      <c r="AX330" t="s">
        <v>803</v>
      </c>
      <c r="AY330" t="s">
        <v>804</v>
      </c>
      <c r="AZ330" t="s">
        <v>810</v>
      </c>
      <c r="BA330" t="s">
        <v>811</v>
      </c>
      <c r="BB330" t="s">
        <v>801</v>
      </c>
      <c r="BC330" t="s">
        <v>802</v>
      </c>
      <c r="BD330" s="3">
        <v>0.1824192921042396</v>
      </c>
      <c r="BE330">
        <v>527.4</v>
      </c>
      <c r="BG330" s="2">
        <f t="shared" si="24"/>
        <v>30852</v>
      </c>
      <c r="BH330" t="str" cm="1">
        <f t="array" ref="BH330">_xlfn.IFS(Q330&lt;5,"0-5 Years",Q330&lt;10,"5-10 Years",Q330&lt;15,"10-15 Years",TRUE,"15+ Years")</f>
        <v>0-5 Years</v>
      </c>
      <c r="BI330" t="str" cm="1">
        <f t="array" ref="BI330">_xlfn.IFS(AA330&gt;=540,"A",AA330&gt;=480,"B",AA330&gt;=420,"C",AA330&gt;=360,"D",TRUE,"F")</f>
        <v>C</v>
      </c>
      <c r="BJ330" t="str" cm="1">
        <f t="array" ref="BJ330">_xlfn.IFS(AU330&lt;0,"Separated",AU330&lt;=90,"High Risk",AU330&lt;=180,"Medium Risk",TRUE,"Retained")</f>
        <v>Separated</v>
      </c>
      <c r="BK330" t="str" cm="1">
        <f t="array" ref="BK330">_xlfn.IFS(V330=0,"No Combat",V330=1,"1 Tour",V330=2,"2 Tours",TRUE,"3+ Tours")</f>
        <v>2 Tours</v>
      </c>
      <c r="BL330" t="str">
        <f t="shared" si="25"/>
        <v>Standard</v>
      </c>
      <c r="BM330" t="str">
        <f t="shared" si="26"/>
        <v>Not Ready</v>
      </c>
      <c r="BN330" s="3">
        <f t="shared" si="27"/>
        <v>0.1824192921042396</v>
      </c>
      <c r="BO330">
        <f t="shared" si="28"/>
        <v>527.4</v>
      </c>
    </row>
    <row r="331" spans="1:67" x14ac:dyDescent="0.25">
      <c r="A331" t="s">
        <v>618</v>
      </c>
      <c r="B331" t="s">
        <v>377</v>
      </c>
      <c r="C331" t="s">
        <v>50</v>
      </c>
      <c r="D331" t="s">
        <v>51</v>
      </c>
      <c r="E331">
        <v>21</v>
      </c>
      <c r="F331" t="s">
        <v>192</v>
      </c>
      <c r="G331" t="s">
        <v>301</v>
      </c>
      <c r="H331" t="s">
        <v>302</v>
      </c>
      <c r="I331" t="s">
        <v>144</v>
      </c>
      <c r="J331" t="s">
        <v>145</v>
      </c>
      <c r="K331" t="s">
        <v>146</v>
      </c>
      <c r="L331" t="s">
        <v>201</v>
      </c>
      <c r="M331" t="s">
        <v>59</v>
      </c>
      <c r="N331" t="s">
        <v>148</v>
      </c>
      <c r="O331" t="s">
        <v>176</v>
      </c>
      <c r="P331" s="1">
        <v>41098</v>
      </c>
      <c r="Q331">
        <v>11.9</v>
      </c>
      <c r="R331" t="s">
        <v>75</v>
      </c>
      <c r="S331" t="s">
        <v>130</v>
      </c>
      <c r="T331" t="s">
        <v>131</v>
      </c>
      <c r="U331">
        <v>13</v>
      </c>
      <c r="V331">
        <v>2</v>
      </c>
      <c r="W331" s="2">
        <v>4188</v>
      </c>
      <c r="X331" s="2">
        <v>1295</v>
      </c>
      <c r="Y331" s="2">
        <v>266</v>
      </c>
      <c r="Z331" s="2">
        <v>5749</v>
      </c>
      <c r="AA331">
        <v>316</v>
      </c>
      <c r="AB331" t="s">
        <v>151</v>
      </c>
      <c r="AC331">
        <v>14.1</v>
      </c>
      <c r="AD331">
        <v>61</v>
      </c>
      <c r="AE331">
        <v>55</v>
      </c>
      <c r="AF331" t="s">
        <v>132</v>
      </c>
      <c r="AG331">
        <v>20</v>
      </c>
      <c r="AH331" t="s">
        <v>113</v>
      </c>
      <c r="AI331" t="s">
        <v>152</v>
      </c>
      <c r="AJ331" t="s">
        <v>96</v>
      </c>
      <c r="AK331" t="s">
        <v>70</v>
      </c>
      <c r="AL331" t="s">
        <v>70</v>
      </c>
      <c r="AM331" t="s">
        <v>70</v>
      </c>
      <c r="AN331" t="s">
        <v>231</v>
      </c>
      <c r="AO331" t="s">
        <v>72</v>
      </c>
      <c r="AP331" t="s">
        <v>72</v>
      </c>
      <c r="AQ331" t="s">
        <v>98</v>
      </c>
      <c r="AR331" s="1">
        <v>43040</v>
      </c>
      <c r="AS331" t="s">
        <v>137</v>
      </c>
      <c r="AT331" t="s">
        <v>71</v>
      </c>
      <c r="AU331">
        <v>1764</v>
      </c>
      <c r="AV331" t="s">
        <v>76</v>
      </c>
      <c r="AW331" s="3">
        <v>68988</v>
      </c>
      <c r="AX331" t="s">
        <v>805</v>
      </c>
      <c r="AY331" t="s">
        <v>122</v>
      </c>
      <c r="AZ331" t="s">
        <v>76</v>
      </c>
      <c r="BA331" t="s">
        <v>811</v>
      </c>
      <c r="BB331" t="s">
        <v>801</v>
      </c>
      <c r="BC331" t="s">
        <v>802</v>
      </c>
      <c r="BD331" s="3">
        <v>5.4966081057575229E-2</v>
      </c>
      <c r="BE331">
        <v>356.4</v>
      </c>
      <c r="BG331" s="2">
        <f t="shared" si="24"/>
        <v>68988</v>
      </c>
      <c r="BH331" t="str" cm="1">
        <f t="array" ref="BH331">_xlfn.IFS(Q331&lt;5,"0-5 Years",Q331&lt;10,"5-10 Years",Q331&lt;15,"10-15 Years",TRUE,"15+ Years")</f>
        <v>10-15 Years</v>
      </c>
      <c r="BI331" t="str" cm="1">
        <f t="array" ref="BI331">_xlfn.IFS(AA331&gt;=540,"A",AA331&gt;=480,"B",AA331&gt;=420,"C",AA331&gt;=360,"D",TRUE,"F")</f>
        <v>F</v>
      </c>
      <c r="BJ331" t="str" cm="1">
        <f t="array" ref="BJ331">_xlfn.IFS(AU331&lt;0,"Separated",AU331&lt;=90,"High Risk",AU331&lt;=180,"Medium Risk",TRUE,"Retained")</f>
        <v>Retained</v>
      </c>
      <c r="BK331" t="str" cm="1">
        <f t="array" ref="BK331">_xlfn.IFS(V331=0,"No Combat",V331=1,"1 Tour",V331=2,"2 Tours",TRUE,"3+ Tours")</f>
        <v>2 Tours</v>
      </c>
      <c r="BL331" t="str">
        <f t="shared" si="25"/>
        <v>Standard</v>
      </c>
      <c r="BM331" t="str">
        <f t="shared" si="26"/>
        <v>Not Ready</v>
      </c>
      <c r="BN331" s="3">
        <f t="shared" si="27"/>
        <v>5.4966081057575229E-2</v>
      </c>
      <c r="BO331">
        <f t="shared" si="28"/>
        <v>356.4</v>
      </c>
    </row>
    <row r="332" spans="1:67" x14ac:dyDescent="0.25">
      <c r="A332" t="s">
        <v>619</v>
      </c>
      <c r="B332" t="s">
        <v>263</v>
      </c>
      <c r="C332" t="s">
        <v>360</v>
      </c>
      <c r="D332" t="s">
        <v>51</v>
      </c>
      <c r="E332">
        <v>26</v>
      </c>
      <c r="F332" t="s">
        <v>325</v>
      </c>
      <c r="G332" t="s">
        <v>193</v>
      </c>
      <c r="H332" t="s">
        <v>194</v>
      </c>
      <c r="I332" t="s">
        <v>171</v>
      </c>
      <c r="J332" t="s">
        <v>172</v>
      </c>
      <c r="K332" t="s">
        <v>173</v>
      </c>
      <c r="L332" t="s">
        <v>174</v>
      </c>
      <c r="M332" t="s">
        <v>212</v>
      </c>
      <c r="N332" t="s">
        <v>60</v>
      </c>
      <c r="O332" t="s">
        <v>61</v>
      </c>
      <c r="P332" s="1">
        <v>39606</v>
      </c>
      <c r="Q332">
        <v>16</v>
      </c>
      <c r="R332" t="s">
        <v>62</v>
      </c>
      <c r="S332" t="s">
        <v>163</v>
      </c>
      <c r="T332" t="s">
        <v>164</v>
      </c>
      <c r="U332">
        <v>2</v>
      </c>
      <c r="V332">
        <v>0</v>
      </c>
      <c r="W332" s="2">
        <v>2259</v>
      </c>
      <c r="X332" s="2">
        <v>1971</v>
      </c>
      <c r="Y332" s="2">
        <v>422</v>
      </c>
      <c r="Z332" s="2">
        <v>4652</v>
      </c>
      <c r="AA332">
        <v>522</v>
      </c>
      <c r="AB332" t="s">
        <v>65</v>
      </c>
      <c r="AC332">
        <v>12.7</v>
      </c>
      <c r="AD332">
        <v>66</v>
      </c>
      <c r="AE332">
        <v>38</v>
      </c>
      <c r="AF332" t="s">
        <v>112</v>
      </c>
      <c r="AG332">
        <v>21</v>
      </c>
      <c r="AH332" t="s">
        <v>113</v>
      </c>
      <c r="AI332" t="s">
        <v>114</v>
      </c>
      <c r="AJ332" t="s">
        <v>188</v>
      </c>
      <c r="AK332" t="s">
        <v>70</v>
      </c>
      <c r="AL332" t="s">
        <v>70</v>
      </c>
      <c r="AM332" t="s">
        <v>71</v>
      </c>
      <c r="AN332" t="s">
        <v>115</v>
      </c>
      <c r="AO332" t="s">
        <v>73</v>
      </c>
      <c r="AP332" t="s">
        <v>73</v>
      </c>
      <c r="AQ332" t="s">
        <v>117</v>
      </c>
      <c r="AR332" s="1">
        <v>40295</v>
      </c>
      <c r="AS332" t="s">
        <v>137</v>
      </c>
      <c r="AT332" t="s">
        <v>71</v>
      </c>
      <c r="AU332">
        <v>-46</v>
      </c>
      <c r="AV332" t="s">
        <v>179</v>
      </c>
      <c r="AW332" s="3">
        <v>55824</v>
      </c>
      <c r="AX332" t="s">
        <v>798</v>
      </c>
      <c r="AY332" t="s">
        <v>806</v>
      </c>
      <c r="AZ332" t="s">
        <v>810</v>
      </c>
      <c r="BA332" t="s">
        <v>800</v>
      </c>
      <c r="BB332" t="s">
        <v>801</v>
      </c>
      <c r="BC332" t="s">
        <v>802</v>
      </c>
      <c r="BD332" s="3">
        <v>0.11220980223559759</v>
      </c>
      <c r="BE332">
        <v>584.4</v>
      </c>
      <c r="BG332" s="2">
        <f t="shared" si="24"/>
        <v>55824</v>
      </c>
      <c r="BH332" t="str" cm="1">
        <f t="array" ref="BH332">_xlfn.IFS(Q332&lt;5,"0-5 Years",Q332&lt;10,"5-10 Years",Q332&lt;15,"10-15 Years",TRUE,"15+ Years")</f>
        <v>15+ Years</v>
      </c>
      <c r="BI332" t="str" cm="1">
        <f t="array" ref="BI332">_xlfn.IFS(AA332&gt;=540,"A",AA332&gt;=480,"B",AA332&gt;=420,"C",AA332&gt;=360,"D",TRUE,"F")</f>
        <v>B</v>
      </c>
      <c r="BJ332" t="str" cm="1">
        <f t="array" ref="BJ332">_xlfn.IFS(AU332&lt;0,"Separated",AU332&lt;=90,"High Risk",AU332&lt;=180,"Medium Risk",TRUE,"Retained")</f>
        <v>Separated</v>
      </c>
      <c r="BK332" t="str" cm="1">
        <f t="array" ref="BK332">_xlfn.IFS(V332=0,"No Combat",V332=1,"1 Tour",V332=2,"2 Tours",TRUE,"3+ Tours")</f>
        <v>No Combat</v>
      </c>
      <c r="BL332" t="str">
        <f t="shared" si="25"/>
        <v>Standard</v>
      </c>
      <c r="BM332" t="str">
        <f t="shared" si="26"/>
        <v>Not Ready</v>
      </c>
      <c r="BN332" s="3">
        <f t="shared" si="27"/>
        <v>0.11220980223559759</v>
      </c>
      <c r="BO332">
        <f t="shared" si="28"/>
        <v>584.4</v>
      </c>
    </row>
    <row r="333" spans="1:67" x14ac:dyDescent="0.25">
      <c r="A333" t="s">
        <v>620</v>
      </c>
      <c r="B333" t="s">
        <v>277</v>
      </c>
      <c r="C333" t="s">
        <v>330</v>
      </c>
      <c r="D333" t="s">
        <v>122</v>
      </c>
      <c r="E333">
        <v>27</v>
      </c>
      <c r="F333" t="s">
        <v>316</v>
      </c>
      <c r="G333" t="s">
        <v>81</v>
      </c>
      <c r="H333" t="s">
        <v>82</v>
      </c>
      <c r="I333" t="s">
        <v>273</v>
      </c>
      <c r="J333" t="s">
        <v>274</v>
      </c>
      <c r="K333" t="s">
        <v>57</v>
      </c>
      <c r="L333" t="s">
        <v>86</v>
      </c>
      <c r="M333" t="s">
        <v>207</v>
      </c>
      <c r="N333" t="s">
        <v>108</v>
      </c>
      <c r="O333" t="s">
        <v>89</v>
      </c>
      <c r="P333" s="1">
        <v>38986</v>
      </c>
      <c r="Q333">
        <v>17.7</v>
      </c>
      <c r="R333" t="s">
        <v>75</v>
      </c>
      <c r="S333" t="s">
        <v>91</v>
      </c>
      <c r="T333" t="s">
        <v>92</v>
      </c>
      <c r="U333">
        <v>11</v>
      </c>
      <c r="V333">
        <v>1</v>
      </c>
      <c r="W333" s="2">
        <v>2504</v>
      </c>
      <c r="X333" s="2">
        <v>1225</v>
      </c>
      <c r="Y333" s="2">
        <v>422</v>
      </c>
      <c r="Z333" s="2">
        <v>4151</v>
      </c>
      <c r="AA333">
        <v>501</v>
      </c>
      <c r="AB333" t="s">
        <v>65</v>
      </c>
      <c r="AC333">
        <v>13.4</v>
      </c>
      <c r="AD333">
        <v>70</v>
      </c>
      <c r="AE333">
        <v>31</v>
      </c>
      <c r="AF333" t="s">
        <v>66</v>
      </c>
      <c r="AG333">
        <v>31</v>
      </c>
      <c r="AH333" t="s">
        <v>67</v>
      </c>
      <c r="AI333" t="s">
        <v>114</v>
      </c>
      <c r="AJ333" t="s">
        <v>96</v>
      </c>
      <c r="AK333" t="s">
        <v>70</v>
      </c>
      <c r="AL333" t="s">
        <v>71</v>
      </c>
      <c r="AM333" t="s">
        <v>70</v>
      </c>
      <c r="AN333" t="s">
        <v>72</v>
      </c>
      <c r="AO333" t="s">
        <v>72</v>
      </c>
      <c r="AP333" t="s">
        <v>72</v>
      </c>
      <c r="AQ333" t="s">
        <v>74</v>
      </c>
      <c r="AR333" s="1">
        <v>41526</v>
      </c>
      <c r="AS333" t="s">
        <v>137</v>
      </c>
      <c r="AT333" t="s">
        <v>71</v>
      </c>
      <c r="AU333">
        <v>920</v>
      </c>
      <c r="AV333" t="s">
        <v>76</v>
      </c>
      <c r="AW333" s="3">
        <v>49812</v>
      </c>
      <c r="AX333" t="s">
        <v>798</v>
      </c>
      <c r="AY333" t="s">
        <v>806</v>
      </c>
      <c r="AZ333" t="s">
        <v>76</v>
      </c>
      <c r="BA333" t="s">
        <v>807</v>
      </c>
      <c r="BB333" t="s">
        <v>801</v>
      </c>
      <c r="BC333" t="s">
        <v>802</v>
      </c>
      <c r="BD333" s="3">
        <v>0.12069380872079018</v>
      </c>
      <c r="BE333">
        <v>573.4</v>
      </c>
      <c r="BG333" s="2">
        <f t="shared" si="24"/>
        <v>49812</v>
      </c>
      <c r="BH333" t="str" cm="1">
        <f t="array" ref="BH333">_xlfn.IFS(Q333&lt;5,"0-5 Years",Q333&lt;10,"5-10 Years",Q333&lt;15,"10-15 Years",TRUE,"15+ Years")</f>
        <v>15+ Years</v>
      </c>
      <c r="BI333" t="str" cm="1">
        <f t="array" ref="BI333">_xlfn.IFS(AA333&gt;=540,"A",AA333&gt;=480,"B",AA333&gt;=420,"C",AA333&gt;=360,"D",TRUE,"F")</f>
        <v>B</v>
      </c>
      <c r="BJ333" t="str" cm="1">
        <f t="array" ref="BJ333">_xlfn.IFS(AU333&lt;0,"Separated",AU333&lt;=90,"High Risk",AU333&lt;=180,"Medium Risk",TRUE,"Retained")</f>
        <v>Retained</v>
      </c>
      <c r="BK333" t="str" cm="1">
        <f t="array" ref="BK333">_xlfn.IFS(V333=0,"No Combat",V333=1,"1 Tour",V333=2,"2 Tours",TRUE,"3+ Tours")</f>
        <v>1 Tour</v>
      </c>
      <c r="BL333" t="str">
        <f t="shared" si="25"/>
        <v>Standard</v>
      </c>
      <c r="BM333" t="str">
        <f t="shared" si="26"/>
        <v>Not Ready</v>
      </c>
      <c r="BN333" s="3">
        <f t="shared" si="27"/>
        <v>0.12069380872079018</v>
      </c>
      <c r="BO333">
        <f t="shared" si="28"/>
        <v>573.4</v>
      </c>
    </row>
    <row r="334" spans="1:67" x14ac:dyDescent="0.25">
      <c r="A334" t="s">
        <v>621</v>
      </c>
      <c r="B334" t="s">
        <v>100</v>
      </c>
      <c r="C334" t="s">
        <v>330</v>
      </c>
      <c r="D334" t="s">
        <v>122</v>
      </c>
      <c r="E334">
        <v>33</v>
      </c>
      <c r="F334" t="s">
        <v>211</v>
      </c>
      <c r="G334" t="s">
        <v>234</v>
      </c>
      <c r="H334" t="s">
        <v>235</v>
      </c>
      <c r="I334" t="s">
        <v>273</v>
      </c>
      <c r="J334" t="s">
        <v>274</v>
      </c>
      <c r="K334" t="s">
        <v>57</v>
      </c>
      <c r="L334" t="s">
        <v>201</v>
      </c>
      <c r="M334" t="s">
        <v>59</v>
      </c>
      <c r="N334" t="s">
        <v>88</v>
      </c>
      <c r="O334" t="s">
        <v>89</v>
      </c>
      <c r="P334" s="1">
        <v>39932</v>
      </c>
      <c r="Q334">
        <v>15.1</v>
      </c>
      <c r="R334" t="s">
        <v>62</v>
      </c>
      <c r="S334" t="s">
        <v>63</v>
      </c>
      <c r="T334" t="s">
        <v>64</v>
      </c>
      <c r="U334">
        <v>0</v>
      </c>
      <c r="V334">
        <v>0</v>
      </c>
      <c r="W334" s="2">
        <v>1917</v>
      </c>
      <c r="X334" s="2">
        <v>0</v>
      </c>
      <c r="Y334" s="2">
        <v>422</v>
      </c>
      <c r="Z334" s="2">
        <v>2339</v>
      </c>
      <c r="AA334">
        <v>400</v>
      </c>
      <c r="AB334" t="s">
        <v>65</v>
      </c>
      <c r="AC334">
        <v>16.899999999999999</v>
      </c>
      <c r="AD334">
        <v>68</v>
      </c>
      <c r="AE334">
        <v>39</v>
      </c>
      <c r="AF334" t="s">
        <v>112</v>
      </c>
      <c r="AG334">
        <v>19</v>
      </c>
      <c r="AH334" t="s">
        <v>113</v>
      </c>
      <c r="AI334" t="s">
        <v>177</v>
      </c>
      <c r="AJ334" t="s">
        <v>72</v>
      </c>
      <c r="AK334" t="s">
        <v>70</v>
      </c>
      <c r="AL334" t="s">
        <v>70</v>
      </c>
      <c r="AM334" t="s">
        <v>70</v>
      </c>
      <c r="AN334" t="s">
        <v>133</v>
      </c>
      <c r="AO334" t="s">
        <v>73</v>
      </c>
      <c r="AP334" t="s">
        <v>72</v>
      </c>
      <c r="AQ334" t="s">
        <v>98</v>
      </c>
      <c r="AR334" s="1">
        <v>42225</v>
      </c>
      <c r="AS334" t="s">
        <v>75</v>
      </c>
      <c r="AT334" t="s">
        <v>71</v>
      </c>
      <c r="AU334">
        <v>1413</v>
      </c>
      <c r="AV334" t="s">
        <v>76</v>
      </c>
      <c r="AW334" s="3">
        <v>28068</v>
      </c>
      <c r="AX334" t="s">
        <v>798</v>
      </c>
      <c r="AY334" t="s">
        <v>809</v>
      </c>
      <c r="AZ334" t="s">
        <v>76</v>
      </c>
      <c r="BA334" t="s">
        <v>800</v>
      </c>
      <c r="BB334" t="s">
        <v>801</v>
      </c>
      <c r="BC334" t="s">
        <v>802</v>
      </c>
      <c r="BD334" s="3">
        <v>0.17101325352714836</v>
      </c>
      <c r="BE334">
        <v>438.4</v>
      </c>
      <c r="BG334" s="2">
        <f t="shared" si="24"/>
        <v>28068</v>
      </c>
      <c r="BH334" t="str" cm="1">
        <f t="array" ref="BH334">_xlfn.IFS(Q334&lt;5,"0-5 Years",Q334&lt;10,"5-10 Years",Q334&lt;15,"10-15 Years",TRUE,"15+ Years")</f>
        <v>15+ Years</v>
      </c>
      <c r="BI334" t="str" cm="1">
        <f t="array" ref="BI334">_xlfn.IFS(AA334&gt;=540,"A",AA334&gt;=480,"B",AA334&gt;=420,"C",AA334&gt;=360,"D",TRUE,"F")</f>
        <v>D</v>
      </c>
      <c r="BJ334" t="str" cm="1">
        <f t="array" ref="BJ334">_xlfn.IFS(AU334&lt;0,"Separated",AU334&lt;=90,"High Risk",AU334&lt;=180,"Medium Risk",TRUE,"Retained")</f>
        <v>Retained</v>
      </c>
      <c r="BK334" t="str" cm="1">
        <f t="array" ref="BK334">_xlfn.IFS(V334=0,"No Combat",V334=1,"1 Tour",V334=2,"2 Tours",TRUE,"3+ Tours")</f>
        <v>No Combat</v>
      </c>
      <c r="BL334" t="str">
        <f t="shared" si="25"/>
        <v>Standard</v>
      </c>
      <c r="BM334" t="str">
        <f t="shared" si="26"/>
        <v>Not Ready</v>
      </c>
      <c r="BN334" s="3">
        <f t="shared" si="27"/>
        <v>0.17101325352714836</v>
      </c>
      <c r="BO334">
        <f t="shared" si="28"/>
        <v>438.4</v>
      </c>
    </row>
    <row r="335" spans="1:67" x14ac:dyDescent="0.25">
      <c r="A335" t="s">
        <v>622</v>
      </c>
      <c r="B335" t="s">
        <v>190</v>
      </c>
      <c r="C335" t="s">
        <v>369</v>
      </c>
      <c r="D335" t="s">
        <v>122</v>
      </c>
      <c r="E335">
        <v>44</v>
      </c>
      <c r="F335" t="s">
        <v>382</v>
      </c>
      <c r="G335" t="s">
        <v>156</v>
      </c>
      <c r="H335" t="s">
        <v>157</v>
      </c>
      <c r="I335" t="s">
        <v>236</v>
      </c>
      <c r="J335" t="s">
        <v>237</v>
      </c>
      <c r="K335" t="s">
        <v>238</v>
      </c>
      <c r="L335" t="s">
        <v>58</v>
      </c>
      <c r="M335" t="s">
        <v>207</v>
      </c>
      <c r="N335" t="s">
        <v>108</v>
      </c>
      <c r="O335" t="s">
        <v>149</v>
      </c>
      <c r="P335" s="1">
        <v>43981</v>
      </c>
      <c r="Q335">
        <v>4</v>
      </c>
      <c r="R335" t="s">
        <v>75</v>
      </c>
      <c r="S335" t="s">
        <v>196</v>
      </c>
      <c r="T335" t="s">
        <v>197</v>
      </c>
      <c r="U335">
        <v>0</v>
      </c>
      <c r="V335">
        <v>0</v>
      </c>
      <c r="W335" s="2">
        <v>4836</v>
      </c>
      <c r="X335" s="2">
        <v>1375</v>
      </c>
      <c r="Y335" s="2">
        <v>266</v>
      </c>
      <c r="Z335" s="2">
        <v>6477</v>
      </c>
      <c r="AA335">
        <v>590</v>
      </c>
      <c r="AB335" t="s">
        <v>65</v>
      </c>
      <c r="AC335">
        <v>13.4</v>
      </c>
      <c r="AD335">
        <v>70</v>
      </c>
      <c r="AE335">
        <v>79</v>
      </c>
      <c r="AF335" t="s">
        <v>112</v>
      </c>
      <c r="AG335">
        <v>21</v>
      </c>
      <c r="AH335" t="s">
        <v>113</v>
      </c>
      <c r="AI335" t="s">
        <v>152</v>
      </c>
      <c r="AJ335" t="s">
        <v>69</v>
      </c>
      <c r="AK335" t="s">
        <v>70</v>
      </c>
      <c r="AL335" t="s">
        <v>70</v>
      </c>
      <c r="AM335" t="s">
        <v>70</v>
      </c>
      <c r="AN335" t="s">
        <v>231</v>
      </c>
      <c r="AO335" t="s">
        <v>72</v>
      </c>
      <c r="AP335" t="s">
        <v>72</v>
      </c>
      <c r="AQ335" t="s">
        <v>74</v>
      </c>
      <c r="AR335" s="1">
        <v>44240</v>
      </c>
      <c r="AS335" t="s">
        <v>137</v>
      </c>
      <c r="AT335" t="s">
        <v>71</v>
      </c>
      <c r="AU335">
        <v>945</v>
      </c>
      <c r="AV335" t="s">
        <v>76</v>
      </c>
      <c r="AW335" s="3">
        <v>77724</v>
      </c>
      <c r="AX335" t="s">
        <v>803</v>
      </c>
      <c r="AY335" t="s">
        <v>799</v>
      </c>
      <c r="AZ335" t="s">
        <v>76</v>
      </c>
      <c r="BA335" t="s">
        <v>800</v>
      </c>
      <c r="BB335" t="s">
        <v>801</v>
      </c>
      <c r="BC335" t="s">
        <v>802</v>
      </c>
      <c r="BD335" s="3">
        <v>9.1091554732129071E-2</v>
      </c>
      <c r="BE335">
        <v>632.4</v>
      </c>
      <c r="BG335" s="2">
        <f t="shared" si="24"/>
        <v>77724</v>
      </c>
      <c r="BH335" t="str" cm="1">
        <f t="array" ref="BH335">_xlfn.IFS(Q335&lt;5,"0-5 Years",Q335&lt;10,"5-10 Years",Q335&lt;15,"10-15 Years",TRUE,"15+ Years")</f>
        <v>0-5 Years</v>
      </c>
      <c r="BI335" t="str" cm="1">
        <f t="array" ref="BI335">_xlfn.IFS(AA335&gt;=540,"A",AA335&gt;=480,"B",AA335&gt;=420,"C",AA335&gt;=360,"D",TRUE,"F")</f>
        <v>A</v>
      </c>
      <c r="BJ335" t="str" cm="1">
        <f t="array" ref="BJ335">_xlfn.IFS(AU335&lt;0,"Separated",AU335&lt;=90,"High Risk",AU335&lt;=180,"Medium Risk",TRUE,"Retained")</f>
        <v>Retained</v>
      </c>
      <c r="BK335" t="str" cm="1">
        <f t="array" ref="BK335">_xlfn.IFS(V335=0,"No Combat",V335=1,"1 Tour",V335=2,"2 Tours",TRUE,"3+ Tours")</f>
        <v>No Combat</v>
      </c>
      <c r="BL335" t="str">
        <f t="shared" si="25"/>
        <v>Standard</v>
      </c>
      <c r="BM335" t="str">
        <f t="shared" si="26"/>
        <v>Not Ready</v>
      </c>
      <c r="BN335" s="3">
        <f t="shared" si="27"/>
        <v>9.1091554732129071E-2</v>
      </c>
      <c r="BO335">
        <f t="shared" si="28"/>
        <v>632.4</v>
      </c>
    </row>
    <row r="336" spans="1:67" x14ac:dyDescent="0.25">
      <c r="A336" t="s">
        <v>623</v>
      </c>
      <c r="B336" t="s">
        <v>229</v>
      </c>
      <c r="C336" t="s">
        <v>79</v>
      </c>
      <c r="D336" t="s">
        <v>51</v>
      </c>
      <c r="E336">
        <v>28</v>
      </c>
      <c r="F336" t="s">
        <v>316</v>
      </c>
      <c r="G336" t="s">
        <v>101</v>
      </c>
      <c r="H336" t="s">
        <v>102</v>
      </c>
      <c r="I336" t="s">
        <v>236</v>
      </c>
      <c r="J336" t="s">
        <v>237</v>
      </c>
      <c r="K336" t="s">
        <v>238</v>
      </c>
      <c r="L336" t="s">
        <v>174</v>
      </c>
      <c r="M336" t="s">
        <v>147</v>
      </c>
      <c r="N336" t="s">
        <v>88</v>
      </c>
      <c r="O336" t="s">
        <v>61</v>
      </c>
      <c r="P336" s="1">
        <v>41710</v>
      </c>
      <c r="Q336">
        <v>10.199999999999999</v>
      </c>
      <c r="R336" t="s">
        <v>195</v>
      </c>
      <c r="S336" t="s">
        <v>110</v>
      </c>
      <c r="T336" t="s">
        <v>111</v>
      </c>
      <c r="U336">
        <v>11</v>
      </c>
      <c r="V336">
        <v>1</v>
      </c>
      <c r="W336" s="2">
        <v>2980</v>
      </c>
      <c r="X336" s="2">
        <v>0</v>
      </c>
      <c r="Y336" s="2">
        <v>422</v>
      </c>
      <c r="Z336" s="2">
        <v>3402</v>
      </c>
      <c r="AA336">
        <v>509</v>
      </c>
      <c r="AB336" t="s">
        <v>65</v>
      </c>
      <c r="AC336">
        <v>13.5</v>
      </c>
      <c r="AD336">
        <v>71</v>
      </c>
      <c r="AE336">
        <v>50</v>
      </c>
      <c r="AF336" t="s">
        <v>93</v>
      </c>
      <c r="AG336">
        <v>27</v>
      </c>
      <c r="AH336" t="s">
        <v>113</v>
      </c>
      <c r="AI336" t="s">
        <v>68</v>
      </c>
      <c r="AJ336" t="s">
        <v>188</v>
      </c>
      <c r="AK336" t="s">
        <v>70</v>
      </c>
      <c r="AL336" t="s">
        <v>71</v>
      </c>
      <c r="AM336" t="s">
        <v>71</v>
      </c>
      <c r="AN336" t="s">
        <v>243</v>
      </c>
      <c r="AO336" t="s">
        <v>73</v>
      </c>
      <c r="AP336" t="s">
        <v>72</v>
      </c>
      <c r="AQ336" t="s">
        <v>117</v>
      </c>
      <c r="AR336" s="1">
        <v>45321</v>
      </c>
      <c r="AS336" t="s">
        <v>118</v>
      </c>
      <c r="AT336" t="s">
        <v>71</v>
      </c>
      <c r="AU336">
        <v>452</v>
      </c>
      <c r="AV336" t="s">
        <v>76</v>
      </c>
      <c r="AW336" s="3">
        <v>40824</v>
      </c>
      <c r="AX336" t="s">
        <v>805</v>
      </c>
      <c r="AY336" t="s">
        <v>806</v>
      </c>
      <c r="AZ336" t="s">
        <v>76</v>
      </c>
      <c r="BA336" t="s">
        <v>807</v>
      </c>
      <c r="BB336" t="s">
        <v>801</v>
      </c>
      <c r="BC336" t="s">
        <v>802</v>
      </c>
      <c r="BD336" s="3">
        <v>0.14961787184009406</v>
      </c>
      <c r="BE336">
        <v>593.4</v>
      </c>
      <c r="BG336" s="2">
        <f t="shared" si="24"/>
        <v>40824</v>
      </c>
      <c r="BH336" t="str" cm="1">
        <f t="array" ref="BH336">_xlfn.IFS(Q336&lt;5,"0-5 Years",Q336&lt;10,"5-10 Years",Q336&lt;15,"10-15 Years",TRUE,"15+ Years")</f>
        <v>10-15 Years</v>
      </c>
      <c r="BI336" t="str" cm="1">
        <f t="array" ref="BI336">_xlfn.IFS(AA336&gt;=540,"A",AA336&gt;=480,"B",AA336&gt;=420,"C",AA336&gt;=360,"D",TRUE,"F")</f>
        <v>B</v>
      </c>
      <c r="BJ336" t="str" cm="1">
        <f t="array" ref="BJ336">_xlfn.IFS(AU336&lt;0,"Separated",AU336&lt;=90,"High Risk",AU336&lt;=180,"Medium Risk",TRUE,"Retained")</f>
        <v>Retained</v>
      </c>
      <c r="BK336" t="str" cm="1">
        <f t="array" ref="BK336">_xlfn.IFS(V336=0,"No Combat",V336=1,"1 Tour",V336=2,"2 Tours",TRUE,"3+ Tours")</f>
        <v>1 Tour</v>
      </c>
      <c r="BL336" t="str">
        <f t="shared" si="25"/>
        <v>Standard</v>
      </c>
      <c r="BM336" t="str">
        <f t="shared" si="26"/>
        <v>Not Ready</v>
      </c>
      <c r="BN336" s="3">
        <f t="shared" si="27"/>
        <v>0.14961787184009406</v>
      </c>
      <c r="BO336">
        <f t="shared" si="28"/>
        <v>593.4</v>
      </c>
    </row>
    <row r="337" spans="1:67" x14ac:dyDescent="0.25">
      <c r="A337" t="s">
        <v>624</v>
      </c>
      <c r="B337" t="s">
        <v>154</v>
      </c>
      <c r="C337" t="s">
        <v>375</v>
      </c>
      <c r="D337" t="s">
        <v>51</v>
      </c>
      <c r="E337">
        <v>21</v>
      </c>
      <c r="F337" t="s">
        <v>278</v>
      </c>
      <c r="G337" t="s">
        <v>169</v>
      </c>
      <c r="H337" t="s">
        <v>170</v>
      </c>
      <c r="I337" t="s">
        <v>103</v>
      </c>
      <c r="J337" t="s">
        <v>104</v>
      </c>
      <c r="K337" t="s">
        <v>105</v>
      </c>
      <c r="L337" t="s">
        <v>58</v>
      </c>
      <c r="M337" t="s">
        <v>127</v>
      </c>
      <c r="N337" t="s">
        <v>148</v>
      </c>
      <c r="O337" t="s">
        <v>176</v>
      </c>
      <c r="P337" s="1">
        <v>44220</v>
      </c>
      <c r="Q337">
        <v>3.4</v>
      </c>
      <c r="R337" t="s">
        <v>75</v>
      </c>
      <c r="S337" t="s">
        <v>63</v>
      </c>
      <c r="T337" t="s">
        <v>64</v>
      </c>
      <c r="U337">
        <v>0</v>
      </c>
      <c r="V337">
        <v>0</v>
      </c>
      <c r="W337" s="2">
        <v>3294</v>
      </c>
      <c r="X337" s="2">
        <v>0</v>
      </c>
      <c r="Y337" s="2">
        <v>422</v>
      </c>
      <c r="Z337" s="2">
        <v>3716</v>
      </c>
      <c r="AA337">
        <v>512</v>
      </c>
      <c r="AB337" t="s">
        <v>65</v>
      </c>
      <c r="AC337">
        <v>17.399999999999999</v>
      </c>
      <c r="AD337">
        <v>61</v>
      </c>
      <c r="AE337">
        <v>56</v>
      </c>
      <c r="AF337" t="s">
        <v>112</v>
      </c>
      <c r="AG337">
        <v>26</v>
      </c>
      <c r="AH337" t="s">
        <v>113</v>
      </c>
      <c r="AI337" t="s">
        <v>114</v>
      </c>
      <c r="AJ337" t="s">
        <v>72</v>
      </c>
      <c r="AK337" t="s">
        <v>70</v>
      </c>
      <c r="AL337" t="s">
        <v>70</v>
      </c>
      <c r="AM337" t="s">
        <v>71</v>
      </c>
      <c r="AN337" t="s">
        <v>202</v>
      </c>
      <c r="AO337" t="s">
        <v>73</v>
      </c>
      <c r="AP337" t="s">
        <v>72</v>
      </c>
      <c r="AQ337" t="s">
        <v>74</v>
      </c>
      <c r="AR337" s="1">
        <v>45377</v>
      </c>
      <c r="AS337" t="s">
        <v>75</v>
      </c>
      <c r="AT337" t="s">
        <v>71</v>
      </c>
      <c r="AU337">
        <v>-413</v>
      </c>
      <c r="AV337" t="s">
        <v>179</v>
      </c>
      <c r="AW337" s="3">
        <v>44592</v>
      </c>
      <c r="AX337" t="s">
        <v>803</v>
      </c>
      <c r="AY337" t="s">
        <v>806</v>
      </c>
      <c r="AZ337" t="s">
        <v>810</v>
      </c>
      <c r="BA337" t="s">
        <v>800</v>
      </c>
      <c r="BB337" t="s">
        <v>801</v>
      </c>
      <c r="BC337" t="s">
        <v>812</v>
      </c>
      <c r="BD337" s="3">
        <v>0.13778256189451021</v>
      </c>
      <c r="BE337">
        <v>584.4</v>
      </c>
      <c r="BG337" s="2">
        <f t="shared" si="24"/>
        <v>44592</v>
      </c>
      <c r="BH337" t="str" cm="1">
        <f t="array" ref="BH337">_xlfn.IFS(Q337&lt;5,"0-5 Years",Q337&lt;10,"5-10 Years",Q337&lt;15,"10-15 Years",TRUE,"15+ Years")</f>
        <v>0-5 Years</v>
      </c>
      <c r="BI337" t="str" cm="1">
        <f t="array" ref="BI337">_xlfn.IFS(AA337&gt;=540,"A",AA337&gt;=480,"B",AA337&gt;=420,"C",AA337&gt;=360,"D",TRUE,"F")</f>
        <v>B</v>
      </c>
      <c r="BJ337" t="str" cm="1">
        <f t="array" ref="BJ337">_xlfn.IFS(AU337&lt;0,"Separated",AU337&lt;=90,"High Risk",AU337&lt;=180,"Medium Risk",TRUE,"Retained")</f>
        <v>Separated</v>
      </c>
      <c r="BK337" t="str" cm="1">
        <f t="array" ref="BK337">_xlfn.IFS(V337=0,"No Combat",V337=1,"1 Tour",V337=2,"2 Tours",TRUE,"3+ Tours")</f>
        <v>No Combat</v>
      </c>
      <c r="BL337" t="str">
        <f t="shared" si="25"/>
        <v>Standard</v>
      </c>
      <c r="BM337" t="str">
        <f t="shared" si="26"/>
        <v>Promotion Ready</v>
      </c>
      <c r="BN337" s="3">
        <f t="shared" si="27"/>
        <v>0.13778256189451021</v>
      </c>
      <c r="BO337">
        <f t="shared" si="28"/>
        <v>584.4</v>
      </c>
    </row>
    <row r="338" spans="1:67" x14ac:dyDescent="0.25">
      <c r="A338" t="s">
        <v>625</v>
      </c>
      <c r="B338" t="s">
        <v>139</v>
      </c>
      <c r="C338" t="s">
        <v>50</v>
      </c>
      <c r="D338" t="s">
        <v>51</v>
      </c>
      <c r="E338">
        <v>42</v>
      </c>
      <c r="F338" t="s">
        <v>382</v>
      </c>
      <c r="G338" t="s">
        <v>234</v>
      </c>
      <c r="H338" t="s">
        <v>235</v>
      </c>
      <c r="I338" t="s">
        <v>236</v>
      </c>
      <c r="J338" t="s">
        <v>237</v>
      </c>
      <c r="K338" t="s">
        <v>238</v>
      </c>
      <c r="L338" t="s">
        <v>126</v>
      </c>
      <c r="M338" t="s">
        <v>207</v>
      </c>
      <c r="N338" t="s">
        <v>108</v>
      </c>
      <c r="O338" t="s">
        <v>109</v>
      </c>
      <c r="P338" s="1">
        <v>38656</v>
      </c>
      <c r="Q338">
        <v>18.600000000000001</v>
      </c>
      <c r="R338" t="s">
        <v>90</v>
      </c>
      <c r="S338" t="s">
        <v>63</v>
      </c>
      <c r="T338" t="s">
        <v>64</v>
      </c>
      <c r="U338">
        <v>0</v>
      </c>
      <c r="V338">
        <v>0</v>
      </c>
      <c r="W338" s="2">
        <v>1917</v>
      </c>
      <c r="X338" s="2">
        <v>0</v>
      </c>
      <c r="Y338" s="2">
        <v>422</v>
      </c>
      <c r="Z338" s="2">
        <v>2339</v>
      </c>
      <c r="AA338">
        <v>530</v>
      </c>
      <c r="AB338" t="s">
        <v>65</v>
      </c>
      <c r="AC338">
        <v>15.4</v>
      </c>
      <c r="AD338">
        <v>21</v>
      </c>
      <c r="AE338">
        <v>34</v>
      </c>
      <c r="AF338" t="s">
        <v>66</v>
      </c>
      <c r="AG338">
        <v>29</v>
      </c>
      <c r="AH338" t="s">
        <v>113</v>
      </c>
      <c r="AI338" t="s">
        <v>95</v>
      </c>
      <c r="AJ338" t="s">
        <v>96</v>
      </c>
      <c r="AK338" t="s">
        <v>70</v>
      </c>
      <c r="AL338" t="s">
        <v>71</v>
      </c>
      <c r="AM338" t="s">
        <v>70</v>
      </c>
      <c r="AN338" t="s">
        <v>72</v>
      </c>
      <c r="AO338" t="s">
        <v>72</v>
      </c>
      <c r="AP338" t="s">
        <v>72</v>
      </c>
      <c r="AQ338" t="s">
        <v>117</v>
      </c>
      <c r="AR338" s="1">
        <v>44058</v>
      </c>
      <c r="AS338" t="s">
        <v>137</v>
      </c>
      <c r="AT338" t="s">
        <v>71</v>
      </c>
      <c r="AU338">
        <v>1361</v>
      </c>
      <c r="AV338" t="s">
        <v>76</v>
      </c>
      <c r="AW338" s="3">
        <v>28068</v>
      </c>
      <c r="AX338" t="s">
        <v>798</v>
      </c>
      <c r="AY338" t="s">
        <v>806</v>
      </c>
      <c r="AZ338" t="s">
        <v>76</v>
      </c>
      <c r="BA338" t="s">
        <v>800</v>
      </c>
      <c r="BB338" t="s">
        <v>801</v>
      </c>
      <c r="BC338" t="s">
        <v>802</v>
      </c>
      <c r="BD338" s="3">
        <v>0.22659256092347158</v>
      </c>
      <c r="BE338">
        <v>598.4</v>
      </c>
      <c r="BG338" s="2">
        <f t="shared" si="24"/>
        <v>28068</v>
      </c>
      <c r="BH338" t="str" cm="1">
        <f t="array" ref="BH338">_xlfn.IFS(Q338&lt;5,"0-5 Years",Q338&lt;10,"5-10 Years",Q338&lt;15,"10-15 Years",TRUE,"15+ Years")</f>
        <v>15+ Years</v>
      </c>
      <c r="BI338" t="str" cm="1">
        <f t="array" ref="BI338">_xlfn.IFS(AA338&gt;=540,"A",AA338&gt;=480,"B",AA338&gt;=420,"C",AA338&gt;=360,"D",TRUE,"F")</f>
        <v>B</v>
      </c>
      <c r="BJ338" t="str" cm="1">
        <f t="array" ref="BJ338">_xlfn.IFS(AU338&lt;0,"Separated",AU338&lt;=90,"High Risk",AU338&lt;=180,"Medium Risk",TRUE,"Retained")</f>
        <v>Retained</v>
      </c>
      <c r="BK338" t="str" cm="1">
        <f t="array" ref="BK338">_xlfn.IFS(V338=0,"No Combat",V338=1,"1 Tour",V338=2,"2 Tours",TRUE,"3+ Tours")</f>
        <v>No Combat</v>
      </c>
      <c r="BL338" t="str">
        <f t="shared" si="25"/>
        <v>Standard</v>
      </c>
      <c r="BM338" t="str">
        <f t="shared" si="26"/>
        <v>Not Ready</v>
      </c>
      <c r="BN338" s="3">
        <f t="shared" si="27"/>
        <v>0.22659256092347158</v>
      </c>
      <c r="BO338">
        <f t="shared" si="28"/>
        <v>598.4</v>
      </c>
    </row>
    <row r="339" spans="1:67" x14ac:dyDescent="0.25">
      <c r="A339" t="s">
        <v>626</v>
      </c>
      <c r="B339" t="s">
        <v>139</v>
      </c>
      <c r="C339" t="s">
        <v>313</v>
      </c>
      <c r="D339" t="s">
        <v>122</v>
      </c>
      <c r="E339">
        <v>21</v>
      </c>
      <c r="F339" t="s">
        <v>214</v>
      </c>
      <c r="G339" t="s">
        <v>81</v>
      </c>
      <c r="H339" t="s">
        <v>82</v>
      </c>
      <c r="I339" t="s">
        <v>144</v>
      </c>
      <c r="J339" t="s">
        <v>145</v>
      </c>
      <c r="K339" t="s">
        <v>146</v>
      </c>
      <c r="L339" t="s">
        <v>86</v>
      </c>
      <c r="M339" t="s">
        <v>87</v>
      </c>
      <c r="N339" t="s">
        <v>60</v>
      </c>
      <c r="O339" t="s">
        <v>89</v>
      </c>
      <c r="P339" s="1">
        <v>40188</v>
      </c>
      <c r="Q339">
        <v>14.4</v>
      </c>
      <c r="R339" t="s">
        <v>90</v>
      </c>
      <c r="S339" t="s">
        <v>163</v>
      </c>
      <c r="T339" t="s">
        <v>164</v>
      </c>
      <c r="U339">
        <v>0</v>
      </c>
      <c r="V339">
        <v>0</v>
      </c>
      <c r="W339" s="2">
        <v>2504</v>
      </c>
      <c r="X339" s="2">
        <v>0</v>
      </c>
      <c r="Y339" s="2">
        <v>422</v>
      </c>
      <c r="Z339" s="2">
        <v>2926</v>
      </c>
      <c r="AA339">
        <v>513</v>
      </c>
      <c r="AB339" t="s">
        <v>65</v>
      </c>
      <c r="AC339">
        <v>20.9</v>
      </c>
      <c r="AD339">
        <v>75</v>
      </c>
      <c r="AE339">
        <v>74</v>
      </c>
      <c r="AF339" t="s">
        <v>93</v>
      </c>
      <c r="AG339">
        <v>21</v>
      </c>
      <c r="AH339" t="s">
        <v>113</v>
      </c>
      <c r="AI339" t="s">
        <v>68</v>
      </c>
      <c r="AJ339" t="s">
        <v>72</v>
      </c>
      <c r="AK339" t="s">
        <v>71</v>
      </c>
      <c r="AL339" t="s">
        <v>70</v>
      </c>
      <c r="AM339" t="s">
        <v>71</v>
      </c>
      <c r="AN339" t="s">
        <v>72</v>
      </c>
      <c r="AO339" t="s">
        <v>97</v>
      </c>
      <c r="AP339" t="s">
        <v>72</v>
      </c>
      <c r="AQ339" t="s">
        <v>117</v>
      </c>
      <c r="AR339" s="1">
        <v>45198</v>
      </c>
      <c r="AS339" t="s">
        <v>137</v>
      </c>
      <c r="AT339" t="s">
        <v>71</v>
      </c>
      <c r="AU339">
        <v>1054</v>
      </c>
      <c r="AV339" t="s">
        <v>76</v>
      </c>
      <c r="AW339" s="3">
        <v>35112</v>
      </c>
      <c r="AX339" t="s">
        <v>805</v>
      </c>
      <c r="AY339" t="s">
        <v>806</v>
      </c>
      <c r="AZ339" t="s">
        <v>76</v>
      </c>
      <c r="BA339" t="s">
        <v>800</v>
      </c>
      <c r="BB339" t="s">
        <v>801</v>
      </c>
      <c r="BC339" t="s">
        <v>802</v>
      </c>
      <c r="BD339" s="3">
        <v>0.17532467532467533</v>
      </c>
      <c r="BE339">
        <v>585.4</v>
      </c>
      <c r="BG339" s="2">
        <f t="shared" si="24"/>
        <v>35112</v>
      </c>
      <c r="BH339" t="str" cm="1">
        <f t="array" ref="BH339">_xlfn.IFS(Q339&lt;5,"0-5 Years",Q339&lt;10,"5-10 Years",Q339&lt;15,"10-15 Years",TRUE,"15+ Years")</f>
        <v>10-15 Years</v>
      </c>
      <c r="BI339" t="str" cm="1">
        <f t="array" ref="BI339">_xlfn.IFS(AA339&gt;=540,"A",AA339&gt;=480,"B",AA339&gt;=420,"C",AA339&gt;=360,"D",TRUE,"F")</f>
        <v>B</v>
      </c>
      <c r="BJ339" t="str" cm="1">
        <f t="array" ref="BJ339">_xlfn.IFS(AU339&lt;0,"Separated",AU339&lt;=90,"High Risk",AU339&lt;=180,"Medium Risk",TRUE,"Retained")</f>
        <v>Retained</v>
      </c>
      <c r="BK339" t="str" cm="1">
        <f t="array" ref="BK339">_xlfn.IFS(V339=0,"No Combat",V339=1,"1 Tour",V339=2,"2 Tours",TRUE,"3+ Tours")</f>
        <v>No Combat</v>
      </c>
      <c r="BL339" t="str">
        <f t="shared" si="25"/>
        <v>Standard</v>
      </c>
      <c r="BM339" t="str">
        <f t="shared" si="26"/>
        <v>Not Ready</v>
      </c>
      <c r="BN339" s="3">
        <f t="shared" si="27"/>
        <v>0.17532467532467533</v>
      </c>
      <c r="BO339">
        <f t="shared" si="28"/>
        <v>585.4</v>
      </c>
    </row>
    <row r="340" spans="1:67" x14ac:dyDescent="0.25">
      <c r="A340" t="s">
        <v>627</v>
      </c>
      <c r="B340" t="s">
        <v>377</v>
      </c>
      <c r="C340" t="s">
        <v>264</v>
      </c>
      <c r="D340" t="s">
        <v>51</v>
      </c>
      <c r="E340">
        <v>29</v>
      </c>
      <c r="F340" t="s">
        <v>168</v>
      </c>
      <c r="G340" t="s">
        <v>279</v>
      </c>
      <c r="H340" t="s">
        <v>280</v>
      </c>
      <c r="I340" t="s">
        <v>171</v>
      </c>
      <c r="J340" t="s">
        <v>172</v>
      </c>
      <c r="K340" t="s">
        <v>173</v>
      </c>
      <c r="L340" t="s">
        <v>58</v>
      </c>
      <c r="M340" t="s">
        <v>161</v>
      </c>
      <c r="N340" t="s">
        <v>128</v>
      </c>
      <c r="O340" t="s">
        <v>149</v>
      </c>
      <c r="P340" s="1">
        <v>44521</v>
      </c>
      <c r="Q340">
        <v>2.5</v>
      </c>
      <c r="R340" t="s">
        <v>62</v>
      </c>
      <c r="S340" t="s">
        <v>63</v>
      </c>
      <c r="T340" t="s">
        <v>64</v>
      </c>
      <c r="U340">
        <v>0</v>
      </c>
      <c r="V340">
        <v>0</v>
      </c>
      <c r="W340" s="2">
        <v>6618</v>
      </c>
      <c r="X340" s="2">
        <v>1646</v>
      </c>
      <c r="Y340" s="2">
        <v>266</v>
      </c>
      <c r="Z340" s="2">
        <v>8530</v>
      </c>
      <c r="AA340">
        <v>413</v>
      </c>
      <c r="AB340" t="s">
        <v>65</v>
      </c>
      <c r="AC340">
        <v>18.2</v>
      </c>
      <c r="AD340">
        <v>53</v>
      </c>
      <c r="AE340">
        <v>63</v>
      </c>
      <c r="AF340" t="s">
        <v>132</v>
      </c>
      <c r="AG340">
        <v>37</v>
      </c>
      <c r="AH340" t="s">
        <v>94</v>
      </c>
      <c r="AI340" t="s">
        <v>114</v>
      </c>
      <c r="AJ340" t="s">
        <v>72</v>
      </c>
      <c r="AK340" t="s">
        <v>70</v>
      </c>
      <c r="AL340" t="s">
        <v>70</v>
      </c>
      <c r="AM340" t="s">
        <v>71</v>
      </c>
      <c r="AN340" t="s">
        <v>270</v>
      </c>
      <c r="AO340" t="s">
        <v>287</v>
      </c>
      <c r="AP340" t="s">
        <v>221</v>
      </c>
      <c r="AQ340" t="s">
        <v>74</v>
      </c>
      <c r="AR340" s="1">
        <v>45209</v>
      </c>
      <c r="AS340" t="s">
        <v>118</v>
      </c>
      <c r="AT340" t="s">
        <v>71</v>
      </c>
      <c r="AU340">
        <v>-254</v>
      </c>
      <c r="AV340" t="s">
        <v>179</v>
      </c>
      <c r="AW340" s="3">
        <v>102360</v>
      </c>
      <c r="AX340" t="s">
        <v>803</v>
      </c>
      <c r="AY340" t="s">
        <v>809</v>
      </c>
      <c r="AZ340" t="s">
        <v>810</v>
      </c>
      <c r="BA340" t="s">
        <v>800</v>
      </c>
      <c r="BB340" t="s">
        <v>801</v>
      </c>
      <c r="BC340" t="s">
        <v>802</v>
      </c>
      <c r="BD340" s="3">
        <v>4.8417350527549821E-2</v>
      </c>
      <c r="BE340">
        <v>507.4</v>
      </c>
      <c r="BG340" s="2">
        <f t="shared" si="24"/>
        <v>102360</v>
      </c>
      <c r="BH340" t="str" cm="1">
        <f t="array" ref="BH340">_xlfn.IFS(Q340&lt;5,"0-5 Years",Q340&lt;10,"5-10 Years",Q340&lt;15,"10-15 Years",TRUE,"15+ Years")</f>
        <v>0-5 Years</v>
      </c>
      <c r="BI340" t="str" cm="1">
        <f t="array" ref="BI340">_xlfn.IFS(AA340&gt;=540,"A",AA340&gt;=480,"B",AA340&gt;=420,"C",AA340&gt;=360,"D",TRUE,"F")</f>
        <v>D</v>
      </c>
      <c r="BJ340" t="str" cm="1">
        <f t="array" ref="BJ340">_xlfn.IFS(AU340&lt;0,"Separated",AU340&lt;=90,"High Risk",AU340&lt;=180,"Medium Risk",TRUE,"Retained")</f>
        <v>Separated</v>
      </c>
      <c r="BK340" t="str" cm="1">
        <f t="array" ref="BK340">_xlfn.IFS(V340=0,"No Combat",V340=1,"1 Tour",V340=2,"2 Tours",TRUE,"3+ Tours")</f>
        <v>No Combat</v>
      </c>
      <c r="BL340" t="str">
        <f t="shared" si="25"/>
        <v>Standard</v>
      </c>
      <c r="BM340" t="str">
        <f t="shared" si="26"/>
        <v>Not Ready</v>
      </c>
      <c r="BN340" s="3">
        <f t="shared" si="27"/>
        <v>4.8417350527549821E-2</v>
      </c>
      <c r="BO340">
        <f t="shared" si="28"/>
        <v>507.4</v>
      </c>
    </row>
    <row r="341" spans="1:67" x14ac:dyDescent="0.25">
      <c r="A341" t="s">
        <v>628</v>
      </c>
      <c r="B341" t="s">
        <v>210</v>
      </c>
      <c r="C341" t="s">
        <v>50</v>
      </c>
      <c r="D341" t="s">
        <v>51</v>
      </c>
      <c r="E341">
        <v>26</v>
      </c>
      <c r="F341" t="s">
        <v>52</v>
      </c>
      <c r="G341" t="s">
        <v>169</v>
      </c>
      <c r="H341" t="s">
        <v>170</v>
      </c>
      <c r="I341" t="s">
        <v>185</v>
      </c>
      <c r="J341" t="s">
        <v>186</v>
      </c>
      <c r="K341" t="s">
        <v>187</v>
      </c>
      <c r="L341" t="s">
        <v>126</v>
      </c>
      <c r="M341" t="s">
        <v>107</v>
      </c>
      <c r="N341" t="s">
        <v>162</v>
      </c>
      <c r="O341" t="s">
        <v>89</v>
      </c>
      <c r="P341" s="1">
        <v>41141</v>
      </c>
      <c r="Q341">
        <v>11.8</v>
      </c>
      <c r="R341" t="s">
        <v>90</v>
      </c>
      <c r="S341" t="s">
        <v>130</v>
      </c>
      <c r="T341" t="s">
        <v>131</v>
      </c>
      <c r="U341">
        <v>10</v>
      </c>
      <c r="V341">
        <v>1</v>
      </c>
      <c r="W341" s="2">
        <v>3294</v>
      </c>
      <c r="X341" s="2">
        <v>1438</v>
      </c>
      <c r="Y341" s="2">
        <v>422</v>
      </c>
      <c r="Z341" s="2">
        <v>5154</v>
      </c>
      <c r="AA341">
        <v>344</v>
      </c>
      <c r="AB341" t="s">
        <v>151</v>
      </c>
      <c r="AC341">
        <v>18.100000000000001</v>
      </c>
      <c r="AD341">
        <v>74</v>
      </c>
      <c r="AE341">
        <v>62</v>
      </c>
      <c r="AF341" t="s">
        <v>93</v>
      </c>
      <c r="AG341">
        <v>23</v>
      </c>
      <c r="AH341" t="s">
        <v>113</v>
      </c>
      <c r="AI341" t="s">
        <v>114</v>
      </c>
      <c r="AJ341" t="s">
        <v>188</v>
      </c>
      <c r="AK341" t="s">
        <v>70</v>
      </c>
      <c r="AL341" t="s">
        <v>71</v>
      </c>
      <c r="AM341" t="s">
        <v>71</v>
      </c>
      <c r="AN341" t="s">
        <v>115</v>
      </c>
      <c r="AO341" t="s">
        <v>221</v>
      </c>
      <c r="AP341" t="s">
        <v>72</v>
      </c>
      <c r="AQ341" t="s">
        <v>74</v>
      </c>
      <c r="AR341" s="1">
        <v>41745</v>
      </c>
      <c r="AS341" t="s">
        <v>75</v>
      </c>
      <c r="AT341" t="s">
        <v>71</v>
      </c>
      <c r="AU341">
        <v>103</v>
      </c>
      <c r="AV341" t="s">
        <v>179</v>
      </c>
      <c r="AW341" s="3">
        <v>61848</v>
      </c>
      <c r="AX341" t="s">
        <v>805</v>
      </c>
      <c r="AY341" t="s">
        <v>122</v>
      </c>
      <c r="AZ341" t="s">
        <v>815</v>
      </c>
      <c r="BA341" t="s">
        <v>807</v>
      </c>
      <c r="BB341" t="s">
        <v>801</v>
      </c>
      <c r="BC341" t="s">
        <v>812</v>
      </c>
      <c r="BD341" s="3">
        <v>6.6744276290259988E-2</v>
      </c>
      <c r="BE341">
        <v>420.4</v>
      </c>
      <c r="BG341" s="2">
        <f t="shared" si="24"/>
        <v>61848</v>
      </c>
      <c r="BH341" t="str" cm="1">
        <f t="array" ref="BH341">_xlfn.IFS(Q341&lt;5,"0-5 Years",Q341&lt;10,"5-10 Years",Q341&lt;15,"10-15 Years",TRUE,"15+ Years")</f>
        <v>10-15 Years</v>
      </c>
      <c r="BI341" t="str" cm="1">
        <f t="array" ref="BI341">_xlfn.IFS(AA341&gt;=540,"A",AA341&gt;=480,"B",AA341&gt;=420,"C",AA341&gt;=360,"D",TRUE,"F")</f>
        <v>F</v>
      </c>
      <c r="BJ341" t="str" cm="1">
        <f t="array" ref="BJ341">_xlfn.IFS(AU341&lt;0,"Separated",AU341&lt;=90,"High Risk",AU341&lt;=180,"Medium Risk",TRUE,"Retained")</f>
        <v>Medium Risk</v>
      </c>
      <c r="BK341" t="str" cm="1">
        <f t="array" ref="BK341">_xlfn.IFS(V341=0,"No Combat",V341=1,"1 Tour",V341=2,"2 Tours",TRUE,"3+ Tours")</f>
        <v>1 Tour</v>
      </c>
      <c r="BL341" t="str">
        <f t="shared" si="25"/>
        <v>Standard</v>
      </c>
      <c r="BM341" t="str">
        <f t="shared" si="26"/>
        <v>Promotion Ready</v>
      </c>
      <c r="BN341" s="3">
        <f t="shared" si="27"/>
        <v>6.6744276290259988E-2</v>
      </c>
      <c r="BO341">
        <f t="shared" si="28"/>
        <v>420.4</v>
      </c>
    </row>
    <row r="342" spans="1:67" x14ac:dyDescent="0.25">
      <c r="A342" t="s">
        <v>629</v>
      </c>
      <c r="B342" t="s">
        <v>277</v>
      </c>
      <c r="C342" t="s">
        <v>223</v>
      </c>
      <c r="D342" t="s">
        <v>122</v>
      </c>
      <c r="E342">
        <v>29</v>
      </c>
      <c r="F342" t="s">
        <v>311</v>
      </c>
      <c r="G342" t="s">
        <v>53</v>
      </c>
      <c r="H342" t="s">
        <v>54</v>
      </c>
      <c r="I342" t="s">
        <v>268</v>
      </c>
      <c r="J342" t="s">
        <v>269</v>
      </c>
      <c r="K342" t="s">
        <v>173</v>
      </c>
      <c r="L342" t="s">
        <v>126</v>
      </c>
      <c r="M342" t="s">
        <v>275</v>
      </c>
      <c r="N342" t="s">
        <v>88</v>
      </c>
      <c r="O342" t="s">
        <v>89</v>
      </c>
      <c r="P342" s="1">
        <v>42254</v>
      </c>
      <c r="Q342">
        <v>8.6999999999999993</v>
      </c>
      <c r="R342" t="s">
        <v>208</v>
      </c>
      <c r="S342" t="s">
        <v>219</v>
      </c>
      <c r="T342" t="s">
        <v>220</v>
      </c>
      <c r="U342">
        <v>0</v>
      </c>
      <c r="V342">
        <v>0</v>
      </c>
      <c r="W342" s="2">
        <v>4739</v>
      </c>
      <c r="X342" s="2">
        <v>1887</v>
      </c>
      <c r="Y342" s="2">
        <v>422</v>
      </c>
      <c r="Z342" s="2">
        <v>7048</v>
      </c>
      <c r="AA342">
        <v>333</v>
      </c>
      <c r="AB342" t="s">
        <v>151</v>
      </c>
      <c r="AC342">
        <v>15.5</v>
      </c>
      <c r="AD342">
        <v>27</v>
      </c>
      <c r="AE342">
        <v>65</v>
      </c>
      <c r="AF342" t="s">
        <v>112</v>
      </c>
      <c r="AG342">
        <v>29</v>
      </c>
      <c r="AH342" t="s">
        <v>113</v>
      </c>
      <c r="AI342" t="s">
        <v>177</v>
      </c>
      <c r="AJ342" t="s">
        <v>96</v>
      </c>
      <c r="AK342" t="s">
        <v>71</v>
      </c>
      <c r="AL342" t="s">
        <v>70</v>
      </c>
      <c r="AM342" t="s">
        <v>70</v>
      </c>
      <c r="AN342" t="s">
        <v>231</v>
      </c>
      <c r="AO342" t="s">
        <v>73</v>
      </c>
      <c r="AP342" t="s">
        <v>72</v>
      </c>
      <c r="AQ342" t="s">
        <v>74</v>
      </c>
      <c r="AR342" s="1">
        <v>42799</v>
      </c>
      <c r="AS342" t="s">
        <v>198</v>
      </c>
      <c r="AT342" t="s">
        <v>71</v>
      </c>
      <c r="AU342">
        <v>704</v>
      </c>
      <c r="AV342" t="s">
        <v>76</v>
      </c>
      <c r="AW342" s="3">
        <v>84576</v>
      </c>
      <c r="AX342" t="s">
        <v>808</v>
      </c>
      <c r="AY342" t="s">
        <v>122</v>
      </c>
      <c r="AZ342" t="s">
        <v>76</v>
      </c>
      <c r="BA342" t="s">
        <v>800</v>
      </c>
      <c r="BB342" t="s">
        <v>801</v>
      </c>
      <c r="BC342" t="s">
        <v>802</v>
      </c>
      <c r="BD342" s="3">
        <v>4.7247446083995462E-2</v>
      </c>
      <c r="BE342">
        <v>401.4</v>
      </c>
      <c r="BG342" s="2">
        <f t="shared" si="24"/>
        <v>84576</v>
      </c>
      <c r="BH342" t="str" cm="1">
        <f t="array" ref="BH342">_xlfn.IFS(Q342&lt;5,"0-5 Years",Q342&lt;10,"5-10 Years",Q342&lt;15,"10-15 Years",TRUE,"15+ Years")</f>
        <v>5-10 Years</v>
      </c>
      <c r="BI342" t="str" cm="1">
        <f t="array" ref="BI342">_xlfn.IFS(AA342&gt;=540,"A",AA342&gt;=480,"B",AA342&gt;=420,"C",AA342&gt;=360,"D",TRUE,"F")</f>
        <v>F</v>
      </c>
      <c r="BJ342" t="str" cm="1">
        <f t="array" ref="BJ342">_xlfn.IFS(AU342&lt;0,"Separated",AU342&lt;=90,"High Risk",AU342&lt;=180,"Medium Risk",TRUE,"Retained")</f>
        <v>Retained</v>
      </c>
      <c r="BK342" t="str" cm="1">
        <f t="array" ref="BK342">_xlfn.IFS(V342=0,"No Combat",V342=1,"1 Tour",V342=2,"2 Tours",TRUE,"3+ Tours")</f>
        <v>No Combat</v>
      </c>
      <c r="BL342" t="str">
        <f t="shared" si="25"/>
        <v>Standard</v>
      </c>
      <c r="BM342" t="str">
        <f t="shared" si="26"/>
        <v>Not Ready</v>
      </c>
      <c r="BN342" s="3">
        <f t="shared" si="27"/>
        <v>4.7247446083995462E-2</v>
      </c>
      <c r="BO342">
        <f t="shared" si="28"/>
        <v>401.4</v>
      </c>
    </row>
    <row r="343" spans="1:67" x14ac:dyDescent="0.25">
      <c r="A343" t="s">
        <v>630</v>
      </c>
      <c r="B343" t="s">
        <v>181</v>
      </c>
      <c r="C343" t="s">
        <v>375</v>
      </c>
      <c r="D343" t="s">
        <v>51</v>
      </c>
      <c r="E343">
        <v>21</v>
      </c>
      <c r="F343" t="s">
        <v>322</v>
      </c>
      <c r="G343" t="s">
        <v>242</v>
      </c>
      <c r="H343" t="s">
        <v>54</v>
      </c>
      <c r="I343" t="s">
        <v>103</v>
      </c>
      <c r="J343" t="s">
        <v>104</v>
      </c>
      <c r="K343" t="s">
        <v>105</v>
      </c>
      <c r="L343" t="s">
        <v>201</v>
      </c>
      <c r="M343" t="s">
        <v>249</v>
      </c>
      <c r="N343" t="s">
        <v>148</v>
      </c>
      <c r="O343" t="s">
        <v>109</v>
      </c>
      <c r="P343" s="1">
        <v>39247</v>
      </c>
      <c r="Q343">
        <v>17</v>
      </c>
      <c r="R343" t="s">
        <v>195</v>
      </c>
      <c r="S343" t="s">
        <v>219</v>
      </c>
      <c r="T343" t="s">
        <v>220</v>
      </c>
      <c r="U343">
        <v>0</v>
      </c>
      <c r="V343">
        <v>0</v>
      </c>
      <c r="W343" s="2">
        <v>4739</v>
      </c>
      <c r="X343" s="2">
        <v>0</v>
      </c>
      <c r="Y343" s="2">
        <v>422</v>
      </c>
      <c r="Z343" s="2">
        <v>5161</v>
      </c>
      <c r="AA343">
        <v>317</v>
      </c>
      <c r="AB343" t="s">
        <v>151</v>
      </c>
      <c r="AC343">
        <v>20.7</v>
      </c>
      <c r="AD343">
        <v>34</v>
      </c>
      <c r="AE343">
        <v>37</v>
      </c>
      <c r="AF343" t="s">
        <v>66</v>
      </c>
      <c r="AG343">
        <v>34</v>
      </c>
      <c r="AH343" t="s">
        <v>67</v>
      </c>
      <c r="AI343" t="s">
        <v>68</v>
      </c>
      <c r="AJ343" t="s">
        <v>188</v>
      </c>
      <c r="AK343" t="s">
        <v>70</v>
      </c>
      <c r="AL343" t="s">
        <v>70</v>
      </c>
      <c r="AM343" t="s">
        <v>70</v>
      </c>
      <c r="AN343" t="s">
        <v>72</v>
      </c>
      <c r="AO343" t="s">
        <v>134</v>
      </c>
      <c r="AP343" t="s">
        <v>72</v>
      </c>
      <c r="AQ343" t="s">
        <v>136</v>
      </c>
      <c r="AR343" s="1">
        <v>45519</v>
      </c>
      <c r="AS343" t="s">
        <v>198</v>
      </c>
      <c r="AT343" t="s">
        <v>71</v>
      </c>
      <c r="AU343">
        <v>333</v>
      </c>
      <c r="AV343" t="s">
        <v>76</v>
      </c>
      <c r="AW343" s="3">
        <v>61932</v>
      </c>
      <c r="AX343" t="s">
        <v>798</v>
      </c>
      <c r="AY343" t="s">
        <v>122</v>
      </c>
      <c r="AZ343" t="s">
        <v>76</v>
      </c>
      <c r="BA343" t="s">
        <v>800</v>
      </c>
      <c r="BB343" t="s">
        <v>801</v>
      </c>
      <c r="BC343" t="s">
        <v>802</v>
      </c>
      <c r="BD343" s="3">
        <v>6.1422204999031192E-2</v>
      </c>
      <c r="BE343">
        <v>385.4</v>
      </c>
      <c r="BG343" s="2">
        <f t="shared" si="24"/>
        <v>61932</v>
      </c>
      <c r="BH343" t="str" cm="1">
        <f t="array" ref="BH343">_xlfn.IFS(Q343&lt;5,"0-5 Years",Q343&lt;10,"5-10 Years",Q343&lt;15,"10-15 Years",TRUE,"15+ Years")</f>
        <v>15+ Years</v>
      </c>
      <c r="BI343" t="str" cm="1">
        <f t="array" ref="BI343">_xlfn.IFS(AA343&gt;=540,"A",AA343&gt;=480,"B",AA343&gt;=420,"C",AA343&gt;=360,"D",TRUE,"F")</f>
        <v>F</v>
      </c>
      <c r="BJ343" t="str" cm="1">
        <f t="array" ref="BJ343">_xlfn.IFS(AU343&lt;0,"Separated",AU343&lt;=90,"High Risk",AU343&lt;=180,"Medium Risk",TRUE,"Retained")</f>
        <v>Retained</v>
      </c>
      <c r="BK343" t="str" cm="1">
        <f t="array" ref="BK343">_xlfn.IFS(V343=0,"No Combat",V343=1,"1 Tour",V343=2,"2 Tours",TRUE,"3+ Tours")</f>
        <v>No Combat</v>
      </c>
      <c r="BL343" t="str">
        <f t="shared" si="25"/>
        <v>Standard</v>
      </c>
      <c r="BM343" t="str">
        <f t="shared" si="26"/>
        <v>Not Ready</v>
      </c>
      <c r="BN343" s="3">
        <f t="shared" si="27"/>
        <v>6.1422204999031192E-2</v>
      </c>
      <c r="BO343">
        <f t="shared" si="28"/>
        <v>385.4</v>
      </c>
    </row>
    <row r="344" spans="1:67" x14ac:dyDescent="0.25">
      <c r="A344" t="s">
        <v>631</v>
      </c>
      <c r="B344" t="s">
        <v>100</v>
      </c>
      <c r="C344" t="s">
        <v>252</v>
      </c>
      <c r="D344" t="s">
        <v>51</v>
      </c>
      <c r="E344">
        <v>31</v>
      </c>
      <c r="F344" t="s">
        <v>382</v>
      </c>
      <c r="G344" t="s">
        <v>142</v>
      </c>
      <c r="H344" t="s">
        <v>143</v>
      </c>
      <c r="I344" t="s">
        <v>260</v>
      </c>
      <c r="J344" t="s">
        <v>261</v>
      </c>
      <c r="K344" t="s">
        <v>173</v>
      </c>
      <c r="L344" t="s">
        <v>174</v>
      </c>
      <c r="M344" t="s">
        <v>127</v>
      </c>
      <c r="N344" t="s">
        <v>108</v>
      </c>
      <c r="O344" t="s">
        <v>61</v>
      </c>
      <c r="P344" s="1">
        <v>44091</v>
      </c>
      <c r="Q344">
        <v>3.7</v>
      </c>
      <c r="R344" t="s">
        <v>75</v>
      </c>
      <c r="S344" t="s">
        <v>63</v>
      </c>
      <c r="T344" t="s">
        <v>64</v>
      </c>
      <c r="U344">
        <v>0</v>
      </c>
      <c r="V344">
        <v>0</v>
      </c>
      <c r="W344" s="2">
        <v>5473</v>
      </c>
      <c r="X344" s="2">
        <v>1776</v>
      </c>
      <c r="Y344" s="2">
        <v>422</v>
      </c>
      <c r="Z344" s="2">
        <v>7671</v>
      </c>
      <c r="AA344">
        <v>377</v>
      </c>
      <c r="AB344" t="s">
        <v>65</v>
      </c>
      <c r="AC344">
        <v>19.7</v>
      </c>
      <c r="AD344">
        <v>64</v>
      </c>
      <c r="AE344">
        <v>45</v>
      </c>
      <c r="AF344" t="s">
        <v>112</v>
      </c>
      <c r="AG344">
        <v>37</v>
      </c>
      <c r="AH344" t="s">
        <v>94</v>
      </c>
      <c r="AI344" t="s">
        <v>177</v>
      </c>
      <c r="AJ344" t="s">
        <v>188</v>
      </c>
      <c r="AK344" t="s">
        <v>71</v>
      </c>
      <c r="AL344" t="s">
        <v>70</v>
      </c>
      <c r="AM344" t="s">
        <v>70</v>
      </c>
      <c r="AN344" t="s">
        <v>270</v>
      </c>
      <c r="AO344" t="s">
        <v>97</v>
      </c>
      <c r="AP344" t="s">
        <v>72</v>
      </c>
      <c r="AQ344" t="s">
        <v>117</v>
      </c>
      <c r="AR344" s="1">
        <v>44180</v>
      </c>
      <c r="AS344" t="s">
        <v>118</v>
      </c>
      <c r="AT344" t="s">
        <v>71</v>
      </c>
      <c r="AU344">
        <v>-461</v>
      </c>
      <c r="AV344" t="s">
        <v>179</v>
      </c>
      <c r="AW344" s="3">
        <v>92052</v>
      </c>
      <c r="AX344" t="s">
        <v>803</v>
      </c>
      <c r="AY344" t="s">
        <v>809</v>
      </c>
      <c r="AZ344" t="s">
        <v>810</v>
      </c>
      <c r="BA344" t="s">
        <v>800</v>
      </c>
      <c r="BB344" t="s">
        <v>801</v>
      </c>
      <c r="BC344" t="s">
        <v>802</v>
      </c>
      <c r="BD344" s="3">
        <v>4.9146134793377656E-2</v>
      </c>
      <c r="BE344">
        <v>461.4</v>
      </c>
      <c r="BG344" s="2">
        <f t="shared" si="24"/>
        <v>92052</v>
      </c>
      <c r="BH344" t="str" cm="1">
        <f t="array" ref="BH344">_xlfn.IFS(Q344&lt;5,"0-5 Years",Q344&lt;10,"5-10 Years",Q344&lt;15,"10-15 Years",TRUE,"15+ Years")</f>
        <v>0-5 Years</v>
      </c>
      <c r="BI344" t="str" cm="1">
        <f t="array" ref="BI344">_xlfn.IFS(AA344&gt;=540,"A",AA344&gt;=480,"B",AA344&gt;=420,"C",AA344&gt;=360,"D",TRUE,"F")</f>
        <v>D</v>
      </c>
      <c r="BJ344" t="str" cm="1">
        <f t="array" ref="BJ344">_xlfn.IFS(AU344&lt;0,"Separated",AU344&lt;=90,"High Risk",AU344&lt;=180,"Medium Risk",TRUE,"Retained")</f>
        <v>Separated</v>
      </c>
      <c r="BK344" t="str" cm="1">
        <f t="array" ref="BK344">_xlfn.IFS(V344=0,"No Combat",V344=1,"1 Tour",V344=2,"2 Tours",TRUE,"3+ Tours")</f>
        <v>No Combat</v>
      </c>
      <c r="BL344" t="str">
        <f t="shared" si="25"/>
        <v>Standard</v>
      </c>
      <c r="BM344" t="str">
        <f t="shared" si="26"/>
        <v>Not Ready</v>
      </c>
      <c r="BN344" s="3">
        <f t="shared" si="27"/>
        <v>4.9146134793377656E-2</v>
      </c>
      <c r="BO344">
        <f t="shared" si="28"/>
        <v>461.4</v>
      </c>
    </row>
    <row r="345" spans="1:67" x14ac:dyDescent="0.25">
      <c r="A345" t="s">
        <v>632</v>
      </c>
      <c r="B345" t="s">
        <v>251</v>
      </c>
      <c r="C345" t="s">
        <v>167</v>
      </c>
      <c r="D345" t="s">
        <v>51</v>
      </c>
      <c r="E345">
        <v>39</v>
      </c>
      <c r="F345" t="s">
        <v>141</v>
      </c>
      <c r="G345" t="s">
        <v>234</v>
      </c>
      <c r="H345" t="s">
        <v>235</v>
      </c>
      <c r="I345" t="s">
        <v>185</v>
      </c>
      <c r="J345" t="s">
        <v>186</v>
      </c>
      <c r="K345" t="s">
        <v>187</v>
      </c>
      <c r="L345" t="s">
        <v>58</v>
      </c>
      <c r="M345" t="s">
        <v>249</v>
      </c>
      <c r="N345" t="s">
        <v>60</v>
      </c>
      <c r="O345" t="s">
        <v>89</v>
      </c>
      <c r="P345" s="1">
        <v>38495</v>
      </c>
      <c r="Q345">
        <v>19</v>
      </c>
      <c r="R345" t="s">
        <v>75</v>
      </c>
      <c r="S345" t="s">
        <v>63</v>
      </c>
      <c r="T345" t="s">
        <v>64</v>
      </c>
      <c r="U345">
        <v>0</v>
      </c>
      <c r="V345">
        <v>0</v>
      </c>
      <c r="W345" s="2">
        <v>1917</v>
      </c>
      <c r="X345" s="2">
        <v>2192</v>
      </c>
      <c r="Y345" s="2">
        <v>422</v>
      </c>
      <c r="Z345" s="2">
        <v>4531</v>
      </c>
      <c r="AA345">
        <v>375</v>
      </c>
      <c r="AB345" t="s">
        <v>65</v>
      </c>
      <c r="AC345">
        <v>19.600000000000001</v>
      </c>
      <c r="AD345">
        <v>53</v>
      </c>
      <c r="AE345">
        <v>62</v>
      </c>
      <c r="AF345" t="s">
        <v>93</v>
      </c>
      <c r="AG345">
        <v>40</v>
      </c>
      <c r="AH345" t="s">
        <v>94</v>
      </c>
      <c r="AI345" t="s">
        <v>68</v>
      </c>
      <c r="AJ345" t="s">
        <v>69</v>
      </c>
      <c r="AK345" t="s">
        <v>70</v>
      </c>
      <c r="AL345" t="s">
        <v>70</v>
      </c>
      <c r="AM345" t="s">
        <v>70</v>
      </c>
      <c r="AN345" t="s">
        <v>243</v>
      </c>
      <c r="AO345" t="s">
        <v>97</v>
      </c>
      <c r="AP345" t="s">
        <v>72</v>
      </c>
      <c r="AQ345" t="s">
        <v>117</v>
      </c>
      <c r="AR345" s="1">
        <v>40819</v>
      </c>
      <c r="AS345" t="s">
        <v>75</v>
      </c>
      <c r="AT345" t="s">
        <v>71</v>
      </c>
      <c r="AU345">
        <v>866</v>
      </c>
      <c r="AV345" t="s">
        <v>76</v>
      </c>
      <c r="AW345" s="3">
        <v>54372</v>
      </c>
      <c r="AX345" t="s">
        <v>798</v>
      </c>
      <c r="AY345" t="s">
        <v>809</v>
      </c>
      <c r="AZ345" t="s">
        <v>76</v>
      </c>
      <c r="BA345" t="s">
        <v>800</v>
      </c>
      <c r="BB345" t="s">
        <v>801</v>
      </c>
      <c r="BC345" t="s">
        <v>802</v>
      </c>
      <c r="BD345" s="3">
        <v>8.276318693445156E-2</v>
      </c>
      <c r="BE345">
        <v>455.4</v>
      </c>
      <c r="BG345" s="2">
        <f t="shared" si="24"/>
        <v>54372</v>
      </c>
      <c r="BH345" t="str" cm="1">
        <f t="array" ref="BH345">_xlfn.IFS(Q345&lt;5,"0-5 Years",Q345&lt;10,"5-10 Years",Q345&lt;15,"10-15 Years",TRUE,"15+ Years")</f>
        <v>15+ Years</v>
      </c>
      <c r="BI345" t="str" cm="1">
        <f t="array" ref="BI345">_xlfn.IFS(AA345&gt;=540,"A",AA345&gt;=480,"B",AA345&gt;=420,"C",AA345&gt;=360,"D",TRUE,"F")</f>
        <v>D</v>
      </c>
      <c r="BJ345" t="str" cm="1">
        <f t="array" ref="BJ345">_xlfn.IFS(AU345&lt;0,"Separated",AU345&lt;=90,"High Risk",AU345&lt;=180,"Medium Risk",TRUE,"Retained")</f>
        <v>Retained</v>
      </c>
      <c r="BK345" t="str" cm="1">
        <f t="array" ref="BK345">_xlfn.IFS(V345=0,"No Combat",V345=1,"1 Tour",V345=2,"2 Tours",TRUE,"3+ Tours")</f>
        <v>No Combat</v>
      </c>
      <c r="BL345" t="str">
        <f t="shared" si="25"/>
        <v>Standard</v>
      </c>
      <c r="BM345" t="str">
        <f t="shared" si="26"/>
        <v>Not Ready</v>
      </c>
      <c r="BN345" s="3">
        <f t="shared" si="27"/>
        <v>8.276318693445156E-2</v>
      </c>
      <c r="BO345">
        <f t="shared" si="28"/>
        <v>455.4</v>
      </c>
    </row>
    <row r="346" spans="1:67" x14ac:dyDescent="0.25">
      <c r="A346" t="s">
        <v>633</v>
      </c>
      <c r="B346" t="s">
        <v>49</v>
      </c>
      <c r="C346" t="s">
        <v>223</v>
      </c>
      <c r="D346" t="s">
        <v>122</v>
      </c>
      <c r="E346">
        <v>28</v>
      </c>
      <c r="F346" t="s">
        <v>291</v>
      </c>
      <c r="G346" t="s">
        <v>234</v>
      </c>
      <c r="H346" t="s">
        <v>235</v>
      </c>
      <c r="I346" t="s">
        <v>273</v>
      </c>
      <c r="J346" t="s">
        <v>274</v>
      </c>
      <c r="K346" t="s">
        <v>57</v>
      </c>
      <c r="L346" t="s">
        <v>126</v>
      </c>
      <c r="M346" t="s">
        <v>107</v>
      </c>
      <c r="N346" t="s">
        <v>265</v>
      </c>
      <c r="O346" t="s">
        <v>149</v>
      </c>
      <c r="P346" s="1">
        <v>41279</v>
      </c>
      <c r="Q346">
        <v>11.4</v>
      </c>
      <c r="R346" t="s">
        <v>208</v>
      </c>
      <c r="S346" t="s">
        <v>91</v>
      </c>
      <c r="T346" t="s">
        <v>92</v>
      </c>
      <c r="U346">
        <v>0</v>
      </c>
      <c r="V346">
        <v>0</v>
      </c>
      <c r="W346" s="2">
        <v>1917</v>
      </c>
      <c r="X346" s="2">
        <v>1300</v>
      </c>
      <c r="Y346" s="2">
        <v>422</v>
      </c>
      <c r="Z346" s="2">
        <v>3639</v>
      </c>
      <c r="AA346">
        <v>389</v>
      </c>
      <c r="AB346" t="s">
        <v>65</v>
      </c>
      <c r="AC346">
        <v>15.6</v>
      </c>
      <c r="AD346">
        <v>67</v>
      </c>
      <c r="AE346">
        <v>35</v>
      </c>
      <c r="AF346" t="s">
        <v>132</v>
      </c>
      <c r="AG346">
        <v>36</v>
      </c>
      <c r="AH346" t="s">
        <v>94</v>
      </c>
      <c r="AI346" t="s">
        <v>152</v>
      </c>
      <c r="AJ346" t="s">
        <v>188</v>
      </c>
      <c r="AK346" t="s">
        <v>70</v>
      </c>
      <c r="AL346" t="s">
        <v>70</v>
      </c>
      <c r="AM346" t="s">
        <v>70</v>
      </c>
      <c r="AN346" t="s">
        <v>243</v>
      </c>
      <c r="AO346" t="s">
        <v>97</v>
      </c>
      <c r="AP346" t="s">
        <v>72</v>
      </c>
      <c r="AQ346" t="s">
        <v>74</v>
      </c>
      <c r="AR346" s="1">
        <v>43808</v>
      </c>
      <c r="AS346" t="s">
        <v>198</v>
      </c>
      <c r="AT346" t="s">
        <v>71</v>
      </c>
      <c r="AU346">
        <v>280</v>
      </c>
      <c r="AV346" t="s">
        <v>76</v>
      </c>
      <c r="AW346" s="3">
        <v>43668</v>
      </c>
      <c r="AX346" t="s">
        <v>805</v>
      </c>
      <c r="AY346" t="s">
        <v>809</v>
      </c>
      <c r="AZ346" t="s">
        <v>76</v>
      </c>
      <c r="BA346" t="s">
        <v>800</v>
      </c>
      <c r="BB346" t="s">
        <v>801</v>
      </c>
      <c r="BC346" t="s">
        <v>802</v>
      </c>
      <c r="BD346" s="3">
        <v>0.10689749931299808</v>
      </c>
      <c r="BE346">
        <v>461.4</v>
      </c>
      <c r="BG346" s="2">
        <f t="shared" si="24"/>
        <v>43668</v>
      </c>
      <c r="BH346" t="str" cm="1">
        <f t="array" ref="BH346">_xlfn.IFS(Q346&lt;5,"0-5 Years",Q346&lt;10,"5-10 Years",Q346&lt;15,"10-15 Years",TRUE,"15+ Years")</f>
        <v>10-15 Years</v>
      </c>
      <c r="BI346" t="str" cm="1">
        <f t="array" ref="BI346">_xlfn.IFS(AA346&gt;=540,"A",AA346&gt;=480,"B",AA346&gt;=420,"C",AA346&gt;=360,"D",TRUE,"F")</f>
        <v>D</v>
      </c>
      <c r="BJ346" t="str" cm="1">
        <f t="array" ref="BJ346">_xlfn.IFS(AU346&lt;0,"Separated",AU346&lt;=90,"High Risk",AU346&lt;=180,"Medium Risk",TRUE,"Retained")</f>
        <v>Retained</v>
      </c>
      <c r="BK346" t="str" cm="1">
        <f t="array" ref="BK346">_xlfn.IFS(V346=0,"No Combat",V346=1,"1 Tour",V346=2,"2 Tours",TRUE,"3+ Tours")</f>
        <v>No Combat</v>
      </c>
      <c r="BL346" t="str">
        <f t="shared" si="25"/>
        <v>Standard</v>
      </c>
      <c r="BM346" t="str">
        <f t="shared" si="26"/>
        <v>Not Ready</v>
      </c>
      <c r="BN346" s="3">
        <f t="shared" si="27"/>
        <v>0.10689749931299808</v>
      </c>
      <c r="BO346">
        <f t="shared" si="28"/>
        <v>461.4</v>
      </c>
    </row>
    <row r="347" spans="1:67" x14ac:dyDescent="0.25">
      <c r="A347" t="s">
        <v>634</v>
      </c>
      <c r="B347" t="s">
        <v>100</v>
      </c>
      <c r="C347" t="s">
        <v>360</v>
      </c>
      <c r="D347" t="s">
        <v>51</v>
      </c>
      <c r="E347">
        <v>44</v>
      </c>
      <c r="F347" t="s">
        <v>241</v>
      </c>
      <c r="G347" t="s">
        <v>81</v>
      </c>
      <c r="H347" t="s">
        <v>82</v>
      </c>
      <c r="I347" t="s">
        <v>253</v>
      </c>
      <c r="J347" t="s">
        <v>254</v>
      </c>
      <c r="K347" t="s">
        <v>255</v>
      </c>
      <c r="L347" t="s">
        <v>126</v>
      </c>
      <c r="M347" t="s">
        <v>87</v>
      </c>
      <c r="N347" t="s">
        <v>128</v>
      </c>
      <c r="O347" t="s">
        <v>176</v>
      </c>
      <c r="P347" s="1">
        <v>40715</v>
      </c>
      <c r="Q347">
        <v>12.9</v>
      </c>
      <c r="R347" t="s">
        <v>150</v>
      </c>
      <c r="S347" t="s">
        <v>163</v>
      </c>
      <c r="T347" t="s">
        <v>164</v>
      </c>
      <c r="U347">
        <v>0</v>
      </c>
      <c r="V347">
        <v>0</v>
      </c>
      <c r="W347" s="2">
        <v>2504</v>
      </c>
      <c r="X347" s="2">
        <v>0</v>
      </c>
      <c r="Y347" s="2">
        <v>422</v>
      </c>
      <c r="Z347" s="2">
        <v>2926</v>
      </c>
      <c r="AA347">
        <v>438</v>
      </c>
      <c r="AB347" t="s">
        <v>65</v>
      </c>
      <c r="AC347">
        <v>16.5</v>
      </c>
      <c r="AD347">
        <v>29</v>
      </c>
      <c r="AE347">
        <v>63</v>
      </c>
      <c r="AF347" t="s">
        <v>93</v>
      </c>
      <c r="AG347">
        <v>25</v>
      </c>
      <c r="AH347" t="s">
        <v>113</v>
      </c>
      <c r="AI347" t="s">
        <v>177</v>
      </c>
      <c r="AJ347" t="s">
        <v>69</v>
      </c>
      <c r="AK347" t="s">
        <v>71</v>
      </c>
      <c r="AL347" t="s">
        <v>71</v>
      </c>
      <c r="AM347" t="s">
        <v>70</v>
      </c>
      <c r="AN347" t="s">
        <v>270</v>
      </c>
      <c r="AO347" t="s">
        <v>287</v>
      </c>
      <c r="AP347" t="s">
        <v>72</v>
      </c>
      <c r="AQ347" t="s">
        <v>117</v>
      </c>
      <c r="AR347" s="1">
        <v>44069</v>
      </c>
      <c r="AS347" t="s">
        <v>137</v>
      </c>
      <c r="AT347" t="s">
        <v>71</v>
      </c>
      <c r="AU347">
        <v>942</v>
      </c>
      <c r="AV347" t="s">
        <v>76</v>
      </c>
      <c r="AW347" s="3">
        <v>35112</v>
      </c>
      <c r="AX347" t="s">
        <v>805</v>
      </c>
      <c r="AY347" t="s">
        <v>804</v>
      </c>
      <c r="AZ347" t="s">
        <v>76</v>
      </c>
      <c r="BA347" t="s">
        <v>800</v>
      </c>
      <c r="BB347" t="s">
        <v>801</v>
      </c>
      <c r="BC347" t="s">
        <v>802</v>
      </c>
      <c r="BD347" s="3">
        <v>0.1496924128503076</v>
      </c>
      <c r="BE347">
        <v>508.4</v>
      </c>
      <c r="BG347" s="2">
        <f t="shared" si="24"/>
        <v>35112</v>
      </c>
      <c r="BH347" t="str" cm="1">
        <f t="array" ref="BH347">_xlfn.IFS(Q347&lt;5,"0-5 Years",Q347&lt;10,"5-10 Years",Q347&lt;15,"10-15 Years",TRUE,"15+ Years")</f>
        <v>10-15 Years</v>
      </c>
      <c r="BI347" t="str" cm="1">
        <f t="array" ref="BI347">_xlfn.IFS(AA347&gt;=540,"A",AA347&gt;=480,"B",AA347&gt;=420,"C",AA347&gt;=360,"D",TRUE,"F")</f>
        <v>C</v>
      </c>
      <c r="BJ347" t="str" cm="1">
        <f t="array" ref="BJ347">_xlfn.IFS(AU347&lt;0,"Separated",AU347&lt;=90,"High Risk",AU347&lt;=180,"Medium Risk",TRUE,"Retained")</f>
        <v>Retained</v>
      </c>
      <c r="BK347" t="str" cm="1">
        <f t="array" ref="BK347">_xlfn.IFS(V347=0,"No Combat",V347=1,"1 Tour",V347=2,"2 Tours",TRUE,"3+ Tours")</f>
        <v>No Combat</v>
      </c>
      <c r="BL347" t="str">
        <f t="shared" si="25"/>
        <v>Standard</v>
      </c>
      <c r="BM347" t="str">
        <f t="shared" si="26"/>
        <v>Not Ready</v>
      </c>
      <c r="BN347" s="3">
        <f t="shared" si="27"/>
        <v>0.1496924128503076</v>
      </c>
      <c r="BO347">
        <f t="shared" si="28"/>
        <v>508.4</v>
      </c>
    </row>
    <row r="348" spans="1:67" x14ac:dyDescent="0.25">
      <c r="A348" t="s">
        <v>635</v>
      </c>
      <c r="B348" t="s">
        <v>49</v>
      </c>
      <c r="C348" t="s">
        <v>191</v>
      </c>
      <c r="D348" t="s">
        <v>51</v>
      </c>
      <c r="E348">
        <v>37</v>
      </c>
      <c r="F348" t="s">
        <v>224</v>
      </c>
      <c r="G348" t="s">
        <v>124</v>
      </c>
      <c r="H348" t="s">
        <v>125</v>
      </c>
      <c r="I348" t="s">
        <v>83</v>
      </c>
      <c r="J348" t="s">
        <v>84</v>
      </c>
      <c r="K348" t="s">
        <v>85</v>
      </c>
      <c r="L348" t="s">
        <v>86</v>
      </c>
      <c r="M348" t="s">
        <v>147</v>
      </c>
      <c r="N348" t="s">
        <v>265</v>
      </c>
      <c r="O348" t="s">
        <v>61</v>
      </c>
      <c r="P348" s="1">
        <v>39623</v>
      </c>
      <c r="Q348">
        <v>15.9</v>
      </c>
      <c r="R348" t="s">
        <v>75</v>
      </c>
      <c r="S348" t="s">
        <v>163</v>
      </c>
      <c r="T348" t="s">
        <v>164</v>
      </c>
      <c r="U348">
        <v>8</v>
      </c>
      <c r="V348">
        <v>1</v>
      </c>
      <c r="W348" s="2">
        <v>2730</v>
      </c>
      <c r="X348" s="2">
        <v>0</v>
      </c>
      <c r="Y348" s="2">
        <v>422</v>
      </c>
      <c r="Z348" s="2">
        <v>3152</v>
      </c>
      <c r="AA348">
        <v>438</v>
      </c>
      <c r="AB348" t="s">
        <v>65</v>
      </c>
      <c r="AC348">
        <v>16.2</v>
      </c>
      <c r="AD348">
        <v>78</v>
      </c>
      <c r="AE348">
        <v>35</v>
      </c>
      <c r="AF348" t="s">
        <v>93</v>
      </c>
      <c r="AG348">
        <v>17</v>
      </c>
      <c r="AH348" t="s">
        <v>113</v>
      </c>
      <c r="AI348" t="s">
        <v>114</v>
      </c>
      <c r="AJ348" t="s">
        <v>69</v>
      </c>
      <c r="AK348" t="s">
        <v>71</v>
      </c>
      <c r="AL348" t="s">
        <v>70</v>
      </c>
      <c r="AM348" t="s">
        <v>70</v>
      </c>
      <c r="AN348" t="s">
        <v>243</v>
      </c>
      <c r="AO348" t="s">
        <v>287</v>
      </c>
      <c r="AP348" t="s">
        <v>73</v>
      </c>
      <c r="AQ348" t="s">
        <v>74</v>
      </c>
      <c r="AR348" s="1">
        <v>44184</v>
      </c>
      <c r="AS348" t="s">
        <v>198</v>
      </c>
      <c r="AT348" t="s">
        <v>71</v>
      </c>
      <c r="AU348">
        <v>70</v>
      </c>
      <c r="AV348" t="s">
        <v>179</v>
      </c>
      <c r="AW348" s="3">
        <v>37824</v>
      </c>
      <c r="AX348" t="s">
        <v>798</v>
      </c>
      <c r="AY348" t="s">
        <v>804</v>
      </c>
      <c r="AZ348" t="s">
        <v>813</v>
      </c>
      <c r="BA348" t="s">
        <v>807</v>
      </c>
      <c r="BB348" t="s">
        <v>801</v>
      </c>
      <c r="BC348" t="s">
        <v>812</v>
      </c>
      <c r="BD348" s="3">
        <v>0.13895939086294415</v>
      </c>
      <c r="BE348">
        <v>482.4</v>
      </c>
      <c r="BG348" s="2">
        <f t="shared" si="24"/>
        <v>37824</v>
      </c>
      <c r="BH348" t="str" cm="1">
        <f t="array" ref="BH348">_xlfn.IFS(Q348&lt;5,"0-5 Years",Q348&lt;10,"5-10 Years",Q348&lt;15,"10-15 Years",TRUE,"15+ Years")</f>
        <v>15+ Years</v>
      </c>
      <c r="BI348" t="str" cm="1">
        <f t="array" ref="BI348">_xlfn.IFS(AA348&gt;=540,"A",AA348&gt;=480,"B",AA348&gt;=420,"C",AA348&gt;=360,"D",TRUE,"F")</f>
        <v>C</v>
      </c>
      <c r="BJ348" t="str" cm="1">
        <f t="array" ref="BJ348">_xlfn.IFS(AU348&lt;0,"Separated",AU348&lt;=90,"High Risk",AU348&lt;=180,"Medium Risk",TRUE,"Retained")</f>
        <v>High Risk</v>
      </c>
      <c r="BK348" t="str" cm="1">
        <f t="array" ref="BK348">_xlfn.IFS(V348=0,"No Combat",V348=1,"1 Tour",V348=2,"2 Tours",TRUE,"3+ Tours")</f>
        <v>1 Tour</v>
      </c>
      <c r="BL348" t="str">
        <f t="shared" si="25"/>
        <v>Standard</v>
      </c>
      <c r="BM348" t="str">
        <f t="shared" si="26"/>
        <v>Promotion Ready</v>
      </c>
      <c r="BN348" s="3">
        <f t="shared" si="27"/>
        <v>0.13895939086294415</v>
      </c>
      <c r="BO348">
        <f t="shared" si="28"/>
        <v>482.4</v>
      </c>
    </row>
    <row r="349" spans="1:67" x14ac:dyDescent="0.25">
      <c r="A349" t="s">
        <v>636</v>
      </c>
      <c r="B349" t="s">
        <v>377</v>
      </c>
      <c r="C349" t="s">
        <v>272</v>
      </c>
      <c r="D349" t="s">
        <v>51</v>
      </c>
      <c r="E349">
        <v>32</v>
      </c>
      <c r="F349" t="s">
        <v>52</v>
      </c>
      <c r="G349" t="s">
        <v>183</v>
      </c>
      <c r="H349" t="s">
        <v>184</v>
      </c>
      <c r="I349" t="s">
        <v>103</v>
      </c>
      <c r="J349" t="s">
        <v>104</v>
      </c>
      <c r="K349" t="s">
        <v>105</v>
      </c>
      <c r="L349" t="s">
        <v>58</v>
      </c>
      <c r="M349" t="s">
        <v>207</v>
      </c>
      <c r="N349" t="s">
        <v>88</v>
      </c>
      <c r="O349" t="s">
        <v>89</v>
      </c>
      <c r="P349" s="1">
        <v>40788</v>
      </c>
      <c r="Q349">
        <v>12.7</v>
      </c>
      <c r="R349" t="s">
        <v>208</v>
      </c>
      <c r="S349" t="s">
        <v>63</v>
      </c>
      <c r="T349" t="s">
        <v>64</v>
      </c>
      <c r="U349">
        <v>0</v>
      </c>
      <c r="V349">
        <v>0</v>
      </c>
      <c r="W349" s="2">
        <v>5696</v>
      </c>
      <c r="X349" s="2">
        <v>2086</v>
      </c>
      <c r="Y349" s="2">
        <v>266</v>
      </c>
      <c r="Z349" s="2">
        <v>8048</v>
      </c>
      <c r="AA349">
        <v>513</v>
      </c>
      <c r="AB349" t="s">
        <v>65</v>
      </c>
      <c r="AC349">
        <v>17.100000000000001</v>
      </c>
      <c r="AD349">
        <v>44</v>
      </c>
      <c r="AE349">
        <v>80</v>
      </c>
      <c r="AF349" t="s">
        <v>66</v>
      </c>
      <c r="AG349">
        <v>20</v>
      </c>
      <c r="AH349" t="s">
        <v>113</v>
      </c>
      <c r="AI349" t="s">
        <v>95</v>
      </c>
      <c r="AJ349" t="s">
        <v>96</v>
      </c>
      <c r="AK349" t="s">
        <v>70</v>
      </c>
      <c r="AL349" t="s">
        <v>70</v>
      </c>
      <c r="AM349" t="s">
        <v>70</v>
      </c>
      <c r="AN349" t="s">
        <v>72</v>
      </c>
      <c r="AO349" t="s">
        <v>203</v>
      </c>
      <c r="AP349" t="s">
        <v>72</v>
      </c>
      <c r="AQ349" t="s">
        <v>117</v>
      </c>
      <c r="AR349" s="1">
        <v>45122</v>
      </c>
      <c r="AS349" t="s">
        <v>198</v>
      </c>
      <c r="AT349" t="s">
        <v>71</v>
      </c>
      <c r="AU349">
        <v>-392</v>
      </c>
      <c r="AV349" t="s">
        <v>179</v>
      </c>
      <c r="AW349" s="3">
        <v>96576</v>
      </c>
      <c r="AX349" t="s">
        <v>805</v>
      </c>
      <c r="AY349" t="s">
        <v>806</v>
      </c>
      <c r="AZ349" t="s">
        <v>810</v>
      </c>
      <c r="BA349" t="s">
        <v>800</v>
      </c>
      <c r="BB349" t="s">
        <v>801</v>
      </c>
      <c r="BC349" t="s">
        <v>802</v>
      </c>
      <c r="BD349" s="3">
        <v>6.374254473161034E-2</v>
      </c>
      <c r="BE349">
        <v>553.4</v>
      </c>
      <c r="BG349" s="2">
        <f t="shared" si="24"/>
        <v>96576</v>
      </c>
      <c r="BH349" t="str" cm="1">
        <f t="array" ref="BH349">_xlfn.IFS(Q349&lt;5,"0-5 Years",Q349&lt;10,"5-10 Years",Q349&lt;15,"10-15 Years",TRUE,"15+ Years")</f>
        <v>10-15 Years</v>
      </c>
      <c r="BI349" t="str" cm="1">
        <f t="array" ref="BI349">_xlfn.IFS(AA349&gt;=540,"A",AA349&gt;=480,"B",AA349&gt;=420,"C",AA349&gt;=360,"D",TRUE,"F")</f>
        <v>B</v>
      </c>
      <c r="BJ349" t="str" cm="1">
        <f t="array" ref="BJ349">_xlfn.IFS(AU349&lt;0,"Separated",AU349&lt;=90,"High Risk",AU349&lt;=180,"Medium Risk",TRUE,"Retained")</f>
        <v>Separated</v>
      </c>
      <c r="BK349" t="str" cm="1">
        <f t="array" ref="BK349">_xlfn.IFS(V349=0,"No Combat",V349=1,"1 Tour",V349=2,"2 Tours",TRUE,"3+ Tours")</f>
        <v>No Combat</v>
      </c>
      <c r="BL349" t="str">
        <f t="shared" si="25"/>
        <v>Standard</v>
      </c>
      <c r="BM349" t="str">
        <f t="shared" si="26"/>
        <v>Not Ready</v>
      </c>
      <c r="BN349" s="3">
        <f t="shared" si="27"/>
        <v>6.374254473161034E-2</v>
      </c>
      <c r="BO349">
        <f t="shared" si="28"/>
        <v>553.4</v>
      </c>
    </row>
    <row r="350" spans="1:67" x14ac:dyDescent="0.25">
      <c r="A350" t="s">
        <v>637</v>
      </c>
      <c r="B350" t="s">
        <v>377</v>
      </c>
      <c r="C350" t="s">
        <v>223</v>
      </c>
      <c r="D350" t="s">
        <v>122</v>
      </c>
      <c r="E350">
        <v>44</v>
      </c>
      <c r="F350" t="s">
        <v>311</v>
      </c>
      <c r="G350" t="s">
        <v>142</v>
      </c>
      <c r="H350" t="s">
        <v>143</v>
      </c>
      <c r="I350" t="s">
        <v>292</v>
      </c>
      <c r="J350" t="s">
        <v>293</v>
      </c>
      <c r="K350" t="s">
        <v>294</v>
      </c>
      <c r="L350" t="s">
        <v>58</v>
      </c>
      <c r="M350" t="s">
        <v>87</v>
      </c>
      <c r="N350" t="s">
        <v>148</v>
      </c>
      <c r="O350" t="s">
        <v>176</v>
      </c>
      <c r="P350" s="1">
        <v>39395</v>
      </c>
      <c r="Q350">
        <v>16.600000000000001</v>
      </c>
      <c r="R350" t="s">
        <v>90</v>
      </c>
      <c r="S350" t="s">
        <v>63</v>
      </c>
      <c r="T350" t="s">
        <v>64</v>
      </c>
      <c r="U350">
        <v>0</v>
      </c>
      <c r="V350">
        <v>0</v>
      </c>
      <c r="W350" s="2">
        <v>5473</v>
      </c>
      <c r="X350" s="2">
        <v>1912</v>
      </c>
      <c r="Y350" s="2">
        <v>422</v>
      </c>
      <c r="Z350" s="2">
        <v>7807</v>
      </c>
      <c r="AA350">
        <v>354</v>
      </c>
      <c r="AB350" t="s">
        <v>151</v>
      </c>
      <c r="AC350">
        <v>13</v>
      </c>
      <c r="AD350">
        <v>74</v>
      </c>
      <c r="AE350">
        <v>55</v>
      </c>
      <c r="AF350" t="s">
        <v>132</v>
      </c>
      <c r="AG350">
        <v>37</v>
      </c>
      <c r="AH350" t="s">
        <v>94</v>
      </c>
      <c r="AI350" t="s">
        <v>68</v>
      </c>
      <c r="AJ350" t="s">
        <v>72</v>
      </c>
      <c r="AK350" t="s">
        <v>71</v>
      </c>
      <c r="AL350" t="s">
        <v>71</v>
      </c>
      <c r="AM350" t="s">
        <v>70</v>
      </c>
      <c r="AN350" t="s">
        <v>115</v>
      </c>
      <c r="AO350" t="s">
        <v>135</v>
      </c>
      <c r="AP350" t="s">
        <v>72</v>
      </c>
      <c r="AQ350" t="s">
        <v>74</v>
      </c>
      <c r="AR350" s="1">
        <v>43027</v>
      </c>
      <c r="AS350" t="s">
        <v>137</v>
      </c>
      <c r="AT350" t="s">
        <v>71</v>
      </c>
      <c r="AU350">
        <v>857</v>
      </c>
      <c r="AV350" t="s">
        <v>76</v>
      </c>
      <c r="AW350" s="3">
        <v>93684</v>
      </c>
      <c r="AX350" t="s">
        <v>798</v>
      </c>
      <c r="AY350" t="s">
        <v>122</v>
      </c>
      <c r="AZ350" t="s">
        <v>76</v>
      </c>
      <c r="BA350" t="s">
        <v>800</v>
      </c>
      <c r="BB350" t="s">
        <v>801</v>
      </c>
      <c r="BC350" t="s">
        <v>802</v>
      </c>
      <c r="BD350" s="3">
        <v>4.5343922121173309E-2</v>
      </c>
      <c r="BE350">
        <v>448.4</v>
      </c>
      <c r="BG350" s="2">
        <f t="shared" si="24"/>
        <v>93684</v>
      </c>
      <c r="BH350" t="str" cm="1">
        <f t="array" ref="BH350">_xlfn.IFS(Q350&lt;5,"0-5 Years",Q350&lt;10,"5-10 Years",Q350&lt;15,"10-15 Years",TRUE,"15+ Years")</f>
        <v>15+ Years</v>
      </c>
      <c r="BI350" t="str" cm="1">
        <f t="array" ref="BI350">_xlfn.IFS(AA350&gt;=540,"A",AA350&gt;=480,"B",AA350&gt;=420,"C",AA350&gt;=360,"D",TRUE,"F")</f>
        <v>F</v>
      </c>
      <c r="BJ350" t="str" cm="1">
        <f t="array" ref="BJ350">_xlfn.IFS(AU350&lt;0,"Separated",AU350&lt;=90,"High Risk",AU350&lt;=180,"Medium Risk",TRUE,"Retained")</f>
        <v>Retained</v>
      </c>
      <c r="BK350" t="str" cm="1">
        <f t="array" ref="BK350">_xlfn.IFS(V350=0,"No Combat",V350=1,"1 Tour",V350=2,"2 Tours",TRUE,"3+ Tours")</f>
        <v>No Combat</v>
      </c>
      <c r="BL350" t="str">
        <f t="shared" si="25"/>
        <v>Standard</v>
      </c>
      <c r="BM350" t="str">
        <f t="shared" si="26"/>
        <v>Not Ready</v>
      </c>
      <c r="BN350" s="3">
        <f t="shared" si="27"/>
        <v>4.5343922121173309E-2</v>
      </c>
      <c r="BO350">
        <f t="shared" si="28"/>
        <v>448.4</v>
      </c>
    </row>
    <row r="351" spans="1:67" x14ac:dyDescent="0.25">
      <c r="A351" t="s">
        <v>638</v>
      </c>
      <c r="B351" t="s">
        <v>251</v>
      </c>
      <c r="C351" t="s">
        <v>140</v>
      </c>
      <c r="D351" t="s">
        <v>51</v>
      </c>
      <c r="E351">
        <v>25</v>
      </c>
      <c r="F351" t="s">
        <v>211</v>
      </c>
      <c r="G351" t="s">
        <v>298</v>
      </c>
      <c r="H351" t="s">
        <v>299</v>
      </c>
      <c r="I351" t="s">
        <v>260</v>
      </c>
      <c r="J351" t="s">
        <v>261</v>
      </c>
      <c r="K351" t="s">
        <v>173</v>
      </c>
      <c r="L351" t="s">
        <v>58</v>
      </c>
      <c r="M351" t="s">
        <v>147</v>
      </c>
      <c r="N351" t="s">
        <v>108</v>
      </c>
      <c r="O351" t="s">
        <v>61</v>
      </c>
      <c r="P351" s="1">
        <v>44418</v>
      </c>
      <c r="Q351">
        <v>2.8</v>
      </c>
      <c r="R351" t="s">
        <v>150</v>
      </c>
      <c r="S351" t="s">
        <v>91</v>
      </c>
      <c r="T351" t="s">
        <v>92</v>
      </c>
      <c r="U351">
        <v>4</v>
      </c>
      <c r="V351">
        <v>0</v>
      </c>
      <c r="W351" s="2">
        <v>2149</v>
      </c>
      <c r="X351" s="2">
        <v>0</v>
      </c>
      <c r="Y351" s="2">
        <v>422</v>
      </c>
      <c r="Z351" s="2">
        <v>2571</v>
      </c>
      <c r="AA351">
        <v>293</v>
      </c>
      <c r="AB351" t="s">
        <v>151</v>
      </c>
      <c r="AC351">
        <v>15.1</v>
      </c>
      <c r="AD351">
        <v>39</v>
      </c>
      <c r="AE351">
        <v>76</v>
      </c>
      <c r="AF351" t="s">
        <v>132</v>
      </c>
      <c r="AG351">
        <v>35</v>
      </c>
      <c r="AH351" t="s">
        <v>67</v>
      </c>
      <c r="AI351" t="s">
        <v>177</v>
      </c>
      <c r="AJ351" t="s">
        <v>188</v>
      </c>
      <c r="AK351" t="s">
        <v>71</v>
      </c>
      <c r="AL351" t="s">
        <v>70</v>
      </c>
      <c r="AM351" t="s">
        <v>71</v>
      </c>
      <c r="AN351" t="s">
        <v>72</v>
      </c>
      <c r="AO351" t="s">
        <v>72</v>
      </c>
      <c r="AP351" t="s">
        <v>72</v>
      </c>
      <c r="AQ351" t="s">
        <v>136</v>
      </c>
      <c r="AR351" s="1">
        <v>45232</v>
      </c>
      <c r="AS351" t="s">
        <v>198</v>
      </c>
      <c r="AT351" t="s">
        <v>71</v>
      </c>
      <c r="AU351">
        <v>1317</v>
      </c>
      <c r="AV351" t="s">
        <v>76</v>
      </c>
      <c r="AW351" s="3">
        <v>30852</v>
      </c>
      <c r="AX351" t="s">
        <v>803</v>
      </c>
      <c r="AY351" t="s">
        <v>122</v>
      </c>
      <c r="AZ351" t="s">
        <v>76</v>
      </c>
      <c r="BA351" t="s">
        <v>800</v>
      </c>
      <c r="BB351" t="s">
        <v>801</v>
      </c>
      <c r="BC351" t="s">
        <v>802</v>
      </c>
      <c r="BD351" s="3">
        <v>0.11396343835083625</v>
      </c>
      <c r="BE351">
        <v>393.4</v>
      </c>
      <c r="BG351" s="2">
        <f t="shared" si="24"/>
        <v>30852</v>
      </c>
      <c r="BH351" t="str" cm="1">
        <f t="array" ref="BH351">_xlfn.IFS(Q351&lt;5,"0-5 Years",Q351&lt;10,"5-10 Years",Q351&lt;15,"10-15 Years",TRUE,"15+ Years")</f>
        <v>0-5 Years</v>
      </c>
      <c r="BI351" t="str" cm="1">
        <f t="array" ref="BI351">_xlfn.IFS(AA351&gt;=540,"A",AA351&gt;=480,"B",AA351&gt;=420,"C",AA351&gt;=360,"D",TRUE,"F")</f>
        <v>F</v>
      </c>
      <c r="BJ351" t="str" cm="1">
        <f t="array" ref="BJ351">_xlfn.IFS(AU351&lt;0,"Separated",AU351&lt;=90,"High Risk",AU351&lt;=180,"Medium Risk",TRUE,"Retained")</f>
        <v>Retained</v>
      </c>
      <c r="BK351" t="str" cm="1">
        <f t="array" ref="BK351">_xlfn.IFS(V351=0,"No Combat",V351=1,"1 Tour",V351=2,"2 Tours",TRUE,"3+ Tours")</f>
        <v>No Combat</v>
      </c>
      <c r="BL351" t="str">
        <f t="shared" si="25"/>
        <v>Standard</v>
      </c>
      <c r="BM351" t="str">
        <f t="shared" si="26"/>
        <v>Not Ready</v>
      </c>
      <c r="BN351" s="3">
        <f t="shared" si="27"/>
        <v>0.11396343835083625</v>
      </c>
      <c r="BO351">
        <f t="shared" si="28"/>
        <v>393.4</v>
      </c>
    </row>
    <row r="352" spans="1:67" x14ac:dyDescent="0.25">
      <c r="A352" t="s">
        <v>639</v>
      </c>
      <c r="B352" t="s">
        <v>277</v>
      </c>
      <c r="C352" t="s">
        <v>501</v>
      </c>
      <c r="D352" t="s">
        <v>122</v>
      </c>
      <c r="E352">
        <v>36</v>
      </c>
      <c r="F352" t="s">
        <v>141</v>
      </c>
      <c r="G352" t="s">
        <v>142</v>
      </c>
      <c r="H352" t="s">
        <v>143</v>
      </c>
      <c r="I352" t="s">
        <v>253</v>
      </c>
      <c r="J352" t="s">
        <v>254</v>
      </c>
      <c r="K352" t="s">
        <v>255</v>
      </c>
      <c r="L352" t="s">
        <v>126</v>
      </c>
      <c r="M352" t="s">
        <v>275</v>
      </c>
      <c r="N352" t="s">
        <v>128</v>
      </c>
      <c r="O352" t="s">
        <v>149</v>
      </c>
      <c r="P352" s="1">
        <v>42831</v>
      </c>
      <c r="Q352">
        <v>7.2</v>
      </c>
      <c r="R352" t="s">
        <v>75</v>
      </c>
      <c r="S352" t="s">
        <v>110</v>
      </c>
      <c r="T352" t="s">
        <v>111</v>
      </c>
      <c r="U352">
        <v>14</v>
      </c>
      <c r="V352">
        <v>2</v>
      </c>
      <c r="W352" s="2">
        <v>5473</v>
      </c>
      <c r="X352" s="2">
        <v>0</v>
      </c>
      <c r="Y352" s="2">
        <v>422</v>
      </c>
      <c r="Z352" s="2">
        <v>5895</v>
      </c>
      <c r="AA352">
        <v>384</v>
      </c>
      <c r="AB352" t="s">
        <v>65</v>
      </c>
      <c r="AC352">
        <v>16.2</v>
      </c>
      <c r="AD352">
        <v>60</v>
      </c>
      <c r="AE352">
        <v>31</v>
      </c>
      <c r="AF352" t="s">
        <v>93</v>
      </c>
      <c r="AG352">
        <v>39</v>
      </c>
      <c r="AH352" t="s">
        <v>94</v>
      </c>
      <c r="AI352" t="s">
        <v>68</v>
      </c>
      <c r="AJ352" t="s">
        <v>69</v>
      </c>
      <c r="AK352" t="s">
        <v>70</v>
      </c>
      <c r="AL352" t="s">
        <v>70</v>
      </c>
      <c r="AM352" t="s">
        <v>71</v>
      </c>
      <c r="AN352" t="s">
        <v>72</v>
      </c>
      <c r="AO352" t="s">
        <v>72</v>
      </c>
      <c r="AP352" t="s">
        <v>72</v>
      </c>
      <c r="AQ352" t="s">
        <v>98</v>
      </c>
      <c r="AR352" s="1">
        <v>45593</v>
      </c>
      <c r="AS352" t="s">
        <v>75</v>
      </c>
      <c r="AT352" t="s">
        <v>71</v>
      </c>
      <c r="AU352">
        <v>-61</v>
      </c>
      <c r="AV352" t="s">
        <v>179</v>
      </c>
      <c r="AW352" s="3">
        <v>70740</v>
      </c>
      <c r="AX352" t="s">
        <v>808</v>
      </c>
      <c r="AY352" t="s">
        <v>809</v>
      </c>
      <c r="AZ352" t="s">
        <v>810</v>
      </c>
      <c r="BA352" t="s">
        <v>811</v>
      </c>
      <c r="BB352" t="s">
        <v>801</v>
      </c>
      <c r="BC352" t="s">
        <v>802</v>
      </c>
      <c r="BD352" s="3">
        <v>6.5139949109414758E-2</v>
      </c>
      <c r="BE352">
        <v>482.4</v>
      </c>
      <c r="BG352" s="2">
        <f t="shared" si="24"/>
        <v>70740</v>
      </c>
      <c r="BH352" t="str" cm="1">
        <f t="array" ref="BH352">_xlfn.IFS(Q352&lt;5,"0-5 Years",Q352&lt;10,"5-10 Years",Q352&lt;15,"10-15 Years",TRUE,"15+ Years")</f>
        <v>5-10 Years</v>
      </c>
      <c r="BI352" t="str" cm="1">
        <f t="array" ref="BI352">_xlfn.IFS(AA352&gt;=540,"A",AA352&gt;=480,"B",AA352&gt;=420,"C",AA352&gt;=360,"D",TRUE,"F")</f>
        <v>D</v>
      </c>
      <c r="BJ352" t="str" cm="1">
        <f t="array" ref="BJ352">_xlfn.IFS(AU352&lt;0,"Separated",AU352&lt;=90,"High Risk",AU352&lt;=180,"Medium Risk",TRUE,"Retained")</f>
        <v>Separated</v>
      </c>
      <c r="BK352" t="str" cm="1">
        <f t="array" ref="BK352">_xlfn.IFS(V352=0,"No Combat",V352=1,"1 Tour",V352=2,"2 Tours",TRUE,"3+ Tours")</f>
        <v>2 Tours</v>
      </c>
      <c r="BL352" t="str">
        <f t="shared" si="25"/>
        <v>Standard</v>
      </c>
      <c r="BM352" t="str">
        <f t="shared" si="26"/>
        <v>Not Ready</v>
      </c>
      <c r="BN352" s="3">
        <f t="shared" si="27"/>
        <v>6.5139949109414758E-2</v>
      </c>
      <c r="BO352">
        <f t="shared" si="28"/>
        <v>482.4</v>
      </c>
    </row>
    <row r="353" spans="1:67" x14ac:dyDescent="0.25">
      <c r="A353" t="s">
        <v>640</v>
      </c>
      <c r="B353" t="s">
        <v>166</v>
      </c>
      <c r="C353" t="s">
        <v>369</v>
      </c>
      <c r="D353" t="s">
        <v>122</v>
      </c>
      <c r="E353">
        <v>30</v>
      </c>
      <c r="F353" t="s">
        <v>283</v>
      </c>
      <c r="G353" t="s">
        <v>124</v>
      </c>
      <c r="H353" t="s">
        <v>125</v>
      </c>
      <c r="I353" t="s">
        <v>268</v>
      </c>
      <c r="J353" t="s">
        <v>269</v>
      </c>
      <c r="K353" t="s">
        <v>173</v>
      </c>
      <c r="L353" t="s">
        <v>86</v>
      </c>
      <c r="M353" t="s">
        <v>249</v>
      </c>
      <c r="N353" t="s">
        <v>60</v>
      </c>
      <c r="O353" t="s">
        <v>61</v>
      </c>
      <c r="P353" s="1">
        <v>41543</v>
      </c>
      <c r="Q353">
        <v>10.7</v>
      </c>
      <c r="R353" t="s">
        <v>195</v>
      </c>
      <c r="S353" t="s">
        <v>163</v>
      </c>
      <c r="T353" t="s">
        <v>164</v>
      </c>
      <c r="U353">
        <v>9</v>
      </c>
      <c r="V353">
        <v>1</v>
      </c>
      <c r="W353" s="2">
        <v>2730</v>
      </c>
      <c r="X353" s="2">
        <v>869</v>
      </c>
      <c r="Y353" s="2">
        <v>422</v>
      </c>
      <c r="Z353" s="2">
        <v>4021</v>
      </c>
      <c r="AA353">
        <v>361</v>
      </c>
      <c r="AB353" t="s">
        <v>65</v>
      </c>
      <c r="AC353">
        <v>12.9</v>
      </c>
      <c r="AD353">
        <v>78</v>
      </c>
      <c r="AE353">
        <v>52</v>
      </c>
      <c r="AF353" t="s">
        <v>132</v>
      </c>
      <c r="AG353">
        <v>39</v>
      </c>
      <c r="AH353" t="s">
        <v>94</v>
      </c>
      <c r="AI353" t="s">
        <v>177</v>
      </c>
      <c r="AJ353" t="s">
        <v>188</v>
      </c>
      <c r="AK353" t="s">
        <v>70</v>
      </c>
      <c r="AL353" t="s">
        <v>70</v>
      </c>
      <c r="AM353" t="s">
        <v>70</v>
      </c>
      <c r="AN353" t="s">
        <v>243</v>
      </c>
      <c r="AO353" t="s">
        <v>287</v>
      </c>
      <c r="AP353" t="s">
        <v>72</v>
      </c>
      <c r="AQ353" t="s">
        <v>98</v>
      </c>
      <c r="AR353" s="1">
        <v>44054</v>
      </c>
      <c r="AS353" t="s">
        <v>118</v>
      </c>
      <c r="AT353" t="s">
        <v>71</v>
      </c>
      <c r="AU353">
        <v>1382</v>
      </c>
      <c r="AV353" t="s">
        <v>76</v>
      </c>
      <c r="AW353" s="3">
        <v>48252</v>
      </c>
      <c r="AX353" t="s">
        <v>805</v>
      </c>
      <c r="AY353" t="s">
        <v>809</v>
      </c>
      <c r="AZ353" t="s">
        <v>76</v>
      </c>
      <c r="BA353" t="s">
        <v>807</v>
      </c>
      <c r="BB353" t="s">
        <v>801</v>
      </c>
      <c r="BC353" t="s">
        <v>802</v>
      </c>
      <c r="BD353" s="3">
        <v>8.9778662024372041E-2</v>
      </c>
      <c r="BE353">
        <v>439.4</v>
      </c>
      <c r="BG353" s="2">
        <f t="shared" si="24"/>
        <v>48252</v>
      </c>
      <c r="BH353" t="str" cm="1">
        <f t="array" ref="BH353">_xlfn.IFS(Q353&lt;5,"0-5 Years",Q353&lt;10,"5-10 Years",Q353&lt;15,"10-15 Years",TRUE,"15+ Years")</f>
        <v>10-15 Years</v>
      </c>
      <c r="BI353" t="str" cm="1">
        <f t="array" ref="BI353">_xlfn.IFS(AA353&gt;=540,"A",AA353&gt;=480,"B",AA353&gt;=420,"C",AA353&gt;=360,"D",TRUE,"F")</f>
        <v>D</v>
      </c>
      <c r="BJ353" t="str" cm="1">
        <f t="array" ref="BJ353">_xlfn.IFS(AU353&lt;0,"Separated",AU353&lt;=90,"High Risk",AU353&lt;=180,"Medium Risk",TRUE,"Retained")</f>
        <v>Retained</v>
      </c>
      <c r="BK353" t="str" cm="1">
        <f t="array" ref="BK353">_xlfn.IFS(V353=0,"No Combat",V353=1,"1 Tour",V353=2,"2 Tours",TRUE,"3+ Tours")</f>
        <v>1 Tour</v>
      </c>
      <c r="BL353" t="str">
        <f t="shared" si="25"/>
        <v>Standard</v>
      </c>
      <c r="BM353" t="str">
        <f t="shared" si="26"/>
        <v>Not Ready</v>
      </c>
      <c r="BN353" s="3">
        <f t="shared" si="27"/>
        <v>8.9778662024372041E-2</v>
      </c>
      <c r="BO353">
        <f t="shared" si="28"/>
        <v>439.4</v>
      </c>
    </row>
    <row r="354" spans="1:67" x14ac:dyDescent="0.25">
      <c r="A354" t="s">
        <v>641</v>
      </c>
      <c r="B354" t="s">
        <v>210</v>
      </c>
      <c r="C354" t="s">
        <v>272</v>
      </c>
      <c r="D354" t="s">
        <v>51</v>
      </c>
      <c r="E354">
        <v>33</v>
      </c>
      <c r="F354" t="s">
        <v>141</v>
      </c>
      <c r="G354" t="s">
        <v>142</v>
      </c>
      <c r="H354" t="s">
        <v>143</v>
      </c>
      <c r="I354" t="s">
        <v>236</v>
      </c>
      <c r="J354" t="s">
        <v>237</v>
      </c>
      <c r="K354" t="s">
        <v>238</v>
      </c>
      <c r="L354" t="s">
        <v>126</v>
      </c>
      <c r="M354" t="s">
        <v>127</v>
      </c>
      <c r="N354" t="s">
        <v>128</v>
      </c>
      <c r="O354" t="s">
        <v>109</v>
      </c>
      <c r="P354" s="1">
        <v>41437</v>
      </c>
      <c r="Q354">
        <v>11</v>
      </c>
      <c r="R354" t="s">
        <v>150</v>
      </c>
      <c r="S354" t="s">
        <v>91</v>
      </c>
      <c r="T354" t="s">
        <v>92</v>
      </c>
      <c r="U354">
        <v>5</v>
      </c>
      <c r="V354">
        <v>0</v>
      </c>
      <c r="W354" s="2">
        <v>5473</v>
      </c>
      <c r="X354" s="2">
        <v>1979</v>
      </c>
      <c r="Y354" s="2">
        <v>422</v>
      </c>
      <c r="Z354" s="2">
        <v>7874</v>
      </c>
      <c r="AA354">
        <v>587</v>
      </c>
      <c r="AB354" t="s">
        <v>65</v>
      </c>
      <c r="AC354">
        <v>13.6</v>
      </c>
      <c r="AD354">
        <v>40</v>
      </c>
      <c r="AE354">
        <v>67</v>
      </c>
      <c r="AF354" t="s">
        <v>112</v>
      </c>
      <c r="AG354">
        <v>34</v>
      </c>
      <c r="AH354" t="s">
        <v>67</v>
      </c>
      <c r="AI354" t="s">
        <v>68</v>
      </c>
      <c r="AJ354" t="s">
        <v>188</v>
      </c>
      <c r="AK354" t="s">
        <v>70</v>
      </c>
      <c r="AL354" t="s">
        <v>71</v>
      </c>
      <c r="AM354" t="s">
        <v>71</v>
      </c>
      <c r="AN354" t="s">
        <v>133</v>
      </c>
      <c r="AO354" t="s">
        <v>116</v>
      </c>
      <c r="AP354" t="s">
        <v>97</v>
      </c>
      <c r="AQ354" t="s">
        <v>136</v>
      </c>
      <c r="AR354" s="1">
        <v>43213</v>
      </c>
      <c r="AS354" t="s">
        <v>118</v>
      </c>
      <c r="AT354" t="s">
        <v>71</v>
      </c>
      <c r="AU354">
        <v>-69</v>
      </c>
      <c r="AV354" t="s">
        <v>179</v>
      </c>
      <c r="AW354" s="3">
        <v>94488</v>
      </c>
      <c r="AX354" t="s">
        <v>805</v>
      </c>
      <c r="AY354" t="s">
        <v>799</v>
      </c>
      <c r="AZ354" t="s">
        <v>810</v>
      </c>
      <c r="BA354" t="s">
        <v>800</v>
      </c>
      <c r="BB354" t="s">
        <v>801</v>
      </c>
      <c r="BC354" t="s">
        <v>802</v>
      </c>
      <c r="BD354" s="3">
        <v>7.4549149098298198E-2</v>
      </c>
      <c r="BE354">
        <v>685.4</v>
      </c>
      <c r="BG354" s="2">
        <f t="shared" si="24"/>
        <v>94488</v>
      </c>
      <c r="BH354" t="str" cm="1">
        <f t="array" ref="BH354">_xlfn.IFS(Q354&lt;5,"0-5 Years",Q354&lt;10,"5-10 Years",Q354&lt;15,"10-15 Years",TRUE,"15+ Years")</f>
        <v>10-15 Years</v>
      </c>
      <c r="BI354" t="str" cm="1">
        <f t="array" ref="BI354">_xlfn.IFS(AA354&gt;=540,"A",AA354&gt;=480,"B",AA354&gt;=420,"C",AA354&gt;=360,"D",TRUE,"F")</f>
        <v>A</v>
      </c>
      <c r="BJ354" t="str" cm="1">
        <f t="array" ref="BJ354">_xlfn.IFS(AU354&lt;0,"Separated",AU354&lt;=90,"High Risk",AU354&lt;=180,"Medium Risk",TRUE,"Retained")</f>
        <v>Separated</v>
      </c>
      <c r="BK354" t="str" cm="1">
        <f t="array" ref="BK354">_xlfn.IFS(V354=0,"No Combat",V354=1,"1 Tour",V354=2,"2 Tours",TRUE,"3+ Tours")</f>
        <v>No Combat</v>
      </c>
      <c r="BL354" t="str">
        <f t="shared" si="25"/>
        <v>Standard</v>
      </c>
      <c r="BM354" t="str">
        <f t="shared" si="26"/>
        <v>Not Ready</v>
      </c>
      <c r="BN354" s="3">
        <f t="shared" si="27"/>
        <v>7.4549149098298198E-2</v>
      </c>
      <c r="BO354">
        <f t="shared" si="28"/>
        <v>685.4</v>
      </c>
    </row>
    <row r="355" spans="1:67" x14ac:dyDescent="0.25">
      <c r="A355" t="s">
        <v>642</v>
      </c>
      <c r="B355" t="s">
        <v>166</v>
      </c>
      <c r="C355" t="s">
        <v>375</v>
      </c>
      <c r="D355" t="s">
        <v>51</v>
      </c>
      <c r="E355">
        <v>25</v>
      </c>
      <c r="F355" t="s">
        <v>211</v>
      </c>
      <c r="G355" t="s">
        <v>193</v>
      </c>
      <c r="H355" t="s">
        <v>194</v>
      </c>
      <c r="I355" t="s">
        <v>268</v>
      </c>
      <c r="J355" t="s">
        <v>269</v>
      </c>
      <c r="K355" t="s">
        <v>173</v>
      </c>
      <c r="L355" t="s">
        <v>201</v>
      </c>
      <c r="M355" t="s">
        <v>207</v>
      </c>
      <c r="N355" t="s">
        <v>60</v>
      </c>
      <c r="O355" t="s">
        <v>89</v>
      </c>
      <c r="P355" s="1">
        <v>44496</v>
      </c>
      <c r="Q355">
        <v>2.6</v>
      </c>
      <c r="R355" t="s">
        <v>195</v>
      </c>
      <c r="S355" t="s">
        <v>163</v>
      </c>
      <c r="T355" t="s">
        <v>164</v>
      </c>
      <c r="U355">
        <v>14</v>
      </c>
      <c r="V355">
        <v>2</v>
      </c>
      <c r="W355" s="2">
        <v>2259</v>
      </c>
      <c r="X355" s="2">
        <v>0</v>
      </c>
      <c r="Y355" s="2">
        <v>422</v>
      </c>
      <c r="Z355" s="2">
        <v>2681</v>
      </c>
      <c r="AA355">
        <v>520</v>
      </c>
      <c r="AB355" t="s">
        <v>65</v>
      </c>
      <c r="AC355">
        <v>20.399999999999999</v>
      </c>
      <c r="AD355">
        <v>40</v>
      </c>
      <c r="AE355">
        <v>36</v>
      </c>
      <c r="AF355" t="s">
        <v>132</v>
      </c>
      <c r="AG355">
        <v>20</v>
      </c>
      <c r="AH355" t="s">
        <v>113</v>
      </c>
      <c r="AI355" t="s">
        <v>114</v>
      </c>
      <c r="AJ355" t="s">
        <v>69</v>
      </c>
      <c r="AK355" t="s">
        <v>70</v>
      </c>
      <c r="AL355" t="s">
        <v>70</v>
      </c>
      <c r="AM355" t="s">
        <v>70</v>
      </c>
      <c r="AN355" t="s">
        <v>202</v>
      </c>
      <c r="AO355" t="s">
        <v>72</v>
      </c>
      <c r="AP355" t="s">
        <v>73</v>
      </c>
      <c r="AQ355" t="s">
        <v>98</v>
      </c>
      <c r="AR355" s="1">
        <v>44373</v>
      </c>
      <c r="AS355" t="s">
        <v>198</v>
      </c>
      <c r="AT355" t="s">
        <v>71</v>
      </c>
      <c r="AU355">
        <v>-401</v>
      </c>
      <c r="AV355" t="s">
        <v>179</v>
      </c>
      <c r="AW355" s="3">
        <v>32172</v>
      </c>
      <c r="AX355" t="s">
        <v>803</v>
      </c>
      <c r="AY355" t="s">
        <v>806</v>
      </c>
      <c r="AZ355" t="s">
        <v>810</v>
      </c>
      <c r="BA355" t="s">
        <v>811</v>
      </c>
      <c r="BB355" t="s">
        <v>801</v>
      </c>
      <c r="BC355" t="s">
        <v>802</v>
      </c>
      <c r="BD355" s="3">
        <v>0.19395747855277881</v>
      </c>
      <c r="BE355">
        <v>560.4</v>
      </c>
      <c r="BG355" s="2">
        <f t="shared" si="24"/>
        <v>32172</v>
      </c>
      <c r="BH355" t="str" cm="1">
        <f t="array" ref="BH355">_xlfn.IFS(Q355&lt;5,"0-5 Years",Q355&lt;10,"5-10 Years",Q355&lt;15,"10-15 Years",TRUE,"15+ Years")</f>
        <v>0-5 Years</v>
      </c>
      <c r="BI355" t="str" cm="1">
        <f t="array" ref="BI355">_xlfn.IFS(AA355&gt;=540,"A",AA355&gt;=480,"B",AA355&gt;=420,"C",AA355&gt;=360,"D",TRUE,"F")</f>
        <v>B</v>
      </c>
      <c r="BJ355" t="str" cm="1">
        <f t="array" ref="BJ355">_xlfn.IFS(AU355&lt;0,"Separated",AU355&lt;=90,"High Risk",AU355&lt;=180,"Medium Risk",TRUE,"Retained")</f>
        <v>Separated</v>
      </c>
      <c r="BK355" t="str" cm="1">
        <f t="array" ref="BK355">_xlfn.IFS(V355=0,"No Combat",V355=1,"1 Tour",V355=2,"2 Tours",TRUE,"3+ Tours")</f>
        <v>2 Tours</v>
      </c>
      <c r="BL355" t="str">
        <f t="shared" si="25"/>
        <v>Standard</v>
      </c>
      <c r="BM355" t="str">
        <f t="shared" si="26"/>
        <v>Not Ready</v>
      </c>
      <c r="BN355" s="3">
        <f t="shared" si="27"/>
        <v>0.19395747855277881</v>
      </c>
      <c r="BO355">
        <f t="shared" si="28"/>
        <v>560.4</v>
      </c>
    </row>
    <row r="356" spans="1:67" x14ac:dyDescent="0.25">
      <c r="A356" t="s">
        <v>643</v>
      </c>
      <c r="B356" t="s">
        <v>205</v>
      </c>
      <c r="C356" t="s">
        <v>155</v>
      </c>
      <c r="D356" t="s">
        <v>51</v>
      </c>
      <c r="E356">
        <v>38</v>
      </c>
      <c r="F356" t="s">
        <v>291</v>
      </c>
      <c r="G356" t="s">
        <v>124</v>
      </c>
      <c r="H356" t="s">
        <v>125</v>
      </c>
      <c r="I356" t="s">
        <v>236</v>
      </c>
      <c r="J356" t="s">
        <v>237</v>
      </c>
      <c r="K356" t="s">
        <v>238</v>
      </c>
      <c r="L356" t="s">
        <v>174</v>
      </c>
      <c r="M356" t="s">
        <v>161</v>
      </c>
      <c r="N356" t="s">
        <v>128</v>
      </c>
      <c r="O356" t="s">
        <v>109</v>
      </c>
      <c r="P356" s="1">
        <v>43008</v>
      </c>
      <c r="Q356">
        <v>6.7</v>
      </c>
      <c r="R356" t="s">
        <v>195</v>
      </c>
      <c r="S356" t="s">
        <v>63</v>
      </c>
      <c r="T356" t="s">
        <v>64</v>
      </c>
      <c r="U356">
        <v>0</v>
      </c>
      <c r="V356">
        <v>0</v>
      </c>
      <c r="W356" s="2">
        <v>2730</v>
      </c>
      <c r="X356" s="2">
        <v>947</v>
      </c>
      <c r="Y356" s="2">
        <v>422</v>
      </c>
      <c r="Z356" s="2">
        <v>4099</v>
      </c>
      <c r="AA356">
        <v>560</v>
      </c>
      <c r="AB356" t="s">
        <v>65</v>
      </c>
      <c r="AC356">
        <v>14.1</v>
      </c>
      <c r="AD356">
        <v>66</v>
      </c>
      <c r="AE356">
        <v>76</v>
      </c>
      <c r="AF356" t="s">
        <v>132</v>
      </c>
      <c r="AG356">
        <v>22</v>
      </c>
      <c r="AH356" t="s">
        <v>113</v>
      </c>
      <c r="AI356" t="s">
        <v>177</v>
      </c>
      <c r="AJ356" t="s">
        <v>188</v>
      </c>
      <c r="AK356" t="s">
        <v>71</v>
      </c>
      <c r="AL356" t="s">
        <v>70</v>
      </c>
      <c r="AM356" t="s">
        <v>70</v>
      </c>
      <c r="AN356" t="s">
        <v>72</v>
      </c>
      <c r="AO356" t="s">
        <v>73</v>
      </c>
      <c r="AP356" t="s">
        <v>287</v>
      </c>
      <c r="AQ356" t="s">
        <v>117</v>
      </c>
      <c r="AR356" s="1">
        <v>44854</v>
      </c>
      <c r="AS356" t="s">
        <v>137</v>
      </c>
      <c r="AT356" t="s">
        <v>71</v>
      </c>
      <c r="AU356">
        <v>721</v>
      </c>
      <c r="AV356" t="s">
        <v>76</v>
      </c>
      <c r="AW356" s="3">
        <v>49188</v>
      </c>
      <c r="AX356" t="s">
        <v>808</v>
      </c>
      <c r="AY356" t="s">
        <v>799</v>
      </c>
      <c r="AZ356" t="s">
        <v>76</v>
      </c>
      <c r="BA356" t="s">
        <v>800</v>
      </c>
      <c r="BB356" t="s">
        <v>801</v>
      </c>
      <c r="BC356" t="s">
        <v>802</v>
      </c>
      <c r="BD356" s="3">
        <v>0.13661868748475237</v>
      </c>
      <c r="BE356">
        <v>614.4</v>
      </c>
      <c r="BG356" s="2">
        <f t="shared" si="24"/>
        <v>49188</v>
      </c>
      <c r="BH356" t="str" cm="1">
        <f t="array" ref="BH356">_xlfn.IFS(Q356&lt;5,"0-5 Years",Q356&lt;10,"5-10 Years",Q356&lt;15,"10-15 Years",TRUE,"15+ Years")</f>
        <v>5-10 Years</v>
      </c>
      <c r="BI356" t="str" cm="1">
        <f t="array" ref="BI356">_xlfn.IFS(AA356&gt;=540,"A",AA356&gt;=480,"B",AA356&gt;=420,"C",AA356&gt;=360,"D",TRUE,"F")</f>
        <v>A</v>
      </c>
      <c r="BJ356" t="str" cm="1">
        <f t="array" ref="BJ356">_xlfn.IFS(AU356&lt;0,"Separated",AU356&lt;=90,"High Risk",AU356&lt;=180,"Medium Risk",TRUE,"Retained")</f>
        <v>Retained</v>
      </c>
      <c r="BK356" t="str" cm="1">
        <f t="array" ref="BK356">_xlfn.IFS(V356=0,"No Combat",V356=1,"1 Tour",V356=2,"2 Tours",TRUE,"3+ Tours")</f>
        <v>No Combat</v>
      </c>
      <c r="BL356" t="str">
        <f t="shared" si="25"/>
        <v>Standard</v>
      </c>
      <c r="BM356" t="str">
        <f t="shared" si="26"/>
        <v>Not Ready</v>
      </c>
      <c r="BN356" s="3">
        <f t="shared" si="27"/>
        <v>0.13661868748475237</v>
      </c>
      <c r="BO356">
        <f t="shared" si="28"/>
        <v>614.4</v>
      </c>
    </row>
    <row r="357" spans="1:67" x14ac:dyDescent="0.25">
      <c r="A357" t="s">
        <v>644</v>
      </c>
      <c r="B357" t="s">
        <v>308</v>
      </c>
      <c r="C357" t="s">
        <v>140</v>
      </c>
      <c r="D357" t="s">
        <v>51</v>
      </c>
      <c r="E357">
        <v>26</v>
      </c>
      <c r="F357" t="s">
        <v>316</v>
      </c>
      <c r="G357" t="s">
        <v>53</v>
      </c>
      <c r="H357" t="s">
        <v>54</v>
      </c>
      <c r="I357" t="s">
        <v>268</v>
      </c>
      <c r="J357" t="s">
        <v>269</v>
      </c>
      <c r="K357" t="s">
        <v>173</v>
      </c>
      <c r="L357" t="s">
        <v>201</v>
      </c>
      <c r="M357" t="s">
        <v>147</v>
      </c>
      <c r="N357" t="s">
        <v>88</v>
      </c>
      <c r="O357" t="s">
        <v>89</v>
      </c>
      <c r="P357" s="1">
        <v>40188</v>
      </c>
      <c r="Q357">
        <v>14.4</v>
      </c>
      <c r="R357" t="s">
        <v>75</v>
      </c>
      <c r="S357" t="s">
        <v>196</v>
      </c>
      <c r="T357" t="s">
        <v>197</v>
      </c>
      <c r="U357">
        <v>0</v>
      </c>
      <c r="V357">
        <v>0</v>
      </c>
      <c r="W357" s="2">
        <v>4739</v>
      </c>
      <c r="X357" s="2">
        <v>1393</v>
      </c>
      <c r="Y357" s="2">
        <v>422</v>
      </c>
      <c r="Z357" s="2">
        <v>6554</v>
      </c>
      <c r="AA357">
        <v>370</v>
      </c>
      <c r="AB357" t="s">
        <v>65</v>
      </c>
      <c r="AC357">
        <v>15.8</v>
      </c>
      <c r="AD357">
        <v>42</v>
      </c>
      <c r="AE357">
        <v>34</v>
      </c>
      <c r="AF357" t="s">
        <v>112</v>
      </c>
      <c r="AG357">
        <v>18</v>
      </c>
      <c r="AH357" t="s">
        <v>113</v>
      </c>
      <c r="AI357" t="s">
        <v>177</v>
      </c>
      <c r="AJ357" t="s">
        <v>72</v>
      </c>
      <c r="AK357" t="s">
        <v>71</v>
      </c>
      <c r="AL357" t="s">
        <v>70</v>
      </c>
      <c r="AM357" t="s">
        <v>70</v>
      </c>
      <c r="AN357" t="s">
        <v>202</v>
      </c>
      <c r="AO357" t="s">
        <v>203</v>
      </c>
      <c r="AP357" t="s">
        <v>203</v>
      </c>
      <c r="AQ357" t="s">
        <v>117</v>
      </c>
      <c r="AR357" s="1">
        <v>42919</v>
      </c>
      <c r="AS357" t="s">
        <v>75</v>
      </c>
      <c r="AT357" t="s">
        <v>71</v>
      </c>
      <c r="AU357">
        <v>-257</v>
      </c>
      <c r="AV357" t="s">
        <v>179</v>
      </c>
      <c r="AW357" s="3">
        <v>78648</v>
      </c>
      <c r="AX357" t="s">
        <v>805</v>
      </c>
      <c r="AY357" t="s">
        <v>809</v>
      </c>
      <c r="AZ357" t="s">
        <v>810</v>
      </c>
      <c r="BA357" t="s">
        <v>800</v>
      </c>
      <c r="BB357" t="s">
        <v>801</v>
      </c>
      <c r="BC357" t="s">
        <v>802</v>
      </c>
      <c r="BD357" s="3">
        <v>5.6454073848031736E-2</v>
      </c>
      <c r="BE357">
        <v>416.4</v>
      </c>
      <c r="BG357" s="2">
        <f t="shared" si="24"/>
        <v>78648</v>
      </c>
      <c r="BH357" t="str" cm="1">
        <f t="array" ref="BH357">_xlfn.IFS(Q357&lt;5,"0-5 Years",Q357&lt;10,"5-10 Years",Q357&lt;15,"10-15 Years",TRUE,"15+ Years")</f>
        <v>10-15 Years</v>
      </c>
      <c r="BI357" t="str" cm="1">
        <f t="array" ref="BI357">_xlfn.IFS(AA357&gt;=540,"A",AA357&gt;=480,"B",AA357&gt;=420,"C",AA357&gt;=360,"D",TRUE,"F")</f>
        <v>D</v>
      </c>
      <c r="BJ357" t="str" cm="1">
        <f t="array" ref="BJ357">_xlfn.IFS(AU357&lt;0,"Separated",AU357&lt;=90,"High Risk",AU357&lt;=180,"Medium Risk",TRUE,"Retained")</f>
        <v>Separated</v>
      </c>
      <c r="BK357" t="str" cm="1">
        <f t="array" ref="BK357">_xlfn.IFS(V357=0,"No Combat",V357=1,"1 Tour",V357=2,"2 Tours",TRUE,"3+ Tours")</f>
        <v>No Combat</v>
      </c>
      <c r="BL357" t="str">
        <f t="shared" si="25"/>
        <v>Standard</v>
      </c>
      <c r="BM357" t="str">
        <f t="shared" si="26"/>
        <v>Not Ready</v>
      </c>
      <c r="BN357" s="3">
        <f t="shared" si="27"/>
        <v>5.6454073848031736E-2</v>
      </c>
      <c r="BO357">
        <f t="shared" si="28"/>
        <v>416.4</v>
      </c>
    </row>
    <row r="358" spans="1:67" x14ac:dyDescent="0.25">
      <c r="A358" t="s">
        <v>645</v>
      </c>
      <c r="B358" t="s">
        <v>245</v>
      </c>
      <c r="C358" t="s">
        <v>155</v>
      </c>
      <c r="D358" t="s">
        <v>51</v>
      </c>
      <c r="E358">
        <v>38</v>
      </c>
      <c r="F358" t="s">
        <v>248</v>
      </c>
      <c r="G358" t="s">
        <v>215</v>
      </c>
      <c r="H358" t="s">
        <v>216</v>
      </c>
      <c r="I358" t="s">
        <v>236</v>
      </c>
      <c r="J358" t="s">
        <v>237</v>
      </c>
      <c r="K358" t="s">
        <v>238</v>
      </c>
      <c r="L358" t="s">
        <v>106</v>
      </c>
      <c r="M358" t="s">
        <v>296</v>
      </c>
      <c r="N358" t="s">
        <v>108</v>
      </c>
      <c r="O358" t="s">
        <v>109</v>
      </c>
      <c r="P358" s="1">
        <v>38950</v>
      </c>
      <c r="Q358">
        <v>17.8</v>
      </c>
      <c r="R358" t="s">
        <v>150</v>
      </c>
      <c r="S358" t="s">
        <v>196</v>
      </c>
      <c r="T358" t="s">
        <v>197</v>
      </c>
      <c r="U358">
        <v>0</v>
      </c>
      <c r="V358">
        <v>0</v>
      </c>
      <c r="W358" s="2">
        <v>3637</v>
      </c>
      <c r="X358" s="2">
        <v>0</v>
      </c>
      <c r="Y358" s="2">
        <v>266</v>
      </c>
      <c r="Z358" s="2">
        <v>3903</v>
      </c>
      <c r="AA358">
        <v>596</v>
      </c>
      <c r="AB358" t="s">
        <v>65</v>
      </c>
      <c r="AC358">
        <v>15.4</v>
      </c>
      <c r="AD358">
        <v>24</v>
      </c>
      <c r="AE358">
        <v>56</v>
      </c>
      <c r="AF358" t="s">
        <v>66</v>
      </c>
      <c r="AG358">
        <v>33</v>
      </c>
      <c r="AH358" t="s">
        <v>67</v>
      </c>
      <c r="AI358" t="s">
        <v>95</v>
      </c>
      <c r="AJ358" t="s">
        <v>72</v>
      </c>
      <c r="AK358" t="s">
        <v>70</v>
      </c>
      <c r="AL358" t="s">
        <v>70</v>
      </c>
      <c r="AM358" t="s">
        <v>70</v>
      </c>
      <c r="AN358" t="s">
        <v>72</v>
      </c>
      <c r="AO358" t="s">
        <v>287</v>
      </c>
      <c r="AP358" t="s">
        <v>134</v>
      </c>
      <c r="AQ358" t="s">
        <v>136</v>
      </c>
      <c r="AR358" s="1">
        <v>40583</v>
      </c>
      <c r="AS358" t="s">
        <v>198</v>
      </c>
      <c r="AT358" t="s">
        <v>71</v>
      </c>
      <c r="AU358">
        <v>-413</v>
      </c>
      <c r="AV358" t="s">
        <v>179</v>
      </c>
      <c r="AW358" s="3">
        <v>46836</v>
      </c>
      <c r="AX358" t="s">
        <v>798</v>
      </c>
      <c r="AY358" t="s">
        <v>799</v>
      </c>
      <c r="AZ358" t="s">
        <v>810</v>
      </c>
      <c r="BA358" t="s">
        <v>800</v>
      </c>
      <c r="BB358" t="s">
        <v>801</v>
      </c>
      <c r="BC358" t="s">
        <v>802</v>
      </c>
      <c r="BD358" s="3">
        <v>0.15270304893671535</v>
      </c>
      <c r="BE358">
        <v>662.4</v>
      </c>
      <c r="BG358" s="2">
        <f t="shared" si="24"/>
        <v>46836</v>
      </c>
      <c r="BH358" t="str" cm="1">
        <f t="array" ref="BH358">_xlfn.IFS(Q358&lt;5,"0-5 Years",Q358&lt;10,"5-10 Years",Q358&lt;15,"10-15 Years",TRUE,"15+ Years")</f>
        <v>15+ Years</v>
      </c>
      <c r="BI358" t="str" cm="1">
        <f t="array" ref="BI358">_xlfn.IFS(AA358&gt;=540,"A",AA358&gt;=480,"B",AA358&gt;=420,"C",AA358&gt;=360,"D",TRUE,"F")</f>
        <v>A</v>
      </c>
      <c r="BJ358" t="str" cm="1">
        <f t="array" ref="BJ358">_xlfn.IFS(AU358&lt;0,"Separated",AU358&lt;=90,"High Risk",AU358&lt;=180,"Medium Risk",TRUE,"Retained")</f>
        <v>Separated</v>
      </c>
      <c r="BK358" t="str" cm="1">
        <f t="array" ref="BK358">_xlfn.IFS(V358=0,"No Combat",V358=1,"1 Tour",V358=2,"2 Tours",TRUE,"3+ Tours")</f>
        <v>No Combat</v>
      </c>
      <c r="BL358" t="str">
        <f t="shared" si="25"/>
        <v>Standard</v>
      </c>
      <c r="BM358" t="str">
        <f t="shared" si="26"/>
        <v>Not Ready</v>
      </c>
      <c r="BN358" s="3">
        <f t="shared" si="27"/>
        <v>0.15270304893671535</v>
      </c>
      <c r="BO358">
        <f t="shared" si="28"/>
        <v>662.4</v>
      </c>
    </row>
    <row r="359" spans="1:67" x14ac:dyDescent="0.25">
      <c r="A359" t="s">
        <v>646</v>
      </c>
      <c r="B359" t="s">
        <v>263</v>
      </c>
      <c r="C359" t="s">
        <v>50</v>
      </c>
      <c r="D359" t="s">
        <v>51</v>
      </c>
      <c r="E359">
        <v>25</v>
      </c>
      <c r="F359" t="s">
        <v>325</v>
      </c>
      <c r="G359" t="s">
        <v>156</v>
      </c>
      <c r="H359" t="s">
        <v>157</v>
      </c>
      <c r="I359" t="s">
        <v>158</v>
      </c>
      <c r="J359" t="s">
        <v>159</v>
      </c>
      <c r="K359" t="s">
        <v>160</v>
      </c>
      <c r="L359" t="s">
        <v>106</v>
      </c>
      <c r="M359" t="s">
        <v>59</v>
      </c>
      <c r="N359" t="s">
        <v>60</v>
      </c>
      <c r="O359" t="s">
        <v>61</v>
      </c>
      <c r="P359" s="1">
        <v>42302</v>
      </c>
      <c r="Q359">
        <v>8.6</v>
      </c>
      <c r="R359" t="s">
        <v>62</v>
      </c>
      <c r="S359" t="s">
        <v>163</v>
      </c>
      <c r="T359" t="s">
        <v>164</v>
      </c>
      <c r="U359">
        <v>12</v>
      </c>
      <c r="V359">
        <v>2</v>
      </c>
      <c r="W359" s="2">
        <v>4836</v>
      </c>
      <c r="X359" s="2">
        <v>0</v>
      </c>
      <c r="Y359" s="2">
        <v>266</v>
      </c>
      <c r="Z359" s="2">
        <v>5102</v>
      </c>
      <c r="AA359">
        <v>360</v>
      </c>
      <c r="AB359" t="s">
        <v>65</v>
      </c>
      <c r="AC359">
        <v>16.2</v>
      </c>
      <c r="AD359">
        <v>47</v>
      </c>
      <c r="AE359">
        <v>65</v>
      </c>
      <c r="AF359" t="s">
        <v>66</v>
      </c>
      <c r="AG359">
        <v>30</v>
      </c>
      <c r="AH359" t="s">
        <v>67</v>
      </c>
      <c r="AI359" t="s">
        <v>152</v>
      </c>
      <c r="AJ359" t="s">
        <v>96</v>
      </c>
      <c r="AK359" t="s">
        <v>70</v>
      </c>
      <c r="AL359" t="s">
        <v>71</v>
      </c>
      <c r="AM359" t="s">
        <v>70</v>
      </c>
      <c r="AN359" t="s">
        <v>72</v>
      </c>
      <c r="AO359" t="s">
        <v>97</v>
      </c>
      <c r="AP359" t="s">
        <v>221</v>
      </c>
      <c r="AQ359" t="s">
        <v>117</v>
      </c>
      <c r="AR359" s="1">
        <v>45066</v>
      </c>
      <c r="AS359" t="s">
        <v>137</v>
      </c>
      <c r="AT359" t="s">
        <v>71</v>
      </c>
      <c r="AU359">
        <v>1696</v>
      </c>
      <c r="AV359" t="s">
        <v>76</v>
      </c>
      <c r="AW359" s="3">
        <v>61224</v>
      </c>
      <c r="AX359" t="s">
        <v>808</v>
      </c>
      <c r="AY359" t="s">
        <v>809</v>
      </c>
      <c r="AZ359" t="s">
        <v>76</v>
      </c>
      <c r="BA359" t="s">
        <v>811</v>
      </c>
      <c r="BB359" t="s">
        <v>801</v>
      </c>
      <c r="BC359" t="s">
        <v>802</v>
      </c>
      <c r="BD359" s="3">
        <v>7.0560564484515878E-2</v>
      </c>
      <c r="BE359">
        <v>430.4</v>
      </c>
      <c r="BG359" s="2">
        <f t="shared" si="24"/>
        <v>61224</v>
      </c>
      <c r="BH359" t="str" cm="1">
        <f t="array" ref="BH359">_xlfn.IFS(Q359&lt;5,"0-5 Years",Q359&lt;10,"5-10 Years",Q359&lt;15,"10-15 Years",TRUE,"15+ Years")</f>
        <v>5-10 Years</v>
      </c>
      <c r="BI359" t="str" cm="1">
        <f t="array" ref="BI359">_xlfn.IFS(AA359&gt;=540,"A",AA359&gt;=480,"B",AA359&gt;=420,"C",AA359&gt;=360,"D",TRUE,"F")</f>
        <v>D</v>
      </c>
      <c r="BJ359" t="str" cm="1">
        <f t="array" ref="BJ359">_xlfn.IFS(AU359&lt;0,"Separated",AU359&lt;=90,"High Risk",AU359&lt;=180,"Medium Risk",TRUE,"Retained")</f>
        <v>Retained</v>
      </c>
      <c r="BK359" t="str" cm="1">
        <f t="array" ref="BK359">_xlfn.IFS(V359=0,"No Combat",V359=1,"1 Tour",V359=2,"2 Tours",TRUE,"3+ Tours")</f>
        <v>2 Tours</v>
      </c>
      <c r="BL359" t="str">
        <f t="shared" si="25"/>
        <v>Standard</v>
      </c>
      <c r="BM359" t="str">
        <f t="shared" si="26"/>
        <v>Not Ready</v>
      </c>
      <c r="BN359" s="3">
        <f t="shared" si="27"/>
        <v>7.0560564484515878E-2</v>
      </c>
      <c r="BO359">
        <f t="shared" si="28"/>
        <v>430.4</v>
      </c>
    </row>
    <row r="360" spans="1:67" x14ac:dyDescent="0.25">
      <c r="A360" t="s">
        <v>647</v>
      </c>
      <c r="B360" t="s">
        <v>120</v>
      </c>
      <c r="C360" t="s">
        <v>50</v>
      </c>
      <c r="D360" t="s">
        <v>51</v>
      </c>
      <c r="E360">
        <v>45</v>
      </c>
      <c r="F360" t="s">
        <v>322</v>
      </c>
      <c r="G360" t="s">
        <v>298</v>
      </c>
      <c r="H360" t="s">
        <v>299</v>
      </c>
      <c r="I360" t="s">
        <v>171</v>
      </c>
      <c r="J360" t="s">
        <v>172</v>
      </c>
      <c r="K360" t="s">
        <v>173</v>
      </c>
      <c r="L360" t="s">
        <v>174</v>
      </c>
      <c r="M360" t="s">
        <v>275</v>
      </c>
      <c r="N360" t="s">
        <v>162</v>
      </c>
      <c r="O360" t="s">
        <v>149</v>
      </c>
      <c r="P360" s="1">
        <v>40668</v>
      </c>
      <c r="Q360">
        <v>13.1</v>
      </c>
      <c r="R360" t="s">
        <v>208</v>
      </c>
      <c r="S360" t="s">
        <v>163</v>
      </c>
      <c r="T360" t="s">
        <v>164</v>
      </c>
      <c r="U360">
        <v>10</v>
      </c>
      <c r="V360">
        <v>1</v>
      </c>
      <c r="W360" s="2">
        <v>2149</v>
      </c>
      <c r="X360" s="2">
        <v>0</v>
      </c>
      <c r="Y360" s="2">
        <v>422</v>
      </c>
      <c r="Z360" s="2">
        <v>2571</v>
      </c>
      <c r="AA360">
        <v>493</v>
      </c>
      <c r="AB360" t="s">
        <v>65</v>
      </c>
      <c r="AC360">
        <v>21</v>
      </c>
      <c r="AD360">
        <v>28</v>
      </c>
      <c r="AE360">
        <v>68</v>
      </c>
      <c r="AF360" t="s">
        <v>132</v>
      </c>
      <c r="AG360">
        <v>37</v>
      </c>
      <c r="AH360" t="s">
        <v>94</v>
      </c>
      <c r="AI360" t="s">
        <v>95</v>
      </c>
      <c r="AJ360" t="s">
        <v>188</v>
      </c>
      <c r="AK360" t="s">
        <v>70</v>
      </c>
      <c r="AL360" t="s">
        <v>70</v>
      </c>
      <c r="AM360" t="s">
        <v>70</v>
      </c>
      <c r="AN360" t="s">
        <v>115</v>
      </c>
      <c r="AO360" t="s">
        <v>97</v>
      </c>
      <c r="AP360" t="s">
        <v>97</v>
      </c>
      <c r="AQ360" t="s">
        <v>117</v>
      </c>
      <c r="AR360" s="1">
        <v>42941</v>
      </c>
      <c r="AS360" t="s">
        <v>75</v>
      </c>
      <c r="AT360" t="s">
        <v>71</v>
      </c>
      <c r="AU360">
        <v>500</v>
      </c>
      <c r="AV360" t="s">
        <v>76</v>
      </c>
      <c r="AW360" s="3">
        <v>30852</v>
      </c>
      <c r="AX360" t="s">
        <v>805</v>
      </c>
      <c r="AY360" t="s">
        <v>806</v>
      </c>
      <c r="AZ360" t="s">
        <v>76</v>
      </c>
      <c r="BA360" t="s">
        <v>807</v>
      </c>
      <c r="BB360" t="s">
        <v>801</v>
      </c>
      <c r="BC360" t="s">
        <v>802</v>
      </c>
      <c r="BD360" s="3">
        <v>0.19175418125243096</v>
      </c>
      <c r="BE360">
        <v>567.4</v>
      </c>
      <c r="BG360" s="2">
        <f t="shared" si="24"/>
        <v>30852</v>
      </c>
      <c r="BH360" t="str" cm="1">
        <f t="array" ref="BH360">_xlfn.IFS(Q360&lt;5,"0-5 Years",Q360&lt;10,"5-10 Years",Q360&lt;15,"10-15 Years",TRUE,"15+ Years")</f>
        <v>10-15 Years</v>
      </c>
      <c r="BI360" t="str" cm="1">
        <f t="array" ref="BI360">_xlfn.IFS(AA360&gt;=540,"A",AA360&gt;=480,"B",AA360&gt;=420,"C",AA360&gt;=360,"D",TRUE,"F")</f>
        <v>B</v>
      </c>
      <c r="BJ360" t="str" cm="1">
        <f t="array" ref="BJ360">_xlfn.IFS(AU360&lt;0,"Separated",AU360&lt;=90,"High Risk",AU360&lt;=180,"Medium Risk",TRUE,"Retained")</f>
        <v>Retained</v>
      </c>
      <c r="BK360" t="str" cm="1">
        <f t="array" ref="BK360">_xlfn.IFS(V360=0,"No Combat",V360=1,"1 Tour",V360=2,"2 Tours",TRUE,"3+ Tours")</f>
        <v>1 Tour</v>
      </c>
      <c r="BL360" t="str">
        <f t="shared" si="25"/>
        <v>Standard</v>
      </c>
      <c r="BM360" t="str">
        <f t="shared" si="26"/>
        <v>Not Ready</v>
      </c>
      <c r="BN360" s="3">
        <f t="shared" si="27"/>
        <v>0.19175418125243096</v>
      </c>
      <c r="BO360">
        <f t="shared" si="28"/>
        <v>567.4</v>
      </c>
    </row>
    <row r="361" spans="1:67" x14ac:dyDescent="0.25">
      <c r="A361" t="s">
        <v>648</v>
      </c>
      <c r="B361" t="s">
        <v>245</v>
      </c>
      <c r="C361" t="s">
        <v>360</v>
      </c>
      <c r="D361" t="s">
        <v>51</v>
      </c>
      <c r="E361">
        <v>21</v>
      </c>
      <c r="F361" t="s">
        <v>316</v>
      </c>
      <c r="G361" t="s">
        <v>81</v>
      </c>
      <c r="H361" t="s">
        <v>82</v>
      </c>
      <c r="I361" t="s">
        <v>268</v>
      </c>
      <c r="J361" t="s">
        <v>269</v>
      </c>
      <c r="K361" t="s">
        <v>173</v>
      </c>
      <c r="L361" t="s">
        <v>86</v>
      </c>
      <c r="M361" t="s">
        <v>212</v>
      </c>
      <c r="N361" t="s">
        <v>265</v>
      </c>
      <c r="O361" t="s">
        <v>61</v>
      </c>
      <c r="P361" s="1">
        <v>42336</v>
      </c>
      <c r="Q361">
        <v>8.5</v>
      </c>
      <c r="R361" t="s">
        <v>150</v>
      </c>
      <c r="S361" t="s">
        <v>110</v>
      </c>
      <c r="T361" t="s">
        <v>111</v>
      </c>
      <c r="U361">
        <v>2</v>
      </c>
      <c r="V361">
        <v>0</v>
      </c>
      <c r="W361" s="2">
        <v>2504</v>
      </c>
      <c r="X361" s="2">
        <v>0</v>
      </c>
      <c r="Y361" s="2">
        <v>422</v>
      </c>
      <c r="Z361" s="2">
        <v>2926</v>
      </c>
      <c r="AA361">
        <v>446</v>
      </c>
      <c r="AB361" t="s">
        <v>65</v>
      </c>
      <c r="AC361">
        <v>19.7</v>
      </c>
      <c r="AD361">
        <v>53</v>
      </c>
      <c r="AE361">
        <v>44</v>
      </c>
      <c r="AF361" t="s">
        <v>93</v>
      </c>
      <c r="AG361">
        <v>19</v>
      </c>
      <c r="AH361" t="s">
        <v>113</v>
      </c>
      <c r="AI361" t="s">
        <v>95</v>
      </c>
      <c r="AJ361" t="s">
        <v>188</v>
      </c>
      <c r="AK361" t="s">
        <v>70</v>
      </c>
      <c r="AL361" t="s">
        <v>70</v>
      </c>
      <c r="AM361" t="s">
        <v>70</v>
      </c>
      <c r="AN361" t="s">
        <v>72</v>
      </c>
      <c r="AO361" t="s">
        <v>221</v>
      </c>
      <c r="AP361" t="s">
        <v>72</v>
      </c>
      <c r="AQ361" t="s">
        <v>98</v>
      </c>
      <c r="AR361" s="1">
        <v>44414</v>
      </c>
      <c r="AS361" t="s">
        <v>137</v>
      </c>
      <c r="AT361" t="s">
        <v>71</v>
      </c>
      <c r="AU361">
        <v>1073</v>
      </c>
      <c r="AV361" t="s">
        <v>76</v>
      </c>
      <c r="AW361" s="3">
        <v>35112</v>
      </c>
      <c r="AX361" t="s">
        <v>808</v>
      </c>
      <c r="AY361" t="s">
        <v>804</v>
      </c>
      <c r="AZ361" t="s">
        <v>76</v>
      </c>
      <c r="BA361" t="s">
        <v>800</v>
      </c>
      <c r="BB361" t="s">
        <v>801</v>
      </c>
      <c r="BC361" t="s">
        <v>802</v>
      </c>
      <c r="BD361" s="3">
        <v>0.15242652084757347</v>
      </c>
      <c r="BE361">
        <v>484.4</v>
      </c>
      <c r="BG361" s="2">
        <f t="shared" si="24"/>
        <v>35112</v>
      </c>
      <c r="BH361" t="str" cm="1">
        <f t="array" ref="BH361">_xlfn.IFS(Q361&lt;5,"0-5 Years",Q361&lt;10,"5-10 Years",Q361&lt;15,"10-15 Years",TRUE,"15+ Years")</f>
        <v>5-10 Years</v>
      </c>
      <c r="BI361" t="str" cm="1">
        <f t="array" ref="BI361">_xlfn.IFS(AA361&gt;=540,"A",AA361&gt;=480,"B",AA361&gt;=420,"C",AA361&gt;=360,"D",TRUE,"F")</f>
        <v>C</v>
      </c>
      <c r="BJ361" t="str" cm="1">
        <f t="array" ref="BJ361">_xlfn.IFS(AU361&lt;0,"Separated",AU361&lt;=90,"High Risk",AU361&lt;=180,"Medium Risk",TRUE,"Retained")</f>
        <v>Retained</v>
      </c>
      <c r="BK361" t="str" cm="1">
        <f t="array" ref="BK361">_xlfn.IFS(V361=0,"No Combat",V361=1,"1 Tour",V361=2,"2 Tours",TRUE,"3+ Tours")</f>
        <v>No Combat</v>
      </c>
      <c r="BL361" t="str">
        <f t="shared" si="25"/>
        <v>Standard</v>
      </c>
      <c r="BM361" t="str">
        <f t="shared" si="26"/>
        <v>Not Ready</v>
      </c>
      <c r="BN361" s="3">
        <f t="shared" si="27"/>
        <v>0.15242652084757347</v>
      </c>
      <c r="BO361">
        <f t="shared" si="28"/>
        <v>484.4</v>
      </c>
    </row>
    <row r="362" spans="1:67" x14ac:dyDescent="0.25">
      <c r="A362" t="s">
        <v>649</v>
      </c>
      <c r="B362" t="s">
        <v>205</v>
      </c>
      <c r="C362" t="s">
        <v>79</v>
      </c>
      <c r="D362" t="s">
        <v>51</v>
      </c>
      <c r="E362">
        <v>42</v>
      </c>
      <c r="F362" t="s">
        <v>316</v>
      </c>
      <c r="G362" t="s">
        <v>242</v>
      </c>
      <c r="H362" t="s">
        <v>54</v>
      </c>
      <c r="I362" t="s">
        <v>144</v>
      </c>
      <c r="J362" t="s">
        <v>145</v>
      </c>
      <c r="K362" t="s">
        <v>146</v>
      </c>
      <c r="L362" t="s">
        <v>201</v>
      </c>
      <c r="M362" t="s">
        <v>212</v>
      </c>
      <c r="N362" t="s">
        <v>162</v>
      </c>
      <c r="O362" t="s">
        <v>89</v>
      </c>
      <c r="P362" s="1">
        <v>41487</v>
      </c>
      <c r="Q362">
        <v>10.8</v>
      </c>
      <c r="R362" t="s">
        <v>150</v>
      </c>
      <c r="S362" t="s">
        <v>91</v>
      </c>
      <c r="T362" t="s">
        <v>92</v>
      </c>
      <c r="U362">
        <v>14</v>
      </c>
      <c r="V362">
        <v>2</v>
      </c>
      <c r="W362" s="2">
        <v>4739</v>
      </c>
      <c r="X362" s="2">
        <v>0</v>
      </c>
      <c r="Y362" s="2">
        <v>422</v>
      </c>
      <c r="Z362" s="2">
        <v>5161</v>
      </c>
      <c r="AA362">
        <v>510</v>
      </c>
      <c r="AB362" t="s">
        <v>65</v>
      </c>
      <c r="AC362">
        <v>14.2</v>
      </c>
      <c r="AD362">
        <v>31</v>
      </c>
      <c r="AE362">
        <v>72</v>
      </c>
      <c r="AF362" t="s">
        <v>66</v>
      </c>
      <c r="AG362">
        <v>37</v>
      </c>
      <c r="AH362" t="s">
        <v>94</v>
      </c>
      <c r="AI362" t="s">
        <v>68</v>
      </c>
      <c r="AJ362" t="s">
        <v>96</v>
      </c>
      <c r="AK362" t="s">
        <v>70</v>
      </c>
      <c r="AL362" t="s">
        <v>70</v>
      </c>
      <c r="AM362" t="s">
        <v>70</v>
      </c>
      <c r="AN362" t="s">
        <v>133</v>
      </c>
      <c r="AO362" t="s">
        <v>134</v>
      </c>
      <c r="AP362" t="s">
        <v>72</v>
      </c>
      <c r="AQ362" t="s">
        <v>117</v>
      </c>
      <c r="AR362" s="1">
        <v>41742</v>
      </c>
      <c r="AS362" t="s">
        <v>198</v>
      </c>
      <c r="AT362" t="s">
        <v>71</v>
      </c>
      <c r="AU362">
        <v>-53</v>
      </c>
      <c r="AV362" t="s">
        <v>179</v>
      </c>
      <c r="AW362" s="3">
        <v>61932</v>
      </c>
      <c r="AX362" t="s">
        <v>805</v>
      </c>
      <c r="AY362" t="s">
        <v>806</v>
      </c>
      <c r="AZ362" t="s">
        <v>810</v>
      </c>
      <c r="BA362" t="s">
        <v>811</v>
      </c>
      <c r="BB362" t="s">
        <v>801</v>
      </c>
      <c r="BC362" t="s">
        <v>802</v>
      </c>
      <c r="BD362" s="3">
        <v>9.8818058515791507E-2</v>
      </c>
      <c r="BE362">
        <v>584.4</v>
      </c>
      <c r="BG362" s="2">
        <f t="shared" si="24"/>
        <v>61932</v>
      </c>
      <c r="BH362" t="str" cm="1">
        <f t="array" ref="BH362">_xlfn.IFS(Q362&lt;5,"0-5 Years",Q362&lt;10,"5-10 Years",Q362&lt;15,"10-15 Years",TRUE,"15+ Years")</f>
        <v>10-15 Years</v>
      </c>
      <c r="BI362" t="str" cm="1">
        <f t="array" ref="BI362">_xlfn.IFS(AA362&gt;=540,"A",AA362&gt;=480,"B",AA362&gt;=420,"C",AA362&gt;=360,"D",TRUE,"F")</f>
        <v>B</v>
      </c>
      <c r="BJ362" t="str" cm="1">
        <f t="array" ref="BJ362">_xlfn.IFS(AU362&lt;0,"Separated",AU362&lt;=90,"High Risk",AU362&lt;=180,"Medium Risk",TRUE,"Retained")</f>
        <v>Separated</v>
      </c>
      <c r="BK362" t="str" cm="1">
        <f t="array" ref="BK362">_xlfn.IFS(V362=0,"No Combat",V362=1,"1 Tour",V362=2,"2 Tours",TRUE,"3+ Tours")</f>
        <v>2 Tours</v>
      </c>
      <c r="BL362" t="str">
        <f t="shared" si="25"/>
        <v>Standard</v>
      </c>
      <c r="BM362" t="str">
        <f t="shared" si="26"/>
        <v>Not Ready</v>
      </c>
      <c r="BN362" s="3">
        <f t="shared" si="27"/>
        <v>9.8818058515791507E-2</v>
      </c>
      <c r="BO362">
        <f t="shared" si="28"/>
        <v>584.4</v>
      </c>
    </row>
    <row r="363" spans="1:67" x14ac:dyDescent="0.25">
      <c r="A363" t="s">
        <v>650</v>
      </c>
      <c r="B363" t="s">
        <v>210</v>
      </c>
      <c r="C363" t="s">
        <v>396</v>
      </c>
      <c r="D363" t="s">
        <v>122</v>
      </c>
      <c r="E363">
        <v>19</v>
      </c>
      <c r="F363" t="s">
        <v>305</v>
      </c>
      <c r="G363" t="s">
        <v>142</v>
      </c>
      <c r="H363" t="s">
        <v>143</v>
      </c>
      <c r="I363" t="s">
        <v>144</v>
      </c>
      <c r="J363" t="s">
        <v>145</v>
      </c>
      <c r="K363" t="s">
        <v>146</v>
      </c>
      <c r="L363" t="s">
        <v>201</v>
      </c>
      <c r="M363" t="s">
        <v>249</v>
      </c>
      <c r="N363" t="s">
        <v>162</v>
      </c>
      <c r="O363" t="s">
        <v>61</v>
      </c>
      <c r="P363" s="1">
        <v>44244</v>
      </c>
      <c r="Q363">
        <v>3.3</v>
      </c>
      <c r="R363" t="s">
        <v>62</v>
      </c>
      <c r="S363" t="s">
        <v>63</v>
      </c>
      <c r="T363" t="s">
        <v>64</v>
      </c>
      <c r="U363">
        <v>0</v>
      </c>
      <c r="V363">
        <v>0</v>
      </c>
      <c r="W363" s="2">
        <v>5473</v>
      </c>
      <c r="X363" s="2">
        <v>1862</v>
      </c>
      <c r="Y363" s="2">
        <v>422</v>
      </c>
      <c r="Z363" s="2">
        <v>7757</v>
      </c>
      <c r="AA363">
        <v>411</v>
      </c>
      <c r="AB363" t="s">
        <v>65</v>
      </c>
      <c r="AC363">
        <v>13.9</v>
      </c>
      <c r="AD363">
        <v>44</v>
      </c>
      <c r="AE363">
        <v>59</v>
      </c>
      <c r="AF363" t="s">
        <v>93</v>
      </c>
      <c r="AG363">
        <v>16</v>
      </c>
      <c r="AH363" t="s">
        <v>113</v>
      </c>
      <c r="AI363" t="s">
        <v>68</v>
      </c>
      <c r="AJ363" t="s">
        <v>96</v>
      </c>
      <c r="AK363" t="s">
        <v>70</v>
      </c>
      <c r="AL363" t="s">
        <v>70</v>
      </c>
      <c r="AM363" t="s">
        <v>70</v>
      </c>
      <c r="AN363" t="s">
        <v>72</v>
      </c>
      <c r="AO363" t="s">
        <v>134</v>
      </c>
      <c r="AP363" t="s">
        <v>134</v>
      </c>
      <c r="AQ363" t="s">
        <v>136</v>
      </c>
      <c r="AR363" s="1">
        <v>44710</v>
      </c>
      <c r="AS363" t="s">
        <v>75</v>
      </c>
      <c r="AT363" t="s">
        <v>71</v>
      </c>
      <c r="AU363">
        <v>-450</v>
      </c>
      <c r="AV363" t="s">
        <v>179</v>
      </c>
      <c r="AW363" s="3">
        <v>93084</v>
      </c>
      <c r="AX363" t="s">
        <v>803</v>
      </c>
      <c r="AY363" t="s">
        <v>809</v>
      </c>
      <c r="AZ363" t="s">
        <v>810</v>
      </c>
      <c r="BA363" t="s">
        <v>800</v>
      </c>
      <c r="BB363" t="s">
        <v>801</v>
      </c>
      <c r="BC363" t="s">
        <v>802</v>
      </c>
      <c r="BD363" s="3">
        <v>5.2984401186025529E-2</v>
      </c>
      <c r="BE363">
        <v>443.4</v>
      </c>
      <c r="BG363" s="2">
        <f t="shared" si="24"/>
        <v>93084</v>
      </c>
      <c r="BH363" t="str" cm="1">
        <f t="array" ref="BH363">_xlfn.IFS(Q363&lt;5,"0-5 Years",Q363&lt;10,"5-10 Years",Q363&lt;15,"10-15 Years",TRUE,"15+ Years")</f>
        <v>0-5 Years</v>
      </c>
      <c r="BI363" t="str" cm="1">
        <f t="array" ref="BI363">_xlfn.IFS(AA363&gt;=540,"A",AA363&gt;=480,"B",AA363&gt;=420,"C",AA363&gt;=360,"D",TRUE,"F")</f>
        <v>D</v>
      </c>
      <c r="BJ363" t="str" cm="1">
        <f t="array" ref="BJ363">_xlfn.IFS(AU363&lt;0,"Separated",AU363&lt;=90,"High Risk",AU363&lt;=180,"Medium Risk",TRUE,"Retained")</f>
        <v>Separated</v>
      </c>
      <c r="BK363" t="str" cm="1">
        <f t="array" ref="BK363">_xlfn.IFS(V363=0,"No Combat",V363=1,"1 Tour",V363=2,"2 Tours",TRUE,"3+ Tours")</f>
        <v>No Combat</v>
      </c>
      <c r="BL363" t="str">
        <f t="shared" si="25"/>
        <v>Standard</v>
      </c>
      <c r="BM363" t="str">
        <f t="shared" si="26"/>
        <v>Not Ready</v>
      </c>
      <c r="BN363" s="3">
        <f t="shared" si="27"/>
        <v>5.2984401186025529E-2</v>
      </c>
      <c r="BO363">
        <f t="shared" si="28"/>
        <v>443.4</v>
      </c>
    </row>
    <row r="364" spans="1:67" x14ac:dyDescent="0.25">
      <c r="A364" t="s">
        <v>651</v>
      </c>
      <c r="B364" t="s">
        <v>251</v>
      </c>
      <c r="C364" t="s">
        <v>252</v>
      </c>
      <c r="D364" t="s">
        <v>51</v>
      </c>
      <c r="E364">
        <v>26</v>
      </c>
      <c r="F364" t="s">
        <v>80</v>
      </c>
      <c r="G364" t="s">
        <v>215</v>
      </c>
      <c r="H364" t="s">
        <v>216</v>
      </c>
      <c r="I364" t="s">
        <v>144</v>
      </c>
      <c r="J364" t="s">
        <v>145</v>
      </c>
      <c r="K364" t="s">
        <v>146</v>
      </c>
      <c r="L364" t="s">
        <v>86</v>
      </c>
      <c r="M364" t="s">
        <v>275</v>
      </c>
      <c r="N364" t="s">
        <v>162</v>
      </c>
      <c r="O364" t="s">
        <v>109</v>
      </c>
      <c r="P364" s="1">
        <v>38494</v>
      </c>
      <c r="Q364">
        <v>19</v>
      </c>
      <c r="R364" t="s">
        <v>208</v>
      </c>
      <c r="S364" t="s">
        <v>91</v>
      </c>
      <c r="T364" t="s">
        <v>92</v>
      </c>
      <c r="U364">
        <v>0</v>
      </c>
      <c r="V364">
        <v>0</v>
      </c>
      <c r="W364" s="2">
        <v>3637</v>
      </c>
      <c r="X364" s="2">
        <v>0</v>
      </c>
      <c r="Y364" s="2">
        <v>266</v>
      </c>
      <c r="Z364" s="2">
        <v>3903</v>
      </c>
      <c r="AA364">
        <v>574</v>
      </c>
      <c r="AB364" t="s">
        <v>65</v>
      </c>
      <c r="AC364">
        <v>20.7</v>
      </c>
      <c r="AD364">
        <v>50</v>
      </c>
      <c r="AE364">
        <v>70</v>
      </c>
      <c r="AF364" t="s">
        <v>93</v>
      </c>
      <c r="AG364">
        <v>29</v>
      </c>
      <c r="AH364" t="s">
        <v>113</v>
      </c>
      <c r="AI364" t="s">
        <v>68</v>
      </c>
      <c r="AJ364" t="s">
        <v>96</v>
      </c>
      <c r="AK364" t="s">
        <v>71</v>
      </c>
      <c r="AL364" t="s">
        <v>70</v>
      </c>
      <c r="AM364" t="s">
        <v>70</v>
      </c>
      <c r="AN364" t="s">
        <v>72</v>
      </c>
      <c r="AO364" t="s">
        <v>135</v>
      </c>
      <c r="AP364" t="s">
        <v>97</v>
      </c>
      <c r="AQ364" t="s">
        <v>117</v>
      </c>
      <c r="AR364" s="1">
        <v>43516</v>
      </c>
      <c r="AS364" t="s">
        <v>198</v>
      </c>
      <c r="AT364" t="s">
        <v>71</v>
      </c>
      <c r="AU364">
        <v>214</v>
      </c>
      <c r="AV364" t="s">
        <v>76</v>
      </c>
      <c r="AW364" s="3">
        <v>46836</v>
      </c>
      <c r="AX364" t="s">
        <v>798</v>
      </c>
      <c r="AY364" t="s">
        <v>799</v>
      </c>
      <c r="AZ364" t="s">
        <v>76</v>
      </c>
      <c r="BA364" t="s">
        <v>800</v>
      </c>
      <c r="BB364" t="s">
        <v>801</v>
      </c>
      <c r="BC364" t="s">
        <v>802</v>
      </c>
      <c r="BD364" s="3">
        <v>0.14706635921086345</v>
      </c>
      <c r="BE364">
        <v>642.4</v>
      </c>
      <c r="BG364" s="2">
        <f t="shared" si="24"/>
        <v>46836</v>
      </c>
      <c r="BH364" t="str" cm="1">
        <f t="array" ref="BH364">_xlfn.IFS(Q364&lt;5,"0-5 Years",Q364&lt;10,"5-10 Years",Q364&lt;15,"10-15 Years",TRUE,"15+ Years")</f>
        <v>15+ Years</v>
      </c>
      <c r="BI364" t="str" cm="1">
        <f t="array" ref="BI364">_xlfn.IFS(AA364&gt;=540,"A",AA364&gt;=480,"B",AA364&gt;=420,"C",AA364&gt;=360,"D",TRUE,"F")</f>
        <v>A</v>
      </c>
      <c r="BJ364" t="str" cm="1">
        <f t="array" ref="BJ364">_xlfn.IFS(AU364&lt;0,"Separated",AU364&lt;=90,"High Risk",AU364&lt;=180,"Medium Risk",TRUE,"Retained")</f>
        <v>Retained</v>
      </c>
      <c r="BK364" t="str" cm="1">
        <f t="array" ref="BK364">_xlfn.IFS(V364=0,"No Combat",V364=1,"1 Tour",V364=2,"2 Tours",TRUE,"3+ Tours")</f>
        <v>No Combat</v>
      </c>
      <c r="BL364" t="str">
        <f t="shared" si="25"/>
        <v>Standard</v>
      </c>
      <c r="BM364" t="str">
        <f t="shared" si="26"/>
        <v>Not Ready</v>
      </c>
      <c r="BN364" s="3">
        <f t="shared" si="27"/>
        <v>0.14706635921086345</v>
      </c>
      <c r="BO364">
        <f t="shared" si="28"/>
        <v>642.4</v>
      </c>
    </row>
    <row r="365" spans="1:67" x14ac:dyDescent="0.25">
      <c r="A365" t="s">
        <v>652</v>
      </c>
      <c r="B365" t="s">
        <v>120</v>
      </c>
      <c r="C365" t="s">
        <v>191</v>
      </c>
      <c r="D365" t="s">
        <v>51</v>
      </c>
      <c r="E365">
        <v>34</v>
      </c>
      <c r="F365" t="s">
        <v>278</v>
      </c>
      <c r="G365" t="s">
        <v>81</v>
      </c>
      <c r="H365" t="s">
        <v>82</v>
      </c>
      <c r="I365" t="s">
        <v>158</v>
      </c>
      <c r="J365" t="s">
        <v>159</v>
      </c>
      <c r="K365" t="s">
        <v>160</v>
      </c>
      <c r="L365" t="s">
        <v>174</v>
      </c>
      <c r="M365" t="s">
        <v>275</v>
      </c>
      <c r="N365" t="s">
        <v>265</v>
      </c>
      <c r="O365" t="s">
        <v>61</v>
      </c>
      <c r="P365" s="1">
        <v>41960</v>
      </c>
      <c r="Q365">
        <v>9.5</v>
      </c>
      <c r="R365" t="s">
        <v>208</v>
      </c>
      <c r="S365" t="s">
        <v>63</v>
      </c>
      <c r="T365" t="s">
        <v>64</v>
      </c>
      <c r="U365">
        <v>0</v>
      </c>
      <c r="V365">
        <v>0</v>
      </c>
      <c r="W365" s="2">
        <v>2504</v>
      </c>
      <c r="X365" s="2">
        <v>0</v>
      </c>
      <c r="Y365" s="2">
        <v>422</v>
      </c>
      <c r="Z365" s="2">
        <v>2926</v>
      </c>
      <c r="AA365">
        <v>422</v>
      </c>
      <c r="AB365" t="s">
        <v>65</v>
      </c>
      <c r="AC365">
        <v>17.2</v>
      </c>
      <c r="AD365">
        <v>34</v>
      </c>
      <c r="AE365">
        <v>33</v>
      </c>
      <c r="AF365" t="s">
        <v>112</v>
      </c>
      <c r="AG365">
        <v>16</v>
      </c>
      <c r="AH365" t="s">
        <v>113</v>
      </c>
      <c r="AI365" t="s">
        <v>177</v>
      </c>
      <c r="AJ365" t="s">
        <v>188</v>
      </c>
      <c r="AK365" t="s">
        <v>70</v>
      </c>
      <c r="AL365" t="s">
        <v>71</v>
      </c>
      <c r="AM365" t="s">
        <v>71</v>
      </c>
      <c r="AN365" t="s">
        <v>72</v>
      </c>
      <c r="AO365" t="s">
        <v>72</v>
      </c>
      <c r="AP365" t="s">
        <v>221</v>
      </c>
      <c r="AQ365" t="s">
        <v>136</v>
      </c>
      <c r="AR365" s="1">
        <v>42974</v>
      </c>
      <c r="AS365" t="s">
        <v>137</v>
      </c>
      <c r="AT365" t="s">
        <v>71</v>
      </c>
      <c r="AU365">
        <v>1021</v>
      </c>
      <c r="AV365" t="s">
        <v>76</v>
      </c>
      <c r="AW365" s="3">
        <v>35112</v>
      </c>
      <c r="AX365" t="s">
        <v>808</v>
      </c>
      <c r="AY365" t="s">
        <v>804</v>
      </c>
      <c r="AZ365" t="s">
        <v>76</v>
      </c>
      <c r="BA365" t="s">
        <v>800</v>
      </c>
      <c r="BB365" t="s">
        <v>801</v>
      </c>
      <c r="BC365" t="s">
        <v>802</v>
      </c>
      <c r="BD365" s="3">
        <v>0.14422419685577581</v>
      </c>
      <c r="BE365">
        <v>484.4</v>
      </c>
      <c r="BG365" s="2">
        <f t="shared" si="24"/>
        <v>35112</v>
      </c>
      <c r="BH365" t="str" cm="1">
        <f t="array" ref="BH365">_xlfn.IFS(Q365&lt;5,"0-5 Years",Q365&lt;10,"5-10 Years",Q365&lt;15,"10-15 Years",TRUE,"15+ Years")</f>
        <v>5-10 Years</v>
      </c>
      <c r="BI365" t="str" cm="1">
        <f t="array" ref="BI365">_xlfn.IFS(AA365&gt;=540,"A",AA365&gt;=480,"B",AA365&gt;=420,"C",AA365&gt;=360,"D",TRUE,"F")</f>
        <v>C</v>
      </c>
      <c r="BJ365" t="str" cm="1">
        <f t="array" ref="BJ365">_xlfn.IFS(AU365&lt;0,"Separated",AU365&lt;=90,"High Risk",AU365&lt;=180,"Medium Risk",TRUE,"Retained")</f>
        <v>Retained</v>
      </c>
      <c r="BK365" t="str" cm="1">
        <f t="array" ref="BK365">_xlfn.IFS(V365=0,"No Combat",V365=1,"1 Tour",V365=2,"2 Tours",TRUE,"3+ Tours")</f>
        <v>No Combat</v>
      </c>
      <c r="BL365" t="str">
        <f t="shared" si="25"/>
        <v>Standard</v>
      </c>
      <c r="BM365" t="str">
        <f t="shared" si="26"/>
        <v>Not Ready</v>
      </c>
      <c r="BN365" s="3">
        <f t="shared" si="27"/>
        <v>0.14422419685577581</v>
      </c>
      <c r="BO365">
        <f t="shared" si="28"/>
        <v>484.4</v>
      </c>
    </row>
    <row r="366" spans="1:67" x14ac:dyDescent="0.25">
      <c r="A366" t="s">
        <v>653</v>
      </c>
      <c r="B366" t="s">
        <v>139</v>
      </c>
      <c r="C366" t="s">
        <v>223</v>
      </c>
      <c r="D366" t="s">
        <v>122</v>
      </c>
      <c r="E366">
        <v>21</v>
      </c>
      <c r="F366" t="s">
        <v>305</v>
      </c>
      <c r="G366" t="s">
        <v>183</v>
      </c>
      <c r="H366" t="s">
        <v>184</v>
      </c>
      <c r="I366" t="s">
        <v>236</v>
      </c>
      <c r="J366" t="s">
        <v>237</v>
      </c>
      <c r="K366" t="s">
        <v>238</v>
      </c>
      <c r="L366" t="s">
        <v>86</v>
      </c>
      <c r="M366" t="s">
        <v>275</v>
      </c>
      <c r="N366" t="s">
        <v>60</v>
      </c>
      <c r="O366" t="s">
        <v>176</v>
      </c>
      <c r="P366" s="1">
        <v>43325</v>
      </c>
      <c r="Q366">
        <v>5.8</v>
      </c>
      <c r="R366" t="s">
        <v>150</v>
      </c>
      <c r="S366" t="s">
        <v>196</v>
      </c>
      <c r="T366" t="s">
        <v>197</v>
      </c>
      <c r="U366">
        <v>0</v>
      </c>
      <c r="V366">
        <v>0</v>
      </c>
      <c r="W366" s="2">
        <v>5696</v>
      </c>
      <c r="X366" s="2">
        <v>1537</v>
      </c>
      <c r="Y366" s="2">
        <v>266</v>
      </c>
      <c r="Z366" s="2">
        <v>7499</v>
      </c>
      <c r="AA366">
        <v>481</v>
      </c>
      <c r="AB366" t="s">
        <v>65</v>
      </c>
      <c r="AC366">
        <v>20.8</v>
      </c>
      <c r="AD366">
        <v>77</v>
      </c>
      <c r="AE366">
        <v>71</v>
      </c>
      <c r="AF366" t="s">
        <v>132</v>
      </c>
      <c r="AG366">
        <v>25</v>
      </c>
      <c r="AH366" t="s">
        <v>113</v>
      </c>
      <c r="AI366" t="s">
        <v>114</v>
      </c>
      <c r="AJ366" t="s">
        <v>96</v>
      </c>
      <c r="AK366" t="s">
        <v>70</v>
      </c>
      <c r="AL366" t="s">
        <v>70</v>
      </c>
      <c r="AM366" t="s">
        <v>71</v>
      </c>
      <c r="AN366" t="s">
        <v>133</v>
      </c>
      <c r="AO366" t="s">
        <v>116</v>
      </c>
      <c r="AP366" t="s">
        <v>72</v>
      </c>
      <c r="AQ366" t="s">
        <v>117</v>
      </c>
      <c r="AR366" s="1">
        <v>45182</v>
      </c>
      <c r="AS366" t="s">
        <v>75</v>
      </c>
      <c r="AT366" t="s">
        <v>71</v>
      </c>
      <c r="AU366">
        <v>909</v>
      </c>
      <c r="AV366" t="s">
        <v>76</v>
      </c>
      <c r="AW366" s="3">
        <v>89988</v>
      </c>
      <c r="AX366" t="s">
        <v>808</v>
      </c>
      <c r="AY366" t="s">
        <v>806</v>
      </c>
      <c r="AZ366" t="s">
        <v>76</v>
      </c>
      <c r="BA366" t="s">
        <v>800</v>
      </c>
      <c r="BB366" t="s">
        <v>801</v>
      </c>
      <c r="BC366" t="s">
        <v>802</v>
      </c>
      <c r="BD366" s="3">
        <v>6.4141885584744637E-2</v>
      </c>
      <c r="BE366">
        <v>551.4</v>
      </c>
      <c r="BG366" s="2">
        <f t="shared" si="24"/>
        <v>89988</v>
      </c>
      <c r="BH366" t="str" cm="1">
        <f t="array" ref="BH366">_xlfn.IFS(Q366&lt;5,"0-5 Years",Q366&lt;10,"5-10 Years",Q366&lt;15,"10-15 Years",TRUE,"15+ Years")</f>
        <v>5-10 Years</v>
      </c>
      <c r="BI366" t="str" cm="1">
        <f t="array" ref="BI366">_xlfn.IFS(AA366&gt;=540,"A",AA366&gt;=480,"B",AA366&gt;=420,"C",AA366&gt;=360,"D",TRUE,"F")</f>
        <v>B</v>
      </c>
      <c r="BJ366" t="str" cm="1">
        <f t="array" ref="BJ366">_xlfn.IFS(AU366&lt;0,"Separated",AU366&lt;=90,"High Risk",AU366&lt;=180,"Medium Risk",TRUE,"Retained")</f>
        <v>Retained</v>
      </c>
      <c r="BK366" t="str" cm="1">
        <f t="array" ref="BK366">_xlfn.IFS(V366=0,"No Combat",V366=1,"1 Tour",V366=2,"2 Tours",TRUE,"3+ Tours")</f>
        <v>No Combat</v>
      </c>
      <c r="BL366" t="str">
        <f t="shared" si="25"/>
        <v>Standard</v>
      </c>
      <c r="BM366" t="str">
        <f t="shared" si="26"/>
        <v>Not Ready</v>
      </c>
      <c r="BN366" s="3">
        <f t="shared" si="27"/>
        <v>6.4141885584744637E-2</v>
      </c>
      <c r="BO366">
        <f t="shared" si="28"/>
        <v>551.4</v>
      </c>
    </row>
    <row r="367" spans="1:67" x14ac:dyDescent="0.25">
      <c r="A367" t="s">
        <v>654</v>
      </c>
      <c r="B367" t="s">
        <v>251</v>
      </c>
      <c r="C367" t="s">
        <v>375</v>
      </c>
      <c r="D367" t="s">
        <v>51</v>
      </c>
      <c r="E367">
        <v>43</v>
      </c>
      <c r="F367" t="s">
        <v>248</v>
      </c>
      <c r="G367" t="s">
        <v>298</v>
      </c>
      <c r="H367" t="s">
        <v>299</v>
      </c>
      <c r="I367" t="s">
        <v>158</v>
      </c>
      <c r="J367" t="s">
        <v>159</v>
      </c>
      <c r="K367" t="s">
        <v>160</v>
      </c>
      <c r="L367" t="s">
        <v>106</v>
      </c>
      <c r="M367" t="s">
        <v>275</v>
      </c>
      <c r="N367" t="s">
        <v>162</v>
      </c>
      <c r="O367" t="s">
        <v>89</v>
      </c>
      <c r="P367" s="1">
        <v>38986</v>
      </c>
      <c r="Q367">
        <v>17.7</v>
      </c>
      <c r="R367" t="s">
        <v>62</v>
      </c>
      <c r="S367" t="s">
        <v>130</v>
      </c>
      <c r="T367" t="s">
        <v>131</v>
      </c>
      <c r="U367">
        <v>13</v>
      </c>
      <c r="V367">
        <v>2</v>
      </c>
      <c r="W367" s="2">
        <v>2149</v>
      </c>
      <c r="X367" s="2">
        <v>0</v>
      </c>
      <c r="Y367" s="2">
        <v>422</v>
      </c>
      <c r="Z367" s="2">
        <v>2571</v>
      </c>
      <c r="AA367">
        <v>600</v>
      </c>
      <c r="AB367" t="s">
        <v>65</v>
      </c>
      <c r="AC367">
        <v>19.7</v>
      </c>
      <c r="AD367">
        <v>53</v>
      </c>
      <c r="AE367">
        <v>33</v>
      </c>
      <c r="AF367" t="s">
        <v>132</v>
      </c>
      <c r="AG367">
        <v>37</v>
      </c>
      <c r="AH367" t="s">
        <v>94</v>
      </c>
      <c r="AI367" t="s">
        <v>114</v>
      </c>
      <c r="AJ367" t="s">
        <v>96</v>
      </c>
      <c r="AK367" t="s">
        <v>70</v>
      </c>
      <c r="AL367" t="s">
        <v>70</v>
      </c>
      <c r="AM367" t="s">
        <v>70</v>
      </c>
      <c r="AN367" t="s">
        <v>72</v>
      </c>
      <c r="AO367" t="s">
        <v>203</v>
      </c>
      <c r="AP367" t="s">
        <v>221</v>
      </c>
      <c r="AQ367" t="s">
        <v>117</v>
      </c>
      <c r="AR367" s="1">
        <v>39663</v>
      </c>
      <c r="AS367" t="s">
        <v>198</v>
      </c>
      <c r="AT367" t="s">
        <v>71</v>
      </c>
      <c r="AU367">
        <v>487</v>
      </c>
      <c r="AV367" t="s">
        <v>76</v>
      </c>
      <c r="AW367" s="3">
        <v>30852</v>
      </c>
      <c r="AX367" t="s">
        <v>798</v>
      </c>
      <c r="AY367" t="s">
        <v>799</v>
      </c>
      <c r="AZ367" t="s">
        <v>76</v>
      </c>
      <c r="BA367" t="s">
        <v>811</v>
      </c>
      <c r="BB367" t="s">
        <v>801</v>
      </c>
      <c r="BC367" t="s">
        <v>802</v>
      </c>
      <c r="BD367" s="3">
        <v>0.23337222870478413</v>
      </c>
      <c r="BE367">
        <v>674.4</v>
      </c>
      <c r="BG367" s="2">
        <f t="shared" si="24"/>
        <v>30852</v>
      </c>
      <c r="BH367" t="str" cm="1">
        <f t="array" ref="BH367">_xlfn.IFS(Q367&lt;5,"0-5 Years",Q367&lt;10,"5-10 Years",Q367&lt;15,"10-15 Years",TRUE,"15+ Years")</f>
        <v>15+ Years</v>
      </c>
      <c r="BI367" t="str" cm="1">
        <f t="array" ref="BI367">_xlfn.IFS(AA367&gt;=540,"A",AA367&gt;=480,"B",AA367&gt;=420,"C",AA367&gt;=360,"D",TRUE,"F")</f>
        <v>A</v>
      </c>
      <c r="BJ367" t="str" cm="1">
        <f t="array" ref="BJ367">_xlfn.IFS(AU367&lt;0,"Separated",AU367&lt;=90,"High Risk",AU367&lt;=180,"Medium Risk",TRUE,"Retained")</f>
        <v>Retained</v>
      </c>
      <c r="BK367" t="str" cm="1">
        <f t="array" ref="BK367">_xlfn.IFS(V367=0,"No Combat",V367=1,"1 Tour",V367=2,"2 Tours",TRUE,"3+ Tours")</f>
        <v>2 Tours</v>
      </c>
      <c r="BL367" t="str">
        <f t="shared" si="25"/>
        <v>Standard</v>
      </c>
      <c r="BM367" t="str">
        <f t="shared" si="26"/>
        <v>Not Ready</v>
      </c>
      <c r="BN367" s="3">
        <f t="shared" si="27"/>
        <v>0.23337222870478413</v>
      </c>
      <c r="BO367">
        <f t="shared" si="28"/>
        <v>674.4</v>
      </c>
    </row>
    <row r="368" spans="1:67" x14ac:dyDescent="0.25">
      <c r="A368" t="s">
        <v>655</v>
      </c>
      <c r="B368" t="s">
        <v>166</v>
      </c>
      <c r="C368" t="s">
        <v>396</v>
      </c>
      <c r="D368" t="s">
        <v>122</v>
      </c>
      <c r="E368">
        <v>21</v>
      </c>
      <c r="F368" t="s">
        <v>325</v>
      </c>
      <c r="G368" t="s">
        <v>301</v>
      </c>
      <c r="H368" t="s">
        <v>302</v>
      </c>
      <c r="I368" t="s">
        <v>171</v>
      </c>
      <c r="J368" t="s">
        <v>172</v>
      </c>
      <c r="K368" t="s">
        <v>173</v>
      </c>
      <c r="L368" t="s">
        <v>86</v>
      </c>
      <c r="M368" t="s">
        <v>147</v>
      </c>
      <c r="N368" t="s">
        <v>148</v>
      </c>
      <c r="O368" t="s">
        <v>89</v>
      </c>
      <c r="P368" s="1">
        <v>41320</v>
      </c>
      <c r="Q368">
        <v>11.3</v>
      </c>
      <c r="R368" t="s">
        <v>208</v>
      </c>
      <c r="S368" t="s">
        <v>219</v>
      </c>
      <c r="T368" t="s">
        <v>220</v>
      </c>
      <c r="U368">
        <v>0</v>
      </c>
      <c r="V368">
        <v>0</v>
      </c>
      <c r="W368" s="2">
        <v>4188</v>
      </c>
      <c r="X368" s="2">
        <v>0</v>
      </c>
      <c r="Y368" s="2">
        <v>266</v>
      </c>
      <c r="Z368" s="2">
        <v>4454</v>
      </c>
      <c r="AA368">
        <v>581</v>
      </c>
      <c r="AB368" t="s">
        <v>65</v>
      </c>
      <c r="AC368">
        <v>16.3</v>
      </c>
      <c r="AD368">
        <v>46</v>
      </c>
      <c r="AE368">
        <v>44</v>
      </c>
      <c r="AF368" t="s">
        <v>93</v>
      </c>
      <c r="AG368">
        <v>33</v>
      </c>
      <c r="AH368" t="s">
        <v>67</v>
      </c>
      <c r="AI368" t="s">
        <v>95</v>
      </c>
      <c r="AJ368" t="s">
        <v>96</v>
      </c>
      <c r="AK368" t="s">
        <v>70</v>
      </c>
      <c r="AL368" t="s">
        <v>70</v>
      </c>
      <c r="AM368" t="s">
        <v>70</v>
      </c>
      <c r="AN368" t="s">
        <v>202</v>
      </c>
      <c r="AO368" t="s">
        <v>73</v>
      </c>
      <c r="AP368" t="s">
        <v>227</v>
      </c>
      <c r="AQ368" t="s">
        <v>98</v>
      </c>
      <c r="AR368" s="1">
        <v>45323</v>
      </c>
      <c r="AS368" t="s">
        <v>198</v>
      </c>
      <c r="AT368" t="s">
        <v>71</v>
      </c>
      <c r="AU368">
        <v>311</v>
      </c>
      <c r="AV368" t="s">
        <v>76</v>
      </c>
      <c r="AW368" s="3">
        <v>53448</v>
      </c>
      <c r="AX368" t="s">
        <v>805</v>
      </c>
      <c r="AY368" t="s">
        <v>799</v>
      </c>
      <c r="AZ368" t="s">
        <v>76</v>
      </c>
      <c r="BA368" t="s">
        <v>800</v>
      </c>
      <c r="BB368" t="s">
        <v>801</v>
      </c>
      <c r="BC368" t="s">
        <v>802</v>
      </c>
      <c r="BD368" s="3">
        <v>0.1304445442299057</v>
      </c>
      <c r="BE368">
        <v>647.4</v>
      </c>
      <c r="BG368" s="2">
        <f t="shared" si="24"/>
        <v>53448</v>
      </c>
      <c r="BH368" t="str" cm="1">
        <f t="array" ref="BH368">_xlfn.IFS(Q368&lt;5,"0-5 Years",Q368&lt;10,"5-10 Years",Q368&lt;15,"10-15 Years",TRUE,"15+ Years")</f>
        <v>10-15 Years</v>
      </c>
      <c r="BI368" t="str" cm="1">
        <f t="array" ref="BI368">_xlfn.IFS(AA368&gt;=540,"A",AA368&gt;=480,"B",AA368&gt;=420,"C",AA368&gt;=360,"D",TRUE,"F")</f>
        <v>A</v>
      </c>
      <c r="BJ368" t="str" cm="1">
        <f t="array" ref="BJ368">_xlfn.IFS(AU368&lt;0,"Separated",AU368&lt;=90,"High Risk",AU368&lt;=180,"Medium Risk",TRUE,"Retained")</f>
        <v>Retained</v>
      </c>
      <c r="BK368" t="str" cm="1">
        <f t="array" ref="BK368">_xlfn.IFS(V368=0,"No Combat",V368=1,"1 Tour",V368=2,"2 Tours",TRUE,"3+ Tours")</f>
        <v>No Combat</v>
      </c>
      <c r="BL368" t="str">
        <f t="shared" si="25"/>
        <v>Standard</v>
      </c>
      <c r="BM368" t="str">
        <f t="shared" si="26"/>
        <v>Not Ready</v>
      </c>
      <c r="BN368" s="3">
        <f t="shared" si="27"/>
        <v>0.1304445442299057</v>
      </c>
      <c r="BO368">
        <f t="shared" si="28"/>
        <v>647.4</v>
      </c>
    </row>
    <row r="369" spans="1:67" x14ac:dyDescent="0.25">
      <c r="A369" t="s">
        <v>656</v>
      </c>
      <c r="B369" t="s">
        <v>346</v>
      </c>
      <c r="C369" t="s">
        <v>200</v>
      </c>
      <c r="D369" t="s">
        <v>51</v>
      </c>
      <c r="E369">
        <v>25</v>
      </c>
      <c r="F369" t="s">
        <v>224</v>
      </c>
      <c r="G369" t="s">
        <v>101</v>
      </c>
      <c r="H369" t="s">
        <v>102</v>
      </c>
      <c r="I369" t="s">
        <v>171</v>
      </c>
      <c r="J369" t="s">
        <v>172</v>
      </c>
      <c r="K369" t="s">
        <v>173</v>
      </c>
      <c r="L369" t="s">
        <v>126</v>
      </c>
      <c r="M369" t="s">
        <v>207</v>
      </c>
      <c r="N369" t="s">
        <v>128</v>
      </c>
      <c r="O369" t="s">
        <v>61</v>
      </c>
      <c r="P369" s="1">
        <v>44180</v>
      </c>
      <c r="Q369">
        <v>3.5</v>
      </c>
      <c r="R369" t="s">
        <v>195</v>
      </c>
      <c r="S369" t="s">
        <v>91</v>
      </c>
      <c r="T369" t="s">
        <v>92</v>
      </c>
      <c r="U369">
        <v>3</v>
      </c>
      <c r="V369">
        <v>0</v>
      </c>
      <c r="W369" s="2">
        <v>2980</v>
      </c>
      <c r="X369" s="2">
        <v>0</v>
      </c>
      <c r="Y369" s="2">
        <v>422</v>
      </c>
      <c r="Z369" s="2">
        <v>3402</v>
      </c>
      <c r="AA369">
        <v>375</v>
      </c>
      <c r="AB369" t="s">
        <v>65</v>
      </c>
      <c r="AC369">
        <v>19.600000000000001</v>
      </c>
      <c r="AD369">
        <v>21</v>
      </c>
      <c r="AE369">
        <v>74</v>
      </c>
      <c r="AF369" t="s">
        <v>66</v>
      </c>
      <c r="AG369">
        <v>20</v>
      </c>
      <c r="AH369" t="s">
        <v>113</v>
      </c>
      <c r="AI369" t="s">
        <v>177</v>
      </c>
      <c r="AJ369" t="s">
        <v>188</v>
      </c>
      <c r="AK369" t="s">
        <v>70</v>
      </c>
      <c r="AL369" t="s">
        <v>70</v>
      </c>
      <c r="AM369" t="s">
        <v>70</v>
      </c>
      <c r="AN369" t="s">
        <v>243</v>
      </c>
      <c r="AO369" t="s">
        <v>203</v>
      </c>
      <c r="AP369" t="s">
        <v>227</v>
      </c>
      <c r="AQ369" t="s">
        <v>74</v>
      </c>
      <c r="AR369" s="1">
        <v>45042</v>
      </c>
      <c r="AS369" t="s">
        <v>75</v>
      </c>
      <c r="AT369" t="s">
        <v>71</v>
      </c>
      <c r="AU369">
        <v>-59</v>
      </c>
      <c r="AV369" t="s">
        <v>179</v>
      </c>
      <c r="AW369" s="3">
        <v>40824</v>
      </c>
      <c r="AX369" t="s">
        <v>803</v>
      </c>
      <c r="AY369" t="s">
        <v>809</v>
      </c>
      <c r="AZ369" t="s">
        <v>810</v>
      </c>
      <c r="BA369" t="s">
        <v>800</v>
      </c>
      <c r="BB369" t="s">
        <v>801</v>
      </c>
      <c r="BC369" t="s">
        <v>812</v>
      </c>
      <c r="BD369" s="3">
        <v>0.11022927689594356</v>
      </c>
      <c r="BE369">
        <v>415.4</v>
      </c>
      <c r="BG369" s="2">
        <f t="shared" si="24"/>
        <v>40824</v>
      </c>
      <c r="BH369" t="str" cm="1">
        <f t="array" ref="BH369">_xlfn.IFS(Q369&lt;5,"0-5 Years",Q369&lt;10,"5-10 Years",Q369&lt;15,"10-15 Years",TRUE,"15+ Years")</f>
        <v>0-5 Years</v>
      </c>
      <c r="BI369" t="str" cm="1">
        <f t="array" ref="BI369">_xlfn.IFS(AA369&gt;=540,"A",AA369&gt;=480,"B",AA369&gt;=420,"C",AA369&gt;=360,"D",TRUE,"F")</f>
        <v>D</v>
      </c>
      <c r="BJ369" t="str" cm="1">
        <f t="array" ref="BJ369">_xlfn.IFS(AU369&lt;0,"Separated",AU369&lt;=90,"High Risk",AU369&lt;=180,"Medium Risk",TRUE,"Retained")</f>
        <v>Separated</v>
      </c>
      <c r="BK369" t="str" cm="1">
        <f t="array" ref="BK369">_xlfn.IFS(V369=0,"No Combat",V369=1,"1 Tour",V369=2,"2 Tours",TRUE,"3+ Tours")</f>
        <v>No Combat</v>
      </c>
      <c r="BL369" t="str">
        <f t="shared" si="25"/>
        <v>Standard</v>
      </c>
      <c r="BM369" t="str">
        <f t="shared" si="26"/>
        <v>Promotion Ready</v>
      </c>
      <c r="BN369" s="3">
        <f t="shared" si="27"/>
        <v>0.11022927689594356</v>
      </c>
      <c r="BO369">
        <f t="shared" si="28"/>
        <v>415.4</v>
      </c>
    </row>
    <row r="370" spans="1:67" x14ac:dyDescent="0.25">
      <c r="A370" t="s">
        <v>657</v>
      </c>
      <c r="B370" t="s">
        <v>282</v>
      </c>
      <c r="C370" t="s">
        <v>79</v>
      </c>
      <c r="D370" t="s">
        <v>51</v>
      </c>
      <c r="E370">
        <v>41</v>
      </c>
      <c r="F370" t="s">
        <v>241</v>
      </c>
      <c r="G370" t="s">
        <v>279</v>
      </c>
      <c r="H370" t="s">
        <v>280</v>
      </c>
      <c r="I370" t="s">
        <v>236</v>
      </c>
      <c r="J370" t="s">
        <v>237</v>
      </c>
      <c r="K370" t="s">
        <v>238</v>
      </c>
      <c r="L370" t="s">
        <v>126</v>
      </c>
      <c r="M370" t="s">
        <v>175</v>
      </c>
      <c r="N370" t="s">
        <v>162</v>
      </c>
      <c r="O370" t="s">
        <v>109</v>
      </c>
      <c r="P370" s="1">
        <v>40722</v>
      </c>
      <c r="Q370">
        <v>12.9</v>
      </c>
      <c r="R370" t="s">
        <v>75</v>
      </c>
      <c r="S370" t="s">
        <v>196</v>
      </c>
      <c r="T370" t="s">
        <v>197</v>
      </c>
      <c r="U370">
        <v>0</v>
      </c>
      <c r="V370">
        <v>0</v>
      </c>
      <c r="W370" s="2">
        <v>6618</v>
      </c>
      <c r="X370" s="2">
        <v>0</v>
      </c>
      <c r="Y370" s="2">
        <v>266</v>
      </c>
      <c r="Z370" s="2">
        <v>6884</v>
      </c>
      <c r="AA370">
        <v>591</v>
      </c>
      <c r="AB370" t="s">
        <v>65</v>
      </c>
      <c r="AC370">
        <v>18.7</v>
      </c>
      <c r="AD370">
        <v>66</v>
      </c>
      <c r="AE370">
        <v>79</v>
      </c>
      <c r="AF370" t="s">
        <v>66</v>
      </c>
      <c r="AG370">
        <v>20</v>
      </c>
      <c r="AH370" t="s">
        <v>113</v>
      </c>
      <c r="AI370" t="s">
        <v>68</v>
      </c>
      <c r="AJ370" t="s">
        <v>96</v>
      </c>
      <c r="AK370" t="s">
        <v>70</v>
      </c>
      <c r="AL370" t="s">
        <v>71</v>
      </c>
      <c r="AM370" t="s">
        <v>70</v>
      </c>
      <c r="AN370" t="s">
        <v>72</v>
      </c>
      <c r="AO370" t="s">
        <v>135</v>
      </c>
      <c r="AP370" t="s">
        <v>221</v>
      </c>
      <c r="AQ370" t="s">
        <v>74</v>
      </c>
      <c r="AR370" s="1">
        <v>44585</v>
      </c>
      <c r="AS370" t="s">
        <v>137</v>
      </c>
      <c r="AT370" t="s">
        <v>71</v>
      </c>
      <c r="AU370">
        <v>897</v>
      </c>
      <c r="AV370" t="s">
        <v>76</v>
      </c>
      <c r="AW370" s="3">
        <v>82608</v>
      </c>
      <c r="AX370" t="s">
        <v>805</v>
      </c>
      <c r="AY370" t="s">
        <v>799</v>
      </c>
      <c r="AZ370" t="s">
        <v>76</v>
      </c>
      <c r="BA370" t="s">
        <v>800</v>
      </c>
      <c r="BB370" t="s">
        <v>801</v>
      </c>
      <c r="BC370" t="s">
        <v>802</v>
      </c>
      <c r="BD370" s="3">
        <v>8.5851249273678099E-2</v>
      </c>
      <c r="BE370">
        <v>641.4</v>
      </c>
      <c r="BG370" s="2">
        <f t="shared" si="24"/>
        <v>82608</v>
      </c>
      <c r="BH370" t="str" cm="1">
        <f t="array" ref="BH370">_xlfn.IFS(Q370&lt;5,"0-5 Years",Q370&lt;10,"5-10 Years",Q370&lt;15,"10-15 Years",TRUE,"15+ Years")</f>
        <v>10-15 Years</v>
      </c>
      <c r="BI370" t="str" cm="1">
        <f t="array" ref="BI370">_xlfn.IFS(AA370&gt;=540,"A",AA370&gt;=480,"B",AA370&gt;=420,"C",AA370&gt;=360,"D",TRUE,"F")</f>
        <v>A</v>
      </c>
      <c r="BJ370" t="str" cm="1">
        <f t="array" ref="BJ370">_xlfn.IFS(AU370&lt;0,"Separated",AU370&lt;=90,"High Risk",AU370&lt;=180,"Medium Risk",TRUE,"Retained")</f>
        <v>Retained</v>
      </c>
      <c r="BK370" t="str" cm="1">
        <f t="array" ref="BK370">_xlfn.IFS(V370=0,"No Combat",V370=1,"1 Tour",V370=2,"2 Tours",TRUE,"3+ Tours")</f>
        <v>No Combat</v>
      </c>
      <c r="BL370" t="str">
        <f t="shared" si="25"/>
        <v>Standard</v>
      </c>
      <c r="BM370" t="str">
        <f t="shared" si="26"/>
        <v>Not Ready</v>
      </c>
      <c r="BN370" s="3">
        <f t="shared" si="27"/>
        <v>8.5851249273678099E-2</v>
      </c>
      <c r="BO370">
        <f t="shared" si="28"/>
        <v>641.4</v>
      </c>
    </row>
    <row r="371" spans="1:67" x14ac:dyDescent="0.25">
      <c r="A371" t="s">
        <v>658</v>
      </c>
      <c r="B371" t="s">
        <v>154</v>
      </c>
      <c r="C371" t="s">
        <v>257</v>
      </c>
      <c r="D371" t="s">
        <v>51</v>
      </c>
      <c r="E371">
        <v>27</v>
      </c>
      <c r="F371" t="s">
        <v>80</v>
      </c>
      <c r="G371" t="s">
        <v>215</v>
      </c>
      <c r="H371" t="s">
        <v>216</v>
      </c>
      <c r="I371" t="s">
        <v>253</v>
      </c>
      <c r="J371" t="s">
        <v>254</v>
      </c>
      <c r="K371" t="s">
        <v>255</v>
      </c>
      <c r="L371" t="s">
        <v>86</v>
      </c>
      <c r="M371" t="s">
        <v>275</v>
      </c>
      <c r="N371" t="s">
        <v>108</v>
      </c>
      <c r="O371" t="s">
        <v>89</v>
      </c>
      <c r="P371" s="1">
        <v>44371</v>
      </c>
      <c r="Q371">
        <v>2.9</v>
      </c>
      <c r="R371" t="s">
        <v>195</v>
      </c>
      <c r="S371" t="s">
        <v>219</v>
      </c>
      <c r="T371" t="s">
        <v>220</v>
      </c>
      <c r="U371">
        <v>0</v>
      </c>
      <c r="V371">
        <v>0</v>
      </c>
      <c r="W371" s="2">
        <v>3637</v>
      </c>
      <c r="X371" s="2">
        <v>1231</v>
      </c>
      <c r="Y371" s="2">
        <v>266</v>
      </c>
      <c r="Z371" s="2">
        <v>5134</v>
      </c>
      <c r="AA371">
        <v>450</v>
      </c>
      <c r="AB371" t="s">
        <v>65</v>
      </c>
      <c r="AC371">
        <v>16.899999999999999</v>
      </c>
      <c r="AD371">
        <v>56</v>
      </c>
      <c r="AE371">
        <v>69</v>
      </c>
      <c r="AF371" t="s">
        <v>66</v>
      </c>
      <c r="AG371">
        <v>27</v>
      </c>
      <c r="AH371" t="s">
        <v>113</v>
      </c>
      <c r="AI371" t="s">
        <v>152</v>
      </c>
      <c r="AJ371" t="s">
        <v>69</v>
      </c>
      <c r="AK371" t="s">
        <v>70</v>
      </c>
      <c r="AL371" t="s">
        <v>71</v>
      </c>
      <c r="AM371" t="s">
        <v>70</v>
      </c>
      <c r="AN371" t="s">
        <v>133</v>
      </c>
      <c r="AO371" t="s">
        <v>134</v>
      </c>
      <c r="AP371" t="s">
        <v>72</v>
      </c>
      <c r="AQ371" t="s">
        <v>117</v>
      </c>
      <c r="AR371" s="1">
        <v>44767</v>
      </c>
      <c r="AS371" t="s">
        <v>137</v>
      </c>
      <c r="AT371" t="s">
        <v>71</v>
      </c>
      <c r="AU371">
        <v>77</v>
      </c>
      <c r="AV371" t="s">
        <v>179</v>
      </c>
      <c r="AW371" s="3">
        <v>61608</v>
      </c>
      <c r="AX371" t="s">
        <v>803</v>
      </c>
      <c r="AY371" t="s">
        <v>804</v>
      </c>
      <c r="AZ371" t="s">
        <v>813</v>
      </c>
      <c r="BA371" t="s">
        <v>800</v>
      </c>
      <c r="BB371" t="s">
        <v>801</v>
      </c>
      <c r="BC371" t="s">
        <v>802</v>
      </c>
      <c r="BD371" s="3">
        <v>8.7650954421503696E-2</v>
      </c>
      <c r="BE371">
        <v>514.4</v>
      </c>
      <c r="BG371" s="2">
        <f t="shared" si="24"/>
        <v>61608</v>
      </c>
      <c r="BH371" t="str" cm="1">
        <f t="array" ref="BH371">_xlfn.IFS(Q371&lt;5,"0-5 Years",Q371&lt;10,"5-10 Years",Q371&lt;15,"10-15 Years",TRUE,"15+ Years")</f>
        <v>0-5 Years</v>
      </c>
      <c r="BI371" t="str" cm="1">
        <f t="array" ref="BI371">_xlfn.IFS(AA371&gt;=540,"A",AA371&gt;=480,"B",AA371&gt;=420,"C",AA371&gt;=360,"D",TRUE,"F")</f>
        <v>C</v>
      </c>
      <c r="BJ371" t="str" cm="1">
        <f t="array" ref="BJ371">_xlfn.IFS(AU371&lt;0,"Separated",AU371&lt;=90,"High Risk",AU371&lt;=180,"Medium Risk",TRUE,"Retained")</f>
        <v>High Risk</v>
      </c>
      <c r="BK371" t="str" cm="1">
        <f t="array" ref="BK371">_xlfn.IFS(V371=0,"No Combat",V371=1,"1 Tour",V371=2,"2 Tours",TRUE,"3+ Tours")</f>
        <v>No Combat</v>
      </c>
      <c r="BL371" t="str">
        <f t="shared" si="25"/>
        <v>Standard</v>
      </c>
      <c r="BM371" t="str">
        <f t="shared" si="26"/>
        <v>Not Ready</v>
      </c>
      <c r="BN371" s="3">
        <f t="shared" si="27"/>
        <v>8.7650954421503696E-2</v>
      </c>
      <c r="BO371">
        <f t="shared" si="28"/>
        <v>514.4</v>
      </c>
    </row>
    <row r="372" spans="1:67" x14ac:dyDescent="0.25">
      <c r="A372" t="s">
        <v>659</v>
      </c>
      <c r="B372" t="s">
        <v>245</v>
      </c>
      <c r="C372" t="s">
        <v>155</v>
      </c>
      <c r="D372" t="s">
        <v>51</v>
      </c>
      <c r="E372">
        <v>26</v>
      </c>
      <c r="F372" t="s">
        <v>325</v>
      </c>
      <c r="G372" t="s">
        <v>101</v>
      </c>
      <c r="H372" t="s">
        <v>102</v>
      </c>
      <c r="I372" t="s">
        <v>268</v>
      </c>
      <c r="J372" t="s">
        <v>269</v>
      </c>
      <c r="K372" t="s">
        <v>173</v>
      </c>
      <c r="L372" t="s">
        <v>201</v>
      </c>
      <c r="M372" t="s">
        <v>296</v>
      </c>
      <c r="N372" t="s">
        <v>148</v>
      </c>
      <c r="O372" t="s">
        <v>61</v>
      </c>
      <c r="P372" s="1">
        <v>44898</v>
      </c>
      <c r="Q372">
        <v>1.5</v>
      </c>
      <c r="R372" t="s">
        <v>129</v>
      </c>
      <c r="S372" t="s">
        <v>130</v>
      </c>
      <c r="T372" t="s">
        <v>131</v>
      </c>
      <c r="U372">
        <v>0</v>
      </c>
      <c r="V372">
        <v>0</v>
      </c>
      <c r="W372" s="2">
        <v>2980</v>
      </c>
      <c r="X372" s="2">
        <v>0</v>
      </c>
      <c r="Y372" s="2">
        <v>422</v>
      </c>
      <c r="Z372" s="2">
        <v>3402</v>
      </c>
      <c r="AA372">
        <v>508</v>
      </c>
      <c r="AB372" t="s">
        <v>65</v>
      </c>
      <c r="AC372">
        <v>15.6</v>
      </c>
      <c r="AD372">
        <v>38</v>
      </c>
      <c r="AE372">
        <v>66</v>
      </c>
      <c r="AF372" t="s">
        <v>132</v>
      </c>
      <c r="AG372">
        <v>32</v>
      </c>
      <c r="AH372" t="s">
        <v>67</v>
      </c>
      <c r="AI372" t="s">
        <v>114</v>
      </c>
      <c r="AJ372" t="s">
        <v>72</v>
      </c>
      <c r="AK372" t="s">
        <v>70</v>
      </c>
      <c r="AL372" t="s">
        <v>70</v>
      </c>
      <c r="AM372" t="s">
        <v>70</v>
      </c>
      <c r="AN372" t="s">
        <v>270</v>
      </c>
      <c r="AO372" t="s">
        <v>178</v>
      </c>
      <c r="AP372" t="s">
        <v>134</v>
      </c>
      <c r="AQ372" t="s">
        <v>136</v>
      </c>
      <c r="AR372" s="1">
        <v>45286</v>
      </c>
      <c r="AS372" t="s">
        <v>75</v>
      </c>
      <c r="AT372" t="s">
        <v>70</v>
      </c>
      <c r="AU372">
        <v>-177</v>
      </c>
      <c r="AV372" t="s">
        <v>179</v>
      </c>
      <c r="AW372" s="3">
        <v>40824</v>
      </c>
      <c r="AX372" t="s">
        <v>803</v>
      </c>
      <c r="AY372" t="s">
        <v>806</v>
      </c>
      <c r="AZ372" t="s">
        <v>810</v>
      </c>
      <c r="BA372" t="s">
        <v>800</v>
      </c>
      <c r="BB372" t="s">
        <v>801</v>
      </c>
      <c r="BC372" t="s">
        <v>802</v>
      </c>
      <c r="BD372" s="3">
        <v>0.14932392710170489</v>
      </c>
      <c r="BE372">
        <v>572.4</v>
      </c>
      <c r="BG372" s="2">
        <f t="shared" si="24"/>
        <v>40824</v>
      </c>
      <c r="BH372" t="str" cm="1">
        <f t="array" ref="BH372">_xlfn.IFS(Q372&lt;5,"0-5 Years",Q372&lt;10,"5-10 Years",Q372&lt;15,"10-15 Years",TRUE,"15+ Years")</f>
        <v>0-5 Years</v>
      </c>
      <c r="BI372" t="str" cm="1">
        <f t="array" ref="BI372">_xlfn.IFS(AA372&gt;=540,"A",AA372&gt;=480,"B",AA372&gt;=420,"C",AA372&gt;=360,"D",TRUE,"F")</f>
        <v>B</v>
      </c>
      <c r="BJ372" t="str" cm="1">
        <f t="array" ref="BJ372">_xlfn.IFS(AU372&lt;0,"Separated",AU372&lt;=90,"High Risk",AU372&lt;=180,"Medium Risk",TRUE,"Retained")</f>
        <v>Separated</v>
      </c>
      <c r="BK372" t="str" cm="1">
        <f t="array" ref="BK372">_xlfn.IFS(V372=0,"No Combat",V372=1,"1 Tour",V372=2,"2 Tours",TRUE,"3+ Tours")</f>
        <v>No Combat</v>
      </c>
      <c r="BL372" t="str">
        <f t="shared" si="25"/>
        <v>Standard</v>
      </c>
      <c r="BM372" t="str">
        <f t="shared" si="26"/>
        <v>Not Ready</v>
      </c>
      <c r="BN372" s="3">
        <f t="shared" si="27"/>
        <v>0.14932392710170489</v>
      </c>
      <c r="BO372">
        <f t="shared" si="28"/>
        <v>572.4</v>
      </c>
    </row>
    <row r="373" spans="1:67" x14ac:dyDescent="0.25">
      <c r="A373" t="s">
        <v>660</v>
      </c>
      <c r="B373" t="s">
        <v>267</v>
      </c>
      <c r="C373" t="s">
        <v>79</v>
      </c>
      <c r="D373" t="s">
        <v>51</v>
      </c>
      <c r="E373">
        <v>30</v>
      </c>
      <c r="F373" t="s">
        <v>322</v>
      </c>
      <c r="G373" t="s">
        <v>101</v>
      </c>
      <c r="H373" t="s">
        <v>102</v>
      </c>
      <c r="I373" t="s">
        <v>103</v>
      </c>
      <c r="J373" t="s">
        <v>104</v>
      </c>
      <c r="K373" t="s">
        <v>105</v>
      </c>
      <c r="L373" t="s">
        <v>86</v>
      </c>
      <c r="M373" t="s">
        <v>207</v>
      </c>
      <c r="N373" t="s">
        <v>162</v>
      </c>
      <c r="O373" t="s">
        <v>61</v>
      </c>
      <c r="P373" s="1">
        <v>43858</v>
      </c>
      <c r="Q373">
        <v>4.3</v>
      </c>
      <c r="R373" t="s">
        <v>129</v>
      </c>
      <c r="S373" t="s">
        <v>196</v>
      </c>
      <c r="T373" t="s">
        <v>197</v>
      </c>
      <c r="U373">
        <v>0</v>
      </c>
      <c r="V373">
        <v>0</v>
      </c>
      <c r="W373" s="2">
        <v>2980</v>
      </c>
      <c r="X373" s="2">
        <v>951</v>
      </c>
      <c r="Y373" s="2">
        <v>422</v>
      </c>
      <c r="Z373" s="2">
        <v>4353</v>
      </c>
      <c r="AA373">
        <v>341</v>
      </c>
      <c r="AB373" t="s">
        <v>151</v>
      </c>
      <c r="AC373">
        <v>20.100000000000001</v>
      </c>
      <c r="AD373">
        <v>22</v>
      </c>
      <c r="AE373">
        <v>57</v>
      </c>
      <c r="AF373" t="s">
        <v>112</v>
      </c>
      <c r="AG373">
        <v>22</v>
      </c>
      <c r="AH373" t="s">
        <v>113</v>
      </c>
      <c r="AI373" t="s">
        <v>114</v>
      </c>
      <c r="AJ373" t="s">
        <v>72</v>
      </c>
      <c r="AK373" t="s">
        <v>70</v>
      </c>
      <c r="AL373" t="s">
        <v>71</v>
      </c>
      <c r="AM373" t="s">
        <v>70</v>
      </c>
      <c r="AN373" t="s">
        <v>231</v>
      </c>
      <c r="AO373" t="s">
        <v>203</v>
      </c>
      <c r="AP373" t="s">
        <v>72</v>
      </c>
      <c r="AQ373" t="s">
        <v>136</v>
      </c>
      <c r="AR373" s="1">
        <v>45497</v>
      </c>
      <c r="AS373" t="s">
        <v>75</v>
      </c>
      <c r="AT373" t="s">
        <v>71</v>
      </c>
      <c r="AU373">
        <v>266</v>
      </c>
      <c r="AV373" t="s">
        <v>76</v>
      </c>
      <c r="AW373" s="3">
        <v>52236</v>
      </c>
      <c r="AX373" t="s">
        <v>803</v>
      </c>
      <c r="AY373" t="s">
        <v>122</v>
      </c>
      <c r="AZ373" t="s">
        <v>76</v>
      </c>
      <c r="BA373" t="s">
        <v>800</v>
      </c>
      <c r="BB373" t="s">
        <v>801</v>
      </c>
      <c r="BC373" t="s">
        <v>802</v>
      </c>
      <c r="BD373" s="3">
        <v>7.8336779232713066E-2</v>
      </c>
      <c r="BE373">
        <v>395.4</v>
      </c>
      <c r="BG373" s="2">
        <f t="shared" si="24"/>
        <v>52236</v>
      </c>
      <c r="BH373" t="str" cm="1">
        <f t="array" ref="BH373">_xlfn.IFS(Q373&lt;5,"0-5 Years",Q373&lt;10,"5-10 Years",Q373&lt;15,"10-15 Years",TRUE,"15+ Years")</f>
        <v>0-5 Years</v>
      </c>
      <c r="BI373" t="str" cm="1">
        <f t="array" ref="BI373">_xlfn.IFS(AA373&gt;=540,"A",AA373&gt;=480,"B",AA373&gt;=420,"C",AA373&gt;=360,"D",TRUE,"F")</f>
        <v>F</v>
      </c>
      <c r="BJ373" t="str" cm="1">
        <f t="array" ref="BJ373">_xlfn.IFS(AU373&lt;0,"Separated",AU373&lt;=90,"High Risk",AU373&lt;=180,"Medium Risk",TRUE,"Retained")</f>
        <v>Retained</v>
      </c>
      <c r="BK373" t="str" cm="1">
        <f t="array" ref="BK373">_xlfn.IFS(V373=0,"No Combat",V373=1,"1 Tour",V373=2,"2 Tours",TRUE,"3+ Tours")</f>
        <v>No Combat</v>
      </c>
      <c r="BL373" t="str">
        <f t="shared" si="25"/>
        <v>Standard</v>
      </c>
      <c r="BM373" t="str">
        <f t="shared" si="26"/>
        <v>Not Ready</v>
      </c>
      <c r="BN373" s="3">
        <f t="shared" si="27"/>
        <v>7.8336779232713066E-2</v>
      </c>
      <c r="BO373">
        <f t="shared" si="28"/>
        <v>395.4</v>
      </c>
    </row>
    <row r="374" spans="1:67" x14ac:dyDescent="0.25">
      <c r="A374" t="s">
        <v>661</v>
      </c>
      <c r="B374" t="s">
        <v>377</v>
      </c>
      <c r="C374" t="s">
        <v>206</v>
      </c>
      <c r="D374" t="s">
        <v>122</v>
      </c>
      <c r="E374">
        <v>39</v>
      </c>
      <c r="F374" t="s">
        <v>141</v>
      </c>
      <c r="G374" t="s">
        <v>169</v>
      </c>
      <c r="H374" t="s">
        <v>170</v>
      </c>
      <c r="I374" t="s">
        <v>158</v>
      </c>
      <c r="J374" t="s">
        <v>159</v>
      </c>
      <c r="K374" t="s">
        <v>160</v>
      </c>
      <c r="L374" t="s">
        <v>174</v>
      </c>
      <c r="M374" t="s">
        <v>147</v>
      </c>
      <c r="N374" t="s">
        <v>128</v>
      </c>
      <c r="O374" t="s">
        <v>149</v>
      </c>
      <c r="P374" s="1">
        <v>38379</v>
      </c>
      <c r="Q374">
        <v>19.3</v>
      </c>
      <c r="R374" t="s">
        <v>75</v>
      </c>
      <c r="S374" t="s">
        <v>91</v>
      </c>
      <c r="T374" t="s">
        <v>92</v>
      </c>
      <c r="U374">
        <v>2</v>
      </c>
      <c r="V374">
        <v>0</v>
      </c>
      <c r="W374" s="2">
        <v>3294</v>
      </c>
      <c r="X374" s="2">
        <v>0</v>
      </c>
      <c r="Y374" s="2">
        <v>422</v>
      </c>
      <c r="Z374" s="2">
        <v>3716</v>
      </c>
      <c r="AA374">
        <v>424</v>
      </c>
      <c r="AB374" t="s">
        <v>65</v>
      </c>
      <c r="AC374">
        <v>18.5</v>
      </c>
      <c r="AD374">
        <v>22</v>
      </c>
      <c r="AE374">
        <v>56</v>
      </c>
      <c r="AF374" t="s">
        <v>132</v>
      </c>
      <c r="AG374">
        <v>36</v>
      </c>
      <c r="AH374" t="s">
        <v>94</v>
      </c>
      <c r="AI374" t="s">
        <v>95</v>
      </c>
      <c r="AJ374" t="s">
        <v>188</v>
      </c>
      <c r="AK374" t="s">
        <v>70</v>
      </c>
      <c r="AL374" t="s">
        <v>71</v>
      </c>
      <c r="AM374" t="s">
        <v>70</v>
      </c>
      <c r="AN374" t="s">
        <v>115</v>
      </c>
      <c r="AO374" t="s">
        <v>116</v>
      </c>
      <c r="AP374" t="s">
        <v>72</v>
      </c>
      <c r="AQ374" t="s">
        <v>117</v>
      </c>
      <c r="AR374" s="1">
        <v>42293</v>
      </c>
      <c r="AS374" t="s">
        <v>198</v>
      </c>
      <c r="AT374" t="s">
        <v>71</v>
      </c>
      <c r="AU374">
        <v>710</v>
      </c>
      <c r="AV374" t="s">
        <v>76</v>
      </c>
      <c r="AW374" s="3">
        <v>44592</v>
      </c>
      <c r="AX374" t="s">
        <v>798</v>
      </c>
      <c r="AY374" t="s">
        <v>804</v>
      </c>
      <c r="AZ374" t="s">
        <v>76</v>
      </c>
      <c r="BA374" t="s">
        <v>800</v>
      </c>
      <c r="BB374" t="s">
        <v>801</v>
      </c>
      <c r="BC374" t="s">
        <v>802</v>
      </c>
      <c r="BD374" s="3">
        <v>0.11410118406889128</v>
      </c>
      <c r="BE374">
        <v>506.4</v>
      </c>
      <c r="BG374" s="2">
        <f t="shared" si="24"/>
        <v>44592</v>
      </c>
      <c r="BH374" t="str" cm="1">
        <f t="array" ref="BH374">_xlfn.IFS(Q374&lt;5,"0-5 Years",Q374&lt;10,"5-10 Years",Q374&lt;15,"10-15 Years",TRUE,"15+ Years")</f>
        <v>15+ Years</v>
      </c>
      <c r="BI374" t="str" cm="1">
        <f t="array" ref="BI374">_xlfn.IFS(AA374&gt;=540,"A",AA374&gt;=480,"B",AA374&gt;=420,"C",AA374&gt;=360,"D",TRUE,"F")</f>
        <v>C</v>
      </c>
      <c r="BJ374" t="str" cm="1">
        <f t="array" ref="BJ374">_xlfn.IFS(AU374&lt;0,"Separated",AU374&lt;=90,"High Risk",AU374&lt;=180,"Medium Risk",TRUE,"Retained")</f>
        <v>Retained</v>
      </c>
      <c r="BK374" t="str" cm="1">
        <f t="array" ref="BK374">_xlfn.IFS(V374=0,"No Combat",V374=1,"1 Tour",V374=2,"2 Tours",TRUE,"3+ Tours")</f>
        <v>No Combat</v>
      </c>
      <c r="BL374" t="str">
        <f t="shared" si="25"/>
        <v>Standard</v>
      </c>
      <c r="BM374" t="str">
        <f t="shared" si="26"/>
        <v>Not Ready</v>
      </c>
      <c r="BN374" s="3">
        <f t="shared" si="27"/>
        <v>0.11410118406889128</v>
      </c>
      <c r="BO374">
        <f t="shared" si="28"/>
        <v>506.4</v>
      </c>
    </row>
    <row r="375" spans="1:67" x14ac:dyDescent="0.25">
      <c r="A375" t="s">
        <v>662</v>
      </c>
      <c r="B375" t="s">
        <v>277</v>
      </c>
      <c r="C375" t="s">
        <v>182</v>
      </c>
      <c r="D375" t="s">
        <v>51</v>
      </c>
      <c r="E375">
        <v>45</v>
      </c>
      <c r="F375" t="s">
        <v>52</v>
      </c>
      <c r="G375" t="s">
        <v>142</v>
      </c>
      <c r="H375" t="s">
        <v>143</v>
      </c>
      <c r="I375" t="s">
        <v>253</v>
      </c>
      <c r="J375" t="s">
        <v>254</v>
      </c>
      <c r="K375" t="s">
        <v>255</v>
      </c>
      <c r="L375" t="s">
        <v>126</v>
      </c>
      <c r="M375" t="s">
        <v>161</v>
      </c>
      <c r="N375" t="s">
        <v>108</v>
      </c>
      <c r="O375" t="s">
        <v>109</v>
      </c>
      <c r="P375" s="1">
        <v>39301</v>
      </c>
      <c r="Q375">
        <v>16.8</v>
      </c>
      <c r="R375" t="s">
        <v>150</v>
      </c>
      <c r="S375" t="s">
        <v>130</v>
      </c>
      <c r="T375" t="s">
        <v>131</v>
      </c>
      <c r="U375">
        <v>14</v>
      </c>
      <c r="V375">
        <v>2</v>
      </c>
      <c r="W375" s="2">
        <v>5473</v>
      </c>
      <c r="X375" s="2">
        <v>0</v>
      </c>
      <c r="Y375" s="2">
        <v>422</v>
      </c>
      <c r="Z375" s="2">
        <v>5895</v>
      </c>
      <c r="AA375">
        <v>355</v>
      </c>
      <c r="AB375" t="s">
        <v>151</v>
      </c>
      <c r="AC375">
        <v>15.5</v>
      </c>
      <c r="AD375">
        <v>45</v>
      </c>
      <c r="AE375">
        <v>75</v>
      </c>
      <c r="AF375" t="s">
        <v>132</v>
      </c>
      <c r="AG375">
        <v>31</v>
      </c>
      <c r="AH375" t="s">
        <v>67</v>
      </c>
      <c r="AI375" t="s">
        <v>177</v>
      </c>
      <c r="AJ375" t="s">
        <v>96</v>
      </c>
      <c r="AK375" t="s">
        <v>70</v>
      </c>
      <c r="AL375" t="s">
        <v>70</v>
      </c>
      <c r="AM375" t="s">
        <v>70</v>
      </c>
      <c r="AN375" t="s">
        <v>72</v>
      </c>
      <c r="AO375" t="s">
        <v>116</v>
      </c>
      <c r="AP375" t="s">
        <v>72</v>
      </c>
      <c r="AQ375" t="s">
        <v>98</v>
      </c>
      <c r="AR375" s="1">
        <v>41684</v>
      </c>
      <c r="AS375" t="s">
        <v>75</v>
      </c>
      <c r="AT375" t="s">
        <v>71</v>
      </c>
      <c r="AU375">
        <v>1184</v>
      </c>
      <c r="AV375" t="s">
        <v>76</v>
      </c>
      <c r="AW375" s="3">
        <v>70740</v>
      </c>
      <c r="AX375" t="s">
        <v>798</v>
      </c>
      <c r="AY375" t="s">
        <v>122</v>
      </c>
      <c r="AZ375" t="s">
        <v>76</v>
      </c>
      <c r="BA375" t="s">
        <v>811</v>
      </c>
      <c r="BB375" t="s">
        <v>801</v>
      </c>
      <c r="BC375" t="s">
        <v>802</v>
      </c>
      <c r="BD375" s="3">
        <v>6.0220525869380828E-2</v>
      </c>
      <c r="BE375">
        <v>417.4</v>
      </c>
      <c r="BG375" s="2">
        <f t="shared" si="24"/>
        <v>70740</v>
      </c>
      <c r="BH375" t="str" cm="1">
        <f t="array" ref="BH375">_xlfn.IFS(Q375&lt;5,"0-5 Years",Q375&lt;10,"5-10 Years",Q375&lt;15,"10-15 Years",TRUE,"15+ Years")</f>
        <v>15+ Years</v>
      </c>
      <c r="BI375" t="str" cm="1">
        <f t="array" ref="BI375">_xlfn.IFS(AA375&gt;=540,"A",AA375&gt;=480,"B",AA375&gt;=420,"C",AA375&gt;=360,"D",TRUE,"F")</f>
        <v>F</v>
      </c>
      <c r="BJ375" t="str" cm="1">
        <f t="array" ref="BJ375">_xlfn.IFS(AU375&lt;0,"Separated",AU375&lt;=90,"High Risk",AU375&lt;=180,"Medium Risk",TRUE,"Retained")</f>
        <v>Retained</v>
      </c>
      <c r="BK375" t="str" cm="1">
        <f t="array" ref="BK375">_xlfn.IFS(V375=0,"No Combat",V375=1,"1 Tour",V375=2,"2 Tours",TRUE,"3+ Tours")</f>
        <v>2 Tours</v>
      </c>
      <c r="BL375" t="str">
        <f t="shared" si="25"/>
        <v>Standard</v>
      </c>
      <c r="BM375" t="str">
        <f t="shared" si="26"/>
        <v>Not Ready</v>
      </c>
      <c r="BN375" s="3">
        <f t="shared" si="27"/>
        <v>6.0220525869380828E-2</v>
      </c>
      <c r="BO375">
        <f t="shared" si="28"/>
        <v>417.4</v>
      </c>
    </row>
    <row r="376" spans="1:67" x14ac:dyDescent="0.25">
      <c r="A376" t="s">
        <v>663</v>
      </c>
      <c r="B376" t="s">
        <v>229</v>
      </c>
      <c r="C376" t="s">
        <v>394</v>
      </c>
      <c r="D376" t="s">
        <v>122</v>
      </c>
      <c r="E376">
        <v>42</v>
      </c>
      <c r="F376" t="s">
        <v>382</v>
      </c>
      <c r="G376" t="s">
        <v>183</v>
      </c>
      <c r="H376" t="s">
        <v>184</v>
      </c>
      <c r="I376" t="s">
        <v>253</v>
      </c>
      <c r="J376" t="s">
        <v>254</v>
      </c>
      <c r="K376" t="s">
        <v>255</v>
      </c>
      <c r="L376" t="s">
        <v>86</v>
      </c>
      <c r="M376" t="s">
        <v>296</v>
      </c>
      <c r="N376" t="s">
        <v>88</v>
      </c>
      <c r="O376" t="s">
        <v>109</v>
      </c>
      <c r="P376" s="1">
        <v>44318</v>
      </c>
      <c r="Q376">
        <v>3.1</v>
      </c>
      <c r="R376" t="s">
        <v>62</v>
      </c>
      <c r="S376" t="s">
        <v>130</v>
      </c>
      <c r="T376" t="s">
        <v>131</v>
      </c>
      <c r="U376">
        <v>10</v>
      </c>
      <c r="V376">
        <v>1</v>
      </c>
      <c r="W376" s="2">
        <v>5696</v>
      </c>
      <c r="X376" s="2">
        <v>0</v>
      </c>
      <c r="Y376" s="2">
        <v>266</v>
      </c>
      <c r="Z376" s="2">
        <v>5962</v>
      </c>
      <c r="AA376">
        <v>583</v>
      </c>
      <c r="AB376" t="s">
        <v>65</v>
      </c>
      <c r="AC376">
        <v>15.1</v>
      </c>
      <c r="AD376">
        <v>46</v>
      </c>
      <c r="AE376">
        <v>44</v>
      </c>
      <c r="AF376" t="s">
        <v>93</v>
      </c>
      <c r="AG376">
        <v>33</v>
      </c>
      <c r="AH376" t="s">
        <v>67</v>
      </c>
      <c r="AI376" t="s">
        <v>68</v>
      </c>
      <c r="AJ376" t="s">
        <v>72</v>
      </c>
      <c r="AK376" t="s">
        <v>71</v>
      </c>
      <c r="AL376" t="s">
        <v>70</v>
      </c>
      <c r="AM376" t="s">
        <v>71</v>
      </c>
      <c r="AN376" t="s">
        <v>115</v>
      </c>
      <c r="AO376" t="s">
        <v>73</v>
      </c>
      <c r="AP376" t="s">
        <v>97</v>
      </c>
      <c r="AQ376" t="s">
        <v>117</v>
      </c>
      <c r="AR376" s="1">
        <v>44628</v>
      </c>
      <c r="AS376" t="s">
        <v>137</v>
      </c>
      <c r="AT376" t="s">
        <v>71</v>
      </c>
      <c r="AU376">
        <v>983</v>
      </c>
      <c r="AV376" t="s">
        <v>76</v>
      </c>
      <c r="AW376" s="3">
        <v>71544</v>
      </c>
      <c r="AX376" t="s">
        <v>803</v>
      </c>
      <c r="AY376" t="s">
        <v>799</v>
      </c>
      <c r="AZ376" t="s">
        <v>76</v>
      </c>
      <c r="BA376" t="s">
        <v>807</v>
      </c>
      <c r="BB376" t="s">
        <v>801</v>
      </c>
      <c r="BC376" t="s">
        <v>802</v>
      </c>
      <c r="BD376" s="3">
        <v>9.7785977859778592E-2</v>
      </c>
      <c r="BE376">
        <v>679.4</v>
      </c>
      <c r="BG376" s="2">
        <f t="shared" si="24"/>
        <v>71544</v>
      </c>
      <c r="BH376" t="str" cm="1">
        <f t="array" ref="BH376">_xlfn.IFS(Q376&lt;5,"0-5 Years",Q376&lt;10,"5-10 Years",Q376&lt;15,"10-15 Years",TRUE,"15+ Years")</f>
        <v>0-5 Years</v>
      </c>
      <c r="BI376" t="str" cm="1">
        <f t="array" ref="BI376">_xlfn.IFS(AA376&gt;=540,"A",AA376&gt;=480,"B",AA376&gt;=420,"C",AA376&gt;=360,"D",TRUE,"F")</f>
        <v>A</v>
      </c>
      <c r="BJ376" t="str" cm="1">
        <f t="array" ref="BJ376">_xlfn.IFS(AU376&lt;0,"Separated",AU376&lt;=90,"High Risk",AU376&lt;=180,"Medium Risk",TRUE,"Retained")</f>
        <v>Retained</v>
      </c>
      <c r="BK376" t="str" cm="1">
        <f t="array" ref="BK376">_xlfn.IFS(V376=0,"No Combat",V376=1,"1 Tour",V376=2,"2 Tours",TRUE,"3+ Tours")</f>
        <v>1 Tour</v>
      </c>
      <c r="BL376" t="str">
        <f t="shared" si="25"/>
        <v>Standard</v>
      </c>
      <c r="BM376" t="str">
        <f t="shared" si="26"/>
        <v>Not Ready</v>
      </c>
      <c r="BN376" s="3">
        <f t="shared" si="27"/>
        <v>9.7785977859778592E-2</v>
      </c>
      <c r="BO376">
        <f t="shared" si="28"/>
        <v>679.4</v>
      </c>
    </row>
    <row r="377" spans="1:67" x14ac:dyDescent="0.25">
      <c r="A377" t="s">
        <v>664</v>
      </c>
      <c r="B377" t="s">
        <v>245</v>
      </c>
      <c r="C377" t="s">
        <v>264</v>
      </c>
      <c r="D377" t="s">
        <v>51</v>
      </c>
      <c r="E377">
        <v>19</v>
      </c>
      <c r="F377" t="s">
        <v>80</v>
      </c>
      <c r="G377" t="s">
        <v>156</v>
      </c>
      <c r="H377" t="s">
        <v>157</v>
      </c>
      <c r="I377" t="s">
        <v>144</v>
      </c>
      <c r="J377" t="s">
        <v>145</v>
      </c>
      <c r="K377" t="s">
        <v>146</v>
      </c>
      <c r="L377" t="s">
        <v>106</v>
      </c>
      <c r="M377" t="s">
        <v>107</v>
      </c>
      <c r="N377" t="s">
        <v>88</v>
      </c>
      <c r="O377" t="s">
        <v>149</v>
      </c>
      <c r="P377" s="1">
        <v>41415</v>
      </c>
      <c r="Q377">
        <v>11</v>
      </c>
      <c r="R377" t="s">
        <v>195</v>
      </c>
      <c r="S377" t="s">
        <v>110</v>
      </c>
      <c r="T377" t="s">
        <v>111</v>
      </c>
      <c r="U377">
        <v>13</v>
      </c>
      <c r="V377">
        <v>2</v>
      </c>
      <c r="W377" s="2">
        <v>4836</v>
      </c>
      <c r="X377" s="2">
        <v>0</v>
      </c>
      <c r="Y377" s="2">
        <v>266</v>
      </c>
      <c r="Z377" s="2">
        <v>5102</v>
      </c>
      <c r="AA377">
        <v>559</v>
      </c>
      <c r="AB377" t="s">
        <v>65</v>
      </c>
      <c r="AC377">
        <v>20.5</v>
      </c>
      <c r="AD377">
        <v>22</v>
      </c>
      <c r="AE377">
        <v>31</v>
      </c>
      <c r="AF377" t="s">
        <v>66</v>
      </c>
      <c r="AG377">
        <v>32</v>
      </c>
      <c r="AH377" t="s">
        <v>67</v>
      </c>
      <c r="AI377" t="s">
        <v>177</v>
      </c>
      <c r="AJ377" t="s">
        <v>96</v>
      </c>
      <c r="AK377" t="s">
        <v>71</v>
      </c>
      <c r="AL377" t="s">
        <v>71</v>
      </c>
      <c r="AM377" t="s">
        <v>70</v>
      </c>
      <c r="AN377" t="s">
        <v>202</v>
      </c>
      <c r="AO377" t="s">
        <v>227</v>
      </c>
      <c r="AP377" t="s">
        <v>135</v>
      </c>
      <c r="AQ377" t="s">
        <v>98</v>
      </c>
      <c r="AR377" s="1">
        <v>43486</v>
      </c>
      <c r="AS377" t="s">
        <v>198</v>
      </c>
      <c r="AT377" t="s">
        <v>71</v>
      </c>
      <c r="AU377">
        <v>-153</v>
      </c>
      <c r="AV377" t="s">
        <v>179</v>
      </c>
      <c r="AW377" s="3">
        <v>61224</v>
      </c>
      <c r="AX377" t="s">
        <v>805</v>
      </c>
      <c r="AY377" t="s">
        <v>799</v>
      </c>
      <c r="AZ377" t="s">
        <v>810</v>
      </c>
      <c r="BA377" t="s">
        <v>811</v>
      </c>
      <c r="BB377" t="s">
        <v>801</v>
      </c>
      <c r="BC377" t="s">
        <v>802</v>
      </c>
      <c r="BD377" s="3">
        <v>0.10956487651901216</v>
      </c>
      <c r="BE377">
        <v>643.4</v>
      </c>
      <c r="BG377" s="2">
        <f t="shared" si="24"/>
        <v>61224</v>
      </c>
      <c r="BH377" t="str" cm="1">
        <f t="array" ref="BH377">_xlfn.IFS(Q377&lt;5,"0-5 Years",Q377&lt;10,"5-10 Years",Q377&lt;15,"10-15 Years",TRUE,"15+ Years")</f>
        <v>10-15 Years</v>
      </c>
      <c r="BI377" t="str" cm="1">
        <f t="array" ref="BI377">_xlfn.IFS(AA377&gt;=540,"A",AA377&gt;=480,"B",AA377&gt;=420,"C",AA377&gt;=360,"D",TRUE,"F")</f>
        <v>A</v>
      </c>
      <c r="BJ377" t="str" cm="1">
        <f t="array" ref="BJ377">_xlfn.IFS(AU377&lt;0,"Separated",AU377&lt;=90,"High Risk",AU377&lt;=180,"Medium Risk",TRUE,"Retained")</f>
        <v>Separated</v>
      </c>
      <c r="BK377" t="str" cm="1">
        <f t="array" ref="BK377">_xlfn.IFS(V377=0,"No Combat",V377=1,"1 Tour",V377=2,"2 Tours",TRUE,"3+ Tours")</f>
        <v>2 Tours</v>
      </c>
      <c r="BL377" t="str">
        <f t="shared" si="25"/>
        <v>Standard</v>
      </c>
      <c r="BM377" t="str">
        <f t="shared" si="26"/>
        <v>Not Ready</v>
      </c>
      <c r="BN377" s="3">
        <f t="shared" si="27"/>
        <v>0.10956487651901216</v>
      </c>
      <c r="BO377">
        <f t="shared" si="28"/>
        <v>643.4</v>
      </c>
    </row>
    <row r="378" spans="1:67" x14ac:dyDescent="0.25">
      <c r="A378" t="s">
        <v>665</v>
      </c>
      <c r="B378" t="s">
        <v>190</v>
      </c>
      <c r="C378" t="s">
        <v>79</v>
      </c>
      <c r="D378" t="s">
        <v>51</v>
      </c>
      <c r="E378">
        <v>33</v>
      </c>
      <c r="F378" t="s">
        <v>291</v>
      </c>
      <c r="G378" t="s">
        <v>183</v>
      </c>
      <c r="H378" t="s">
        <v>184</v>
      </c>
      <c r="I378" t="s">
        <v>268</v>
      </c>
      <c r="J378" t="s">
        <v>269</v>
      </c>
      <c r="K378" t="s">
        <v>173</v>
      </c>
      <c r="L378" t="s">
        <v>174</v>
      </c>
      <c r="M378" t="s">
        <v>59</v>
      </c>
      <c r="N378" t="s">
        <v>128</v>
      </c>
      <c r="O378" t="s">
        <v>61</v>
      </c>
      <c r="P378" s="1">
        <v>43308</v>
      </c>
      <c r="Q378">
        <v>5.8</v>
      </c>
      <c r="R378" t="s">
        <v>75</v>
      </c>
      <c r="S378" t="s">
        <v>130</v>
      </c>
      <c r="T378" t="s">
        <v>131</v>
      </c>
      <c r="U378">
        <v>3</v>
      </c>
      <c r="V378">
        <v>0</v>
      </c>
      <c r="W378" s="2">
        <v>5696</v>
      </c>
      <c r="X378" s="2">
        <v>2004</v>
      </c>
      <c r="Y378" s="2">
        <v>266</v>
      </c>
      <c r="Z378" s="2">
        <v>7966</v>
      </c>
      <c r="AA378">
        <v>455</v>
      </c>
      <c r="AB378" t="s">
        <v>65</v>
      </c>
      <c r="AC378">
        <v>14.2</v>
      </c>
      <c r="AD378">
        <v>58</v>
      </c>
      <c r="AE378">
        <v>49</v>
      </c>
      <c r="AF378" t="s">
        <v>132</v>
      </c>
      <c r="AG378">
        <v>32</v>
      </c>
      <c r="AH378" t="s">
        <v>67</v>
      </c>
      <c r="AI378" t="s">
        <v>68</v>
      </c>
      <c r="AJ378" t="s">
        <v>188</v>
      </c>
      <c r="AK378" t="s">
        <v>71</v>
      </c>
      <c r="AL378" t="s">
        <v>70</v>
      </c>
      <c r="AM378" t="s">
        <v>70</v>
      </c>
      <c r="AN378" t="s">
        <v>72</v>
      </c>
      <c r="AO378" t="s">
        <v>72</v>
      </c>
      <c r="AP378" t="s">
        <v>72</v>
      </c>
      <c r="AQ378" t="s">
        <v>117</v>
      </c>
      <c r="AR378" s="1">
        <v>44765</v>
      </c>
      <c r="AS378" t="s">
        <v>198</v>
      </c>
      <c r="AT378" t="s">
        <v>71</v>
      </c>
      <c r="AU378">
        <v>1797</v>
      </c>
      <c r="AV378" t="s">
        <v>76</v>
      </c>
      <c r="AW378" s="3">
        <v>95592</v>
      </c>
      <c r="AX378" t="s">
        <v>808</v>
      </c>
      <c r="AY378" t="s">
        <v>804</v>
      </c>
      <c r="AZ378" t="s">
        <v>76</v>
      </c>
      <c r="BA378" t="s">
        <v>800</v>
      </c>
      <c r="BB378" t="s">
        <v>801</v>
      </c>
      <c r="BC378" t="s">
        <v>802</v>
      </c>
      <c r="BD378" s="3">
        <v>5.7117750439367308E-2</v>
      </c>
      <c r="BE378">
        <v>529.4</v>
      </c>
      <c r="BG378" s="2">
        <f t="shared" si="24"/>
        <v>95592</v>
      </c>
      <c r="BH378" t="str" cm="1">
        <f t="array" ref="BH378">_xlfn.IFS(Q378&lt;5,"0-5 Years",Q378&lt;10,"5-10 Years",Q378&lt;15,"10-15 Years",TRUE,"15+ Years")</f>
        <v>5-10 Years</v>
      </c>
      <c r="BI378" t="str" cm="1">
        <f t="array" ref="BI378">_xlfn.IFS(AA378&gt;=540,"A",AA378&gt;=480,"B",AA378&gt;=420,"C",AA378&gt;=360,"D",TRUE,"F")</f>
        <v>C</v>
      </c>
      <c r="BJ378" t="str" cm="1">
        <f t="array" ref="BJ378">_xlfn.IFS(AU378&lt;0,"Separated",AU378&lt;=90,"High Risk",AU378&lt;=180,"Medium Risk",TRUE,"Retained")</f>
        <v>Retained</v>
      </c>
      <c r="BK378" t="str" cm="1">
        <f t="array" ref="BK378">_xlfn.IFS(V378=0,"No Combat",V378=1,"1 Tour",V378=2,"2 Tours",TRUE,"3+ Tours")</f>
        <v>No Combat</v>
      </c>
      <c r="BL378" t="str">
        <f t="shared" si="25"/>
        <v>Standard</v>
      </c>
      <c r="BM378" t="str">
        <f t="shared" si="26"/>
        <v>Not Ready</v>
      </c>
      <c r="BN378" s="3">
        <f t="shared" si="27"/>
        <v>5.7117750439367308E-2</v>
      </c>
      <c r="BO378">
        <f t="shared" si="28"/>
        <v>529.4</v>
      </c>
    </row>
    <row r="379" spans="1:67" x14ac:dyDescent="0.25">
      <c r="A379" t="s">
        <v>666</v>
      </c>
      <c r="B379" t="s">
        <v>154</v>
      </c>
      <c r="C379" t="s">
        <v>167</v>
      </c>
      <c r="D379" t="s">
        <v>51</v>
      </c>
      <c r="E379">
        <v>21</v>
      </c>
      <c r="F379" t="s">
        <v>168</v>
      </c>
      <c r="G379" t="s">
        <v>53</v>
      </c>
      <c r="H379" t="s">
        <v>54</v>
      </c>
      <c r="I379" t="s">
        <v>253</v>
      </c>
      <c r="J379" t="s">
        <v>254</v>
      </c>
      <c r="K379" t="s">
        <v>255</v>
      </c>
      <c r="L379" t="s">
        <v>174</v>
      </c>
      <c r="M379" t="s">
        <v>249</v>
      </c>
      <c r="N379" t="s">
        <v>265</v>
      </c>
      <c r="O379" t="s">
        <v>109</v>
      </c>
      <c r="P379" s="1">
        <v>41406</v>
      </c>
      <c r="Q379">
        <v>11.1</v>
      </c>
      <c r="R379" t="s">
        <v>129</v>
      </c>
      <c r="S379" t="s">
        <v>196</v>
      </c>
      <c r="T379" t="s">
        <v>197</v>
      </c>
      <c r="U379">
        <v>0</v>
      </c>
      <c r="V379">
        <v>0</v>
      </c>
      <c r="W379" s="2">
        <v>4739</v>
      </c>
      <c r="X379" s="2">
        <v>0</v>
      </c>
      <c r="Y379" s="2">
        <v>422</v>
      </c>
      <c r="Z379" s="2">
        <v>5161</v>
      </c>
      <c r="AA379">
        <v>493</v>
      </c>
      <c r="AB379" t="s">
        <v>65</v>
      </c>
      <c r="AC379">
        <v>16.3</v>
      </c>
      <c r="AD379">
        <v>56</v>
      </c>
      <c r="AE379">
        <v>31</v>
      </c>
      <c r="AF379" t="s">
        <v>93</v>
      </c>
      <c r="AG379">
        <v>30</v>
      </c>
      <c r="AH379" t="s">
        <v>67</v>
      </c>
      <c r="AI379" t="s">
        <v>114</v>
      </c>
      <c r="AJ379" t="s">
        <v>96</v>
      </c>
      <c r="AK379" t="s">
        <v>70</v>
      </c>
      <c r="AL379" t="s">
        <v>71</v>
      </c>
      <c r="AM379" t="s">
        <v>71</v>
      </c>
      <c r="AN379" t="s">
        <v>231</v>
      </c>
      <c r="AO379" t="s">
        <v>221</v>
      </c>
      <c r="AP379" t="s">
        <v>72</v>
      </c>
      <c r="AQ379" t="s">
        <v>136</v>
      </c>
      <c r="AR379" s="1">
        <v>43322</v>
      </c>
      <c r="AS379" t="s">
        <v>118</v>
      </c>
      <c r="AT379" t="s">
        <v>71</v>
      </c>
      <c r="AU379">
        <v>-157</v>
      </c>
      <c r="AV379" t="s">
        <v>179</v>
      </c>
      <c r="AW379" s="3">
        <v>61932</v>
      </c>
      <c r="AX379" t="s">
        <v>805</v>
      </c>
      <c r="AY379" t="s">
        <v>806</v>
      </c>
      <c r="AZ379" t="s">
        <v>810</v>
      </c>
      <c r="BA379" t="s">
        <v>800</v>
      </c>
      <c r="BB379" t="s">
        <v>801</v>
      </c>
      <c r="BC379" t="s">
        <v>802</v>
      </c>
      <c r="BD379" s="3">
        <v>9.5524123231931796E-2</v>
      </c>
      <c r="BE379">
        <v>583.4</v>
      </c>
      <c r="BG379" s="2">
        <f t="shared" si="24"/>
        <v>61932</v>
      </c>
      <c r="BH379" t="str" cm="1">
        <f t="array" ref="BH379">_xlfn.IFS(Q379&lt;5,"0-5 Years",Q379&lt;10,"5-10 Years",Q379&lt;15,"10-15 Years",TRUE,"15+ Years")</f>
        <v>10-15 Years</v>
      </c>
      <c r="BI379" t="str" cm="1">
        <f t="array" ref="BI379">_xlfn.IFS(AA379&gt;=540,"A",AA379&gt;=480,"B",AA379&gt;=420,"C",AA379&gt;=360,"D",TRUE,"F")</f>
        <v>B</v>
      </c>
      <c r="BJ379" t="str" cm="1">
        <f t="array" ref="BJ379">_xlfn.IFS(AU379&lt;0,"Separated",AU379&lt;=90,"High Risk",AU379&lt;=180,"Medium Risk",TRUE,"Retained")</f>
        <v>Separated</v>
      </c>
      <c r="BK379" t="str" cm="1">
        <f t="array" ref="BK379">_xlfn.IFS(V379=0,"No Combat",V379=1,"1 Tour",V379=2,"2 Tours",TRUE,"3+ Tours")</f>
        <v>No Combat</v>
      </c>
      <c r="BL379" t="str">
        <f t="shared" si="25"/>
        <v>Standard</v>
      </c>
      <c r="BM379" t="str">
        <f t="shared" si="26"/>
        <v>Not Ready</v>
      </c>
      <c r="BN379" s="3">
        <f t="shared" si="27"/>
        <v>9.5524123231931796E-2</v>
      </c>
      <c r="BO379">
        <f t="shared" si="28"/>
        <v>583.4</v>
      </c>
    </row>
    <row r="380" spans="1:67" x14ac:dyDescent="0.25">
      <c r="A380" t="s">
        <v>667</v>
      </c>
      <c r="B380" t="s">
        <v>100</v>
      </c>
      <c r="C380" t="s">
        <v>375</v>
      </c>
      <c r="D380" t="s">
        <v>51</v>
      </c>
      <c r="E380">
        <v>28</v>
      </c>
      <c r="F380" t="s">
        <v>322</v>
      </c>
      <c r="G380" t="s">
        <v>285</v>
      </c>
      <c r="H380" t="s">
        <v>286</v>
      </c>
      <c r="I380" t="s">
        <v>103</v>
      </c>
      <c r="J380" t="s">
        <v>104</v>
      </c>
      <c r="K380" t="s">
        <v>105</v>
      </c>
      <c r="L380" t="s">
        <v>106</v>
      </c>
      <c r="M380" t="s">
        <v>87</v>
      </c>
      <c r="N380" t="s">
        <v>128</v>
      </c>
      <c r="O380" t="s">
        <v>149</v>
      </c>
      <c r="P380" s="1">
        <v>38835</v>
      </c>
      <c r="Q380">
        <v>18.100000000000001</v>
      </c>
      <c r="R380" t="s">
        <v>195</v>
      </c>
      <c r="S380" t="s">
        <v>196</v>
      </c>
      <c r="T380" t="s">
        <v>197</v>
      </c>
      <c r="U380">
        <v>0</v>
      </c>
      <c r="V380">
        <v>0</v>
      </c>
      <c r="W380" s="2">
        <v>7668</v>
      </c>
      <c r="X380" s="2">
        <v>1810</v>
      </c>
      <c r="Y380" s="2">
        <v>266</v>
      </c>
      <c r="Z380" s="2">
        <v>9744</v>
      </c>
      <c r="AA380">
        <v>367</v>
      </c>
      <c r="AB380" t="s">
        <v>65</v>
      </c>
      <c r="AC380">
        <v>16</v>
      </c>
      <c r="AD380">
        <v>67</v>
      </c>
      <c r="AE380">
        <v>51</v>
      </c>
      <c r="AF380" t="s">
        <v>66</v>
      </c>
      <c r="AG380">
        <v>26</v>
      </c>
      <c r="AH380" t="s">
        <v>113</v>
      </c>
      <c r="AI380" t="s">
        <v>68</v>
      </c>
      <c r="AJ380" t="s">
        <v>188</v>
      </c>
      <c r="AK380" t="s">
        <v>70</v>
      </c>
      <c r="AL380" t="s">
        <v>70</v>
      </c>
      <c r="AM380" t="s">
        <v>70</v>
      </c>
      <c r="AN380" t="s">
        <v>115</v>
      </c>
      <c r="AO380" t="s">
        <v>72</v>
      </c>
      <c r="AP380" t="s">
        <v>227</v>
      </c>
      <c r="AQ380" t="s">
        <v>136</v>
      </c>
      <c r="AR380" s="1">
        <v>43262</v>
      </c>
      <c r="AS380" t="s">
        <v>198</v>
      </c>
      <c r="AT380" t="s">
        <v>71</v>
      </c>
      <c r="AU380">
        <v>-167</v>
      </c>
      <c r="AV380" t="s">
        <v>179</v>
      </c>
      <c r="AW380" s="3">
        <v>116928</v>
      </c>
      <c r="AX380" t="s">
        <v>798</v>
      </c>
      <c r="AY380" t="s">
        <v>809</v>
      </c>
      <c r="AZ380" t="s">
        <v>810</v>
      </c>
      <c r="BA380" t="s">
        <v>800</v>
      </c>
      <c r="BB380" t="s">
        <v>801</v>
      </c>
      <c r="BC380" t="s">
        <v>802</v>
      </c>
      <c r="BD380" s="3">
        <v>3.7664203612479477E-2</v>
      </c>
      <c r="BE380">
        <v>419.4</v>
      </c>
      <c r="BG380" s="2">
        <f t="shared" si="24"/>
        <v>116928</v>
      </c>
      <c r="BH380" t="str" cm="1">
        <f t="array" ref="BH380">_xlfn.IFS(Q380&lt;5,"0-5 Years",Q380&lt;10,"5-10 Years",Q380&lt;15,"10-15 Years",TRUE,"15+ Years")</f>
        <v>15+ Years</v>
      </c>
      <c r="BI380" t="str" cm="1">
        <f t="array" ref="BI380">_xlfn.IFS(AA380&gt;=540,"A",AA380&gt;=480,"B",AA380&gt;=420,"C",AA380&gt;=360,"D",TRUE,"F")</f>
        <v>D</v>
      </c>
      <c r="BJ380" t="str" cm="1">
        <f t="array" ref="BJ380">_xlfn.IFS(AU380&lt;0,"Separated",AU380&lt;=90,"High Risk",AU380&lt;=180,"Medium Risk",TRUE,"Retained")</f>
        <v>Separated</v>
      </c>
      <c r="BK380" t="str" cm="1">
        <f t="array" ref="BK380">_xlfn.IFS(V380=0,"No Combat",V380=1,"1 Tour",V380=2,"2 Tours",TRUE,"3+ Tours")</f>
        <v>No Combat</v>
      </c>
      <c r="BL380" t="str">
        <f t="shared" si="25"/>
        <v>Standard</v>
      </c>
      <c r="BM380" t="str">
        <f t="shared" si="26"/>
        <v>Not Ready</v>
      </c>
      <c r="BN380" s="3">
        <f t="shared" si="27"/>
        <v>3.7664203612479477E-2</v>
      </c>
      <c r="BO380">
        <f t="shared" si="28"/>
        <v>419.4</v>
      </c>
    </row>
    <row r="381" spans="1:67" x14ac:dyDescent="0.25">
      <c r="A381" t="s">
        <v>668</v>
      </c>
      <c r="B381" t="s">
        <v>259</v>
      </c>
      <c r="C381" t="s">
        <v>257</v>
      </c>
      <c r="D381" t="s">
        <v>51</v>
      </c>
      <c r="E381">
        <v>41</v>
      </c>
      <c r="F381" t="s">
        <v>80</v>
      </c>
      <c r="G381" t="s">
        <v>156</v>
      </c>
      <c r="H381" t="s">
        <v>157</v>
      </c>
      <c r="I381" t="s">
        <v>273</v>
      </c>
      <c r="J381" t="s">
        <v>274</v>
      </c>
      <c r="K381" t="s">
        <v>57</v>
      </c>
      <c r="L381" t="s">
        <v>174</v>
      </c>
      <c r="M381" t="s">
        <v>275</v>
      </c>
      <c r="N381" t="s">
        <v>148</v>
      </c>
      <c r="O381" t="s">
        <v>89</v>
      </c>
      <c r="P381" s="1">
        <v>39714</v>
      </c>
      <c r="Q381">
        <v>15.7</v>
      </c>
      <c r="R381" t="s">
        <v>150</v>
      </c>
      <c r="S381" t="s">
        <v>130</v>
      </c>
      <c r="T381" t="s">
        <v>131</v>
      </c>
      <c r="U381">
        <v>14</v>
      </c>
      <c r="V381">
        <v>2</v>
      </c>
      <c r="W381" s="2">
        <v>4836</v>
      </c>
      <c r="X381" s="2">
        <v>0</v>
      </c>
      <c r="Y381" s="2">
        <v>266</v>
      </c>
      <c r="Z381" s="2">
        <v>5102</v>
      </c>
      <c r="AA381">
        <v>558</v>
      </c>
      <c r="AB381" t="s">
        <v>65</v>
      </c>
      <c r="AC381">
        <v>20</v>
      </c>
      <c r="AD381">
        <v>51</v>
      </c>
      <c r="AE381">
        <v>40</v>
      </c>
      <c r="AF381" t="s">
        <v>132</v>
      </c>
      <c r="AG381">
        <v>20</v>
      </c>
      <c r="AH381" t="s">
        <v>113</v>
      </c>
      <c r="AI381" t="s">
        <v>152</v>
      </c>
      <c r="AJ381" t="s">
        <v>96</v>
      </c>
      <c r="AK381" t="s">
        <v>71</v>
      </c>
      <c r="AL381" t="s">
        <v>70</v>
      </c>
      <c r="AM381" t="s">
        <v>70</v>
      </c>
      <c r="AN381" t="s">
        <v>243</v>
      </c>
      <c r="AO381" t="s">
        <v>72</v>
      </c>
      <c r="AP381" t="s">
        <v>227</v>
      </c>
      <c r="AQ381" t="s">
        <v>74</v>
      </c>
      <c r="AR381" s="1">
        <v>44066</v>
      </c>
      <c r="AS381" t="s">
        <v>75</v>
      </c>
      <c r="AT381" t="s">
        <v>71</v>
      </c>
      <c r="AU381">
        <v>179</v>
      </c>
      <c r="AV381" t="s">
        <v>179</v>
      </c>
      <c r="AW381" s="3">
        <v>61224</v>
      </c>
      <c r="AX381" t="s">
        <v>798</v>
      </c>
      <c r="AY381" t="s">
        <v>799</v>
      </c>
      <c r="AZ381" t="s">
        <v>815</v>
      </c>
      <c r="BA381" t="s">
        <v>811</v>
      </c>
      <c r="BB381" t="s">
        <v>801</v>
      </c>
      <c r="BC381" t="s">
        <v>802</v>
      </c>
      <c r="BD381" s="3">
        <v>0.1093688749509996</v>
      </c>
      <c r="BE381">
        <v>608.4</v>
      </c>
      <c r="BG381" s="2">
        <f t="shared" si="24"/>
        <v>61224</v>
      </c>
      <c r="BH381" t="str" cm="1">
        <f t="array" ref="BH381">_xlfn.IFS(Q381&lt;5,"0-5 Years",Q381&lt;10,"5-10 Years",Q381&lt;15,"10-15 Years",TRUE,"15+ Years")</f>
        <v>15+ Years</v>
      </c>
      <c r="BI381" t="str" cm="1">
        <f t="array" ref="BI381">_xlfn.IFS(AA381&gt;=540,"A",AA381&gt;=480,"B",AA381&gt;=420,"C",AA381&gt;=360,"D",TRUE,"F")</f>
        <v>A</v>
      </c>
      <c r="BJ381" t="str" cm="1">
        <f t="array" ref="BJ381">_xlfn.IFS(AU381&lt;0,"Separated",AU381&lt;=90,"High Risk",AU381&lt;=180,"Medium Risk",TRUE,"Retained")</f>
        <v>Medium Risk</v>
      </c>
      <c r="BK381" t="str" cm="1">
        <f t="array" ref="BK381">_xlfn.IFS(V381=0,"No Combat",V381=1,"1 Tour",V381=2,"2 Tours",TRUE,"3+ Tours")</f>
        <v>2 Tours</v>
      </c>
      <c r="BL381" t="str">
        <f t="shared" si="25"/>
        <v>Standard</v>
      </c>
      <c r="BM381" t="str">
        <f t="shared" si="26"/>
        <v>Not Ready</v>
      </c>
      <c r="BN381" s="3">
        <f t="shared" si="27"/>
        <v>0.1093688749509996</v>
      </c>
      <c r="BO381">
        <f t="shared" si="28"/>
        <v>608.4</v>
      </c>
    </row>
    <row r="382" spans="1:67" x14ac:dyDescent="0.25">
      <c r="A382" t="s">
        <v>669</v>
      </c>
      <c r="B382" t="s">
        <v>190</v>
      </c>
      <c r="C382" t="s">
        <v>252</v>
      </c>
      <c r="D382" t="s">
        <v>51</v>
      </c>
      <c r="E382">
        <v>18</v>
      </c>
      <c r="F382" t="s">
        <v>224</v>
      </c>
      <c r="G382" t="s">
        <v>169</v>
      </c>
      <c r="H382" t="s">
        <v>170</v>
      </c>
      <c r="I382" t="s">
        <v>292</v>
      </c>
      <c r="J382" t="s">
        <v>293</v>
      </c>
      <c r="K382" t="s">
        <v>294</v>
      </c>
      <c r="L382" t="s">
        <v>201</v>
      </c>
      <c r="M382" t="s">
        <v>59</v>
      </c>
      <c r="N382" t="s">
        <v>88</v>
      </c>
      <c r="O382" t="s">
        <v>61</v>
      </c>
      <c r="P382" s="1">
        <v>43305</v>
      </c>
      <c r="Q382">
        <v>5.9</v>
      </c>
      <c r="R382" t="s">
        <v>75</v>
      </c>
      <c r="S382" t="s">
        <v>110</v>
      </c>
      <c r="T382" t="s">
        <v>111</v>
      </c>
      <c r="U382">
        <v>15</v>
      </c>
      <c r="V382">
        <v>2</v>
      </c>
      <c r="W382" s="2">
        <v>3294</v>
      </c>
      <c r="X382" s="2">
        <v>0</v>
      </c>
      <c r="Y382" s="2">
        <v>422</v>
      </c>
      <c r="Z382" s="2">
        <v>3716</v>
      </c>
      <c r="AA382">
        <v>359</v>
      </c>
      <c r="AB382" t="s">
        <v>151</v>
      </c>
      <c r="AC382">
        <v>20.5</v>
      </c>
      <c r="AD382">
        <v>79</v>
      </c>
      <c r="AE382">
        <v>77</v>
      </c>
      <c r="AF382" t="s">
        <v>93</v>
      </c>
      <c r="AG382">
        <v>32</v>
      </c>
      <c r="AH382" t="s">
        <v>67</v>
      </c>
      <c r="AI382" t="s">
        <v>114</v>
      </c>
      <c r="AJ382" t="s">
        <v>188</v>
      </c>
      <c r="AK382" t="s">
        <v>70</v>
      </c>
      <c r="AL382" t="s">
        <v>70</v>
      </c>
      <c r="AM382" t="s">
        <v>71</v>
      </c>
      <c r="AN382" t="s">
        <v>115</v>
      </c>
      <c r="AO382" t="s">
        <v>72</v>
      </c>
      <c r="AP382" t="s">
        <v>135</v>
      </c>
      <c r="AQ382" t="s">
        <v>117</v>
      </c>
      <c r="AR382" s="1">
        <v>44979</v>
      </c>
      <c r="AS382" t="s">
        <v>118</v>
      </c>
      <c r="AT382" t="s">
        <v>71</v>
      </c>
      <c r="AU382">
        <v>855</v>
      </c>
      <c r="AV382" t="s">
        <v>76</v>
      </c>
      <c r="AW382" s="3">
        <v>44592</v>
      </c>
      <c r="AX382" t="s">
        <v>808</v>
      </c>
      <c r="AY382" t="s">
        <v>122</v>
      </c>
      <c r="AZ382" t="s">
        <v>76</v>
      </c>
      <c r="BA382" t="s">
        <v>811</v>
      </c>
      <c r="BB382" t="s">
        <v>801</v>
      </c>
      <c r="BC382" t="s">
        <v>802</v>
      </c>
      <c r="BD382" s="3">
        <v>9.6609257265877282E-2</v>
      </c>
      <c r="BE382">
        <v>443.4</v>
      </c>
      <c r="BG382" s="2">
        <f t="shared" si="24"/>
        <v>44592</v>
      </c>
      <c r="BH382" t="str" cm="1">
        <f t="array" ref="BH382">_xlfn.IFS(Q382&lt;5,"0-5 Years",Q382&lt;10,"5-10 Years",Q382&lt;15,"10-15 Years",TRUE,"15+ Years")</f>
        <v>5-10 Years</v>
      </c>
      <c r="BI382" t="str" cm="1">
        <f t="array" ref="BI382">_xlfn.IFS(AA382&gt;=540,"A",AA382&gt;=480,"B",AA382&gt;=420,"C",AA382&gt;=360,"D",TRUE,"F")</f>
        <v>F</v>
      </c>
      <c r="BJ382" t="str" cm="1">
        <f t="array" ref="BJ382">_xlfn.IFS(AU382&lt;0,"Separated",AU382&lt;=90,"High Risk",AU382&lt;=180,"Medium Risk",TRUE,"Retained")</f>
        <v>Retained</v>
      </c>
      <c r="BK382" t="str" cm="1">
        <f t="array" ref="BK382">_xlfn.IFS(V382=0,"No Combat",V382=1,"1 Tour",V382=2,"2 Tours",TRUE,"3+ Tours")</f>
        <v>2 Tours</v>
      </c>
      <c r="BL382" t="str">
        <f t="shared" si="25"/>
        <v>Standard</v>
      </c>
      <c r="BM382" t="str">
        <f t="shared" si="26"/>
        <v>Not Ready</v>
      </c>
      <c r="BN382" s="3">
        <f t="shared" si="27"/>
        <v>9.6609257265877282E-2</v>
      </c>
      <c r="BO382">
        <f t="shared" si="28"/>
        <v>443.4</v>
      </c>
    </row>
    <row r="383" spans="1:67" x14ac:dyDescent="0.25">
      <c r="A383" t="s">
        <v>670</v>
      </c>
      <c r="B383" t="s">
        <v>100</v>
      </c>
      <c r="C383" t="s">
        <v>191</v>
      </c>
      <c r="D383" t="s">
        <v>51</v>
      </c>
      <c r="E383">
        <v>26</v>
      </c>
      <c r="F383" t="s">
        <v>123</v>
      </c>
      <c r="G383" t="s">
        <v>279</v>
      </c>
      <c r="H383" t="s">
        <v>280</v>
      </c>
      <c r="I383" t="s">
        <v>225</v>
      </c>
      <c r="J383" t="s">
        <v>226</v>
      </c>
      <c r="K383" t="s">
        <v>105</v>
      </c>
      <c r="L383" t="s">
        <v>58</v>
      </c>
      <c r="M383" t="s">
        <v>127</v>
      </c>
      <c r="N383" t="s">
        <v>88</v>
      </c>
      <c r="O383" t="s">
        <v>61</v>
      </c>
      <c r="P383" s="1">
        <v>40204</v>
      </c>
      <c r="Q383">
        <v>14.3</v>
      </c>
      <c r="R383" t="s">
        <v>150</v>
      </c>
      <c r="S383" t="s">
        <v>110</v>
      </c>
      <c r="T383" t="s">
        <v>111</v>
      </c>
      <c r="U383">
        <v>0</v>
      </c>
      <c r="V383">
        <v>0</v>
      </c>
      <c r="W383" s="2">
        <v>6618</v>
      </c>
      <c r="X383" s="2">
        <v>1194</v>
      </c>
      <c r="Y383" s="2">
        <v>266</v>
      </c>
      <c r="Z383" s="2">
        <v>8078</v>
      </c>
      <c r="AA383">
        <v>589</v>
      </c>
      <c r="AB383" t="s">
        <v>65</v>
      </c>
      <c r="AC383">
        <v>14.9</v>
      </c>
      <c r="AD383">
        <v>78</v>
      </c>
      <c r="AE383">
        <v>57</v>
      </c>
      <c r="AF383" t="s">
        <v>112</v>
      </c>
      <c r="AG383">
        <v>27</v>
      </c>
      <c r="AH383" t="s">
        <v>113</v>
      </c>
      <c r="AI383" t="s">
        <v>68</v>
      </c>
      <c r="AJ383" t="s">
        <v>188</v>
      </c>
      <c r="AK383" t="s">
        <v>71</v>
      </c>
      <c r="AL383" t="s">
        <v>70</v>
      </c>
      <c r="AM383" t="s">
        <v>70</v>
      </c>
      <c r="AN383" t="s">
        <v>72</v>
      </c>
      <c r="AO383" t="s">
        <v>116</v>
      </c>
      <c r="AP383" t="s">
        <v>134</v>
      </c>
      <c r="AQ383" t="s">
        <v>98</v>
      </c>
      <c r="AR383" s="1">
        <v>44457</v>
      </c>
      <c r="AS383" t="s">
        <v>137</v>
      </c>
      <c r="AT383" t="s">
        <v>71</v>
      </c>
      <c r="AU383">
        <v>1068</v>
      </c>
      <c r="AV383" t="s">
        <v>76</v>
      </c>
      <c r="AW383" s="3">
        <v>96936</v>
      </c>
      <c r="AX383" t="s">
        <v>805</v>
      </c>
      <c r="AY383" t="s">
        <v>799</v>
      </c>
      <c r="AZ383" t="s">
        <v>76</v>
      </c>
      <c r="BA383" t="s">
        <v>800</v>
      </c>
      <c r="BB383" t="s">
        <v>801</v>
      </c>
      <c r="BC383" t="s">
        <v>802</v>
      </c>
      <c r="BD383" s="3">
        <v>7.2914087645456802E-2</v>
      </c>
      <c r="BE383">
        <v>653.4</v>
      </c>
      <c r="BG383" s="2">
        <f t="shared" si="24"/>
        <v>96936</v>
      </c>
      <c r="BH383" t="str" cm="1">
        <f t="array" ref="BH383">_xlfn.IFS(Q383&lt;5,"0-5 Years",Q383&lt;10,"5-10 Years",Q383&lt;15,"10-15 Years",TRUE,"15+ Years")</f>
        <v>10-15 Years</v>
      </c>
      <c r="BI383" t="str" cm="1">
        <f t="array" ref="BI383">_xlfn.IFS(AA383&gt;=540,"A",AA383&gt;=480,"B",AA383&gt;=420,"C",AA383&gt;=360,"D",TRUE,"F")</f>
        <v>A</v>
      </c>
      <c r="BJ383" t="str" cm="1">
        <f t="array" ref="BJ383">_xlfn.IFS(AU383&lt;0,"Separated",AU383&lt;=90,"High Risk",AU383&lt;=180,"Medium Risk",TRUE,"Retained")</f>
        <v>Retained</v>
      </c>
      <c r="BK383" t="str" cm="1">
        <f t="array" ref="BK383">_xlfn.IFS(V383=0,"No Combat",V383=1,"1 Tour",V383=2,"2 Tours",TRUE,"3+ Tours")</f>
        <v>No Combat</v>
      </c>
      <c r="BL383" t="str">
        <f t="shared" si="25"/>
        <v>Standard</v>
      </c>
      <c r="BM383" t="str">
        <f t="shared" si="26"/>
        <v>Not Ready</v>
      </c>
      <c r="BN383" s="3">
        <f t="shared" si="27"/>
        <v>7.2914087645456802E-2</v>
      </c>
      <c r="BO383">
        <f t="shared" si="28"/>
        <v>653.4</v>
      </c>
    </row>
    <row r="384" spans="1:67" x14ac:dyDescent="0.25">
      <c r="A384" t="s">
        <v>671</v>
      </c>
      <c r="B384" t="s">
        <v>100</v>
      </c>
      <c r="C384" t="s">
        <v>272</v>
      </c>
      <c r="D384" t="s">
        <v>51</v>
      </c>
      <c r="E384">
        <v>30</v>
      </c>
      <c r="F384" t="s">
        <v>291</v>
      </c>
      <c r="G384" t="s">
        <v>285</v>
      </c>
      <c r="H384" t="s">
        <v>286</v>
      </c>
      <c r="I384" t="s">
        <v>55</v>
      </c>
      <c r="J384" t="s">
        <v>56</v>
      </c>
      <c r="K384" t="s">
        <v>57</v>
      </c>
      <c r="L384" t="s">
        <v>58</v>
      </c>
      <c r="M384" t="s">
        <v>296</v>
      </c>
      <c r="N384" t="s">
        <v>128</v>
      </c>
      <c r="O384" t="s">
        <v>149</v>
      </c>
      <c r="P384" s="1">
        <v>40126</v>
      </c>
      <c r="Q384">
        <v>14.6</v>
      </c>
      <c r="R384" t="s">
        <v>195</v>
      </c>
      <c r="S384" t="s">
        <v>163</v>
      </c>
      <c r="T384" t="s">
        <v>164</v>
      </c>
      <c r="U384">
        <v>4</v>
      </c>
      <c r="V384">
        <v>0</v>
      </c>
      <c r="W384" s="2">
        <v>7668</v>
      </c>
      <c r="X384" s="2">
        <v>0</v>
      </c>
      <c r="Y384" s="2">
        <v>266</v>
      </c>
      <c r="Z384" s="2">
        <v>7934</v>
      </c>
      <c r="AA384">
        <v>329</v>
      </c>
      <c r="AB384" t="s">
        <v>151</v>
      </c>
      <c r="AC384">
        <v>16.5</v>
      </c>
      <c r="AD384">
        <v>20</v>
      </c>
      <c r="AE384">
        <v>50</v>
      </c>
      <c r="AF384" t="s">
        <v>66</v>
      </c>
      <c r="AG384">
        <v>20</v>
      </c>
      <c r="AH384" t="s">
        <v>113</v>
      </c>
      <c r="AI384" t="s">
        <v>95</v>
      </c>
      <c r="AJ384" t="s">
        <v>96</v>
      </c>
      <c r="AK384" t="s">
        <v>71</v>
      </c>
      <c r="AL384" t="s">
        <v>71</v>
      </c>
      <c r="AM384" t="s">
        <v>70</v>
      </c>
      <c r="AN384" t="s">
        <v>72</v>
      </c>
      <c r="AO384" t="s">
        <v>203</v>
      </c>
      <c r="AP384" t="s">
        <v>227</v>
      </c>
      <c r="AQ384" t="s">
        <v>74</v>
      </c>
      <c r="AR384" s="1">
        <v>44090</v>
      </c>
      <c r="AS384" t="s">
        <v>198</v>
      </c>
      <c r="AT384" t="s">
        <v>71</v>
      </c>
      <c r="AU384">
        <v>798</v>
      </c>
      <c r="AV384" t="s">
        <v>76</v>
      </c>
      <c r="AW384" s="3">
        <v>95208</v>
      </c>
      <c r="AX384" t="s">
        <v>805</v>
      </c>
      <c r="AY384" t="s">
        <v>122</v>
      </c>
      <c r="AZ384" t="s">
        <v>76</v>
      </c>
      <c r="BA384" t="s">
        <v>800</v>
      </c>
      <c r="BB384" t="s">
        <v>801</v>
      </c>
      <c r="BC384" t="s">
        <v>802</v>
      </c>
      <c r="BD384" s="3">
        <v>4.1467103604739097E-2</v>
      </c>
      <c r="BE384">
        <v>389.4</v>
      </c>
      <c r="BG384" s="2">
        <f t="shared" si="24"/>
        <v>95208</v>
      </c>
      <c r="BH384" t="str" cm="1">
        <f t="array" ref="BH384">_xlfn.IFS(Q384&lt;5,"0-5 Years",Q384&lt;10,"5-10 Years",Q384&lt;15,"10-15 Years",TRUE,"15+ Years")</f>
        <v>10-15 Years</v>
      </c>
      <c r="BI384" t="str" cm="1">
        <f t="array" ref="BI384">_xlfn.IFS(AA384&gt;=540,"A",AA384&gt;=480,"B",AA384&gt;=420,"C",AA384&gt;=360,"D",TRUE,"F")</f>
        <v>F</v>
      </c>
      <c r="BJ384" t="str" cm="1">
        <f t="array" ref="BJ384">_xlfn.IFS(AU384&lt;0,"Separated",AU384&lt;=90,"High Risk",AU384&lt;=180,"Medium Risk",TRUE,"Retained")</f>
        <v>Retained</v>
      </c>
      <c r="BK384" t="str" cm="1">
        <f t="array" ref="BK384">_xlfn.IFS(V384=0,"No Combat",V384=1,"1 Tour",V384=2,"2 Tours",TRUE,"3+ Tours")</f>
        <v>No Combat</v>
      </c>
      <c r="BL384" t="str">
        <f t="shared" si="25"/>
        <v>Standard</v>
      </c>
      <c r="BM384" t="str">
        <f t="shared" si="26"/>
        <v>Not Ready</v>
      </c>
      <c r="BN384" s="3">
        <f t="shared" si="27"/>
        <v>4.1467103604739097E-2</v>
      </c>
      <c r="BO384">
        <f t="shared" si="28"/>
        <v>389.4</v>
      </c>
    </row>
    <row r="385" spans="1:67" x14ac:dyDescent="0.25">
      <c r="A385" t="s">
        <v>672</v>
      </c>
      <c r="B385" t="s">
        <v>181</v>
      </c>
      <c r="C385" t="s">
        <v>155</v>
      </c>
      <c r="D385" t="s">
        <v>51</v>
      </c>
      <c r="E385">
        <v>24</v>
      </c>
      <c r="F385" t="s">
        <v>291</v>
      </c>
      <c r="G385" t="s">
        <v>242</v>
      </c>
      <c r="H385" t="s">
        <v>54</v>
      </c>
      <c r="I385" t="s">
        <v>260</v>
      </c>
      <c r="J385" t="s">
        <v>261</v>
      </c>
      <c r="K385" t="s">
        <v>173</v>
      </c>
      <c r="L385" t="s">
        <v>58</v>
      </c>
      <c r="M385" t="s">
        <v>212</v>
      </c>
      <c r="N385" t="s">
        <v>148</v>
      </c>
      <c r="O385" t="s">
        <v>109</v>
      </c>
      <c r="P385" s="1">
        <v>42367</v>
      </c>
      <c r="Q385">
        <v>8.4</v>
      </c>
      <c r="R385" t="s">
        <v>129</v>
      </c>
      <c r="S385" t="s">
        <v>219</v>
      </c>
      <c r="T385" t="s">
        <v>220</v>
      </c>
      <c r="U385">
        <v>0</v>
      </c>
      <c r="V385">
        <v>0</v>
      </c>
      <c r="W385" s="2">
        <v>4739</v>
      </c>
      <c r="X385" s="2">
        <v>0</v>
      </c>
      <c r="Y385" s="2">
        <v>422</v>
      </c>
      <c r="Z385" s="2">
        <v>5161</v>
      </c>
      <c r="AA385">
        <v>468</v>
      </c>
      <c r="AB385" t="s">
        <v>65</v>
      </c>
      <c r="AC385">
        <v>17.2</v>
      </c>
      <c r="AD385">
        <v>47</v>
      </c>
      <c r="AE385">
        <v>71</v>
      </c>
      <c r="AF385" t="s">
        <v>93</v>
      </c>
      <c r="AG385">
        <v>16</v>
      </c>
      <c r="AH385" t="s">
        <v>113</v>
      </c>
      <c r="AI385" t="s">
        <v>68</v>
      </c>
      <c r="AJ385" t="s">
        <v>69</v>
      </c>
      <c r="AK385" t="s">
        <v>70</v>
      </c>
      <c r="AL385" t="s">
        <v>70</v>
      </c>
      <c r="AM385" t="s">
        <v>70</v>
      </c>
      <c r="AN385" t="s">
        <v>270</v>
      </c>
      <c r="AO385" t="s">
        <v>221</v>
      </c>
      <c r="AP385" t="s">
        <v>72</v>
      </c>
      <c r="AQ385" t="s">
        <v>117</v>
      </c>
      <c r="AR385" s="1">
        <v>42807</v>
      </c>
      <c r="AS385" t="s">
        <v>118</v>
      </c>
      <c r="AT385" t="s">
        <v>71</v>
      </c>
      <c r="AU385">
        <v>1310</v>
      </c>
      <c r="AV385" t="s">
        <v>76</v>
      </c>
      <c r="AW385" s="3">
        <v>61932</v>
      </c>
      <c r="AX385" t="s">
        <v>808</v>
      </c>
      <c r="AY385" t="s">
        <v>804</v>
      </c>
      <c r="AZ385" t="s">
        <v>76</v>
      </c>
      <c r="BA385" t="s">
        <v>800</v>
      </c>
      <c r="BB385" t="s">
        <v>801</v>
      </c>
      <c r="BC385" t="s">
        <v>802</v>
      </c>
      <c r="BD385" s="3">
        <v>9.06801007556675E-2</v>
      </c>
      <c r="BE385">
        <v>500.4</v>
      </c>
      <c r="BG385" s="2">
        <f t="shared" si="24"/>
        <v>61932</v>
      </c>
      <c r="BH385" t="str" cm="1">
        <f t="array" ref="BH385">_xlfn.IFS(Q385&lt;5,"0-5 Years",Q385&lt;10,"5-10 Years",Q385&lt;15,"10-15 Years",TRUE,"15+ Years")</f>
        <v>5-10 Years</v>
      </c>
      <c r="BI385" t="str" cm="1">
        <f t="array" ref="BI385">_xlfn.IFS(AA385&gt;=540,"A",AA385&gt;=480,"B",AA385&gt;=420,"C",AA385&gt;=360,"D",TRUE,"F")</f>
        <v>C</v>
      </c>
      <c r="BJ385" t="str" cm="1">
        <f t="array" ref="BJ385">_xlfn.IFS(AU385&lt;0,"Separated",AU385&lt;=90,"High Risk",AU385&lt;=180,"Medium Risk",TRUE,"Retained")</f>
        <v>Retained</v>
      </c>
      <c r="BK385" t="str" cm="1">
        <f t="array" ref="BK385">_xlfn.IFS(V385=0,"No Combat",V385=1,"1 Tour",V385=2,"2 Tours",TRUE,"3+ Tours")</f>
        <v>No Combat</v>
      </c>
      <c r="BL385" t="str">
        <f t="shared" si="25"/>
        <v>Standard</v>
      </c>
      <c r="BM385" t="str">
        <f t="shared" si="26"/>
        <v>Not Ready</v>
      </c>
      <c r="BN385" s="3">
        <f t="shared" si="27"/>
        <v>9.06801007556675E-2</v>
      </c>
      <c r="BO385">
        <f t="shared" si="28"/>
        <v>500.4</v>
      </c>
    </row>
    <row r="386" spans="1:67" x14ac:dyDescent="0.25">
      <c r="A386" t="s">
        <v>673</v>
      </c>
      <c r="B386" t="s">
        <v>346</v>
      </c>
      <c r="C386" t="s">
        <v>155</v>
      </c>
      <c r="D386" t="s">
        <v>51</v>
      </c>
      <c r="E386">
        <v>33</v>
      </c>
      <c r="F386" t="s">
        <v>123</v>
      </c>
      <c r="G386" t="s">
        <v>142</v>
      </c>
      <c r="H386" t="s">
        <v>143</v>
      </c>
      <c r="I386" t="s">
        <v>83</v>
      </c>
      <c r="J386" t="s">
        <v>84</v>
      </c>
      <c r="K386" t="s">
        <v>85</v>
      </c>
      <c r="L386" t="s">
        <v>174</v>
      </c>
      <c r="M386" t="s">
        <v>161</v>
      </c>
      <c r="N386" t="s">
        <v>88</v>
      </c>
      <c r="O386" t="s">
        <v>61</v>
      </c>
      <c r="P386" s="1">
        <v>38459</v>
      </c>
      <c r="Q386">
        <v>19.100000000000001</v>
      </c>
      <c r="R386" t="s">
        <v>208</v>
      </c>
      <c r="S386" t="s">
        <v>63</v>
      </c>
      <c r="T386" t="s">
        <v>64</v>
      </c>
      <c r="U386">
        <v>0</v>
      </c>
      <c r="V386">
        <v>0</v>
      </c>
      <c r="W386" s="2">
        <v>5473</v>
      </c>
      <c r="X386" s="2">
        <v>0</v>
      </c>
      <c r="Y386" s="2">
        <v>422</v>
      </c>
      <c r="Z386" s="2">
        <v>5895</v>
      </c>
      <c r="AA386">
        <v>493</v>
      </c>
      <c r="AB386" t="s">
        <v>65</v>
      </c>
      <c r="AC386">
        <v>18</v>
      </c>
      <c r="AD386">
        <v>61</v>
      </c>
      <c r="AE386">
        <v>60</v>
      </c>
      <c r="AF386" t="s">
        <v>66</v>
      </c>
      <c r="AG386">
        <v>38</v>
      </c>
      <c r="AH386" t="s">
        <v>94</v>
      </c>
      <c r="AI386" t="s">
        <v>95</v>
      </c>
      <c r="AJ386" t="s">
        <v>72</v>
      </c>
      <c r="AK386" t="s">
        <v>70</v>
      </c>
      <c r="AL386" t="s">
        <v>70</v>
      </c>
      <c r="AM386" t="s">
        <v>70</v>
      </c>
      <c r="AN386" t="s">
        <v>72</v>
      </c>
      <c r="AO386" t="s">
        <v>72</v>
      </c>
      <c r="AP386" t="s">
        <v>72</v>
      </c>
      <c r="AQ386" t="s">
        <v>136</v>
      </c>
      <c r="AR386" s="1">
        <v>38589</v>
      </c>
      <c r="AS386" t="s">
        <v>137</v>
      </c>
      <c r="AT386" t="s">
        <v>71</v>
      </c>
      <c r="AU386">
        <v>127</v>
      </c>
      <c r="AV386" t="s">
        <v>179</v>
      </c>
      <c r="AW386" s="3">
        <v>70740</v>
      </c>
      <c r="AX386" t="s">
        <v>798</v>
      </c>
      <c r="AY386" t="s">
        <v>806</v>
      </c>
      <c r="AZ386" t="s">
        <v>815</v>
      </c>
      <c r="BA386" t="s">
        <v>800</v>
      </c>
      <c r="BB386" t="s">
        <v>801</v>
      </c>
      <c r="BC386" t="s">
        <v>802</v>
      </c>
      <c r="BD386" s="3">
        <v>8.3630195080576758E-2</v>
      </c>
      <c r="BE386">
        <v>569.4</v>
      </c>
      <c r="BG386" s="2">
        <f t="shared" si="24"/>
        <v>70740</v>
      </c>
      <c r="BH386" t="str" cm="1">
        <f t="array" ref="BH386">_xlfn.IFS(Q386&lt;5,"0-5 Years",Q386&lt;10,"5-10 Years",Q386&lt;15,"10-15 Years",TRUE,"15+ Years")</f>
        <v>15+ Years</v>
      </c>
      <c r="BI386" t="str" cm="1">
        <f t="array" ref="BI386">_xlfn.IFS(AA386&gt;=540,"A",AA386&gt;=480,"B",AA386&gt;=420,"C",AA386&gt;=360,"D",TRUE,"F")</f>
        <v>B</v>
      </c>
      <c r="BJ386" t="str" cm="1">
        <f t="array" ref="BJ386">_xlfn.IFS(AU386&lt;0,"Separated",AU386&lt;=90,"High Risk",AU386&lt;=180,"Medium Risk",TRUE,"Retained")</f>
        <v>Medium Risk</v>
      </c>
      <c r="BK386" t="str" cm="1">
        <f t="array" ref="BK386">_xlfn.IFS(V386=0,"No Combat",V386=1,"1 Tour",V386=2,"2 Tours",TRUE,"3+ Tours")</f>
        <v>No Combat</v>
      </c>
      <c r="BL386" t="str">
        <f t="shared" si="25"/>
        <v>Standard</v>
      </c>
      <c r="BM386" t="str">
        <f t="shared" si="26"/>
        <v>Not Ready</v>
      </c>
      <c r="BN386" s="3">
        <f t="shared" si="27"/>
        <v>8.3630195080576758E-2</v>
      </c>
      <c r="BO386">
        <f t="shared" si="28"/>
        <v>569.4</v>
      </c>
    </row>
    <row r="387" spans="1:67" x14ac:dyDescent="0.25">
      <c r="A387" t="s">
        <v>674</v>
      </c>
      <c r="B387" t="s">
        <v>259</v>
      </c>
      <c r="C387" t="s">
        <v>233</v>
      </c>
      <c r="D387" t="s">
        <v>51</v>
      </c>
      <c r="E387">
        <v>22</v>
      </c>
      <c r="F387" t="s">
        <v>80</v>
      </c>
      <c r="G387" t="s">
        <v>183</v>
      </c>
      <c r="H387" t="s">
        <v>184</v>
      </c>
      <c r="I387" t="s">
        <v>144</v>
      </c>
      <c r="J387" t="s">
        <v>145</v>
      </c>
      <c r="K387" t="s">
        <v>146</v>
      </c>
      <c r="L387" t="s">
        <v>174</v>
      </c>
      <c r="M387" t="s">
        <v>296</v>
      </c>
      <c r="N387" t="s">
        <v>162</v>
      </c>
      <c r="O387" t="s">
        <v>89</v>
      </c>
      <c r="P387" s="1">
        <v>40927</v>
      </c>
      <c r="Q387">
        <v>12.4</v>
      </c>
      <c r="R387" t="s">
        <v>90</v>
      </c>
      <c r="S387" t="s">
        <v>163</v>
      </c>
      <c r="T387" t="s">
        <v>164</v>
      </c>
      <c r="U387">
        <v>8</v>
      </c>
      <c r="V387">
        <v>1</v>
      </c>
      <c r="W387" s="2">
        <v>5696</v>
      </c>
      <c r="X387" s="2">
        <v>0</v>
      </c>
      <c r="Y387" s="2">
        <v>266</v>
      </c>
      <c r="Z387" s="2">
        <v>5962</v>
      </c>
      <c r="AA387">
        <v>376</v>
      </c>
      <c r="AB387" t="s">
        <v>65</v>
      </c>
      <c r="AC387">
        <v>15.3</v>
      </c>
      <c r="AD387">
        <v>63</v>
      </c>
      <c r="AE387">
        <v>50</v>
      </c>
      <c r="AF387" t="s">
        <v>112</v>
      </c>
      <c r="AG387">
        <v>32</v>
      </c>
      <c r="AH387" t="s">
        <v>67</v>
      </c>
      <c r="AI387" t="s">
        <v>177</v>
      </c>
      <c r="AJ387" t="s">
        <v>72</v>
      </c>
      <c r="AK387" t="s">
        <v>71</v>
      </c>
      <c r="AL387" t="s">
        <v>71</v>
      </c>
      <c r="AM387" t="s">
        <v>70</v>
      </c>
      <c r="AN387" t="s">
        <v>243</v>
      </c>
      <c r="AO387" t="s">
        <v>135</v>
      </c>
      <c r="AP387" t="s">
        <v>227</v>
      </c>
      <c r="AQ387" t="s">
        <v>74</v>
      </c>
      <c r="AR387" s="1">
        <v>42536</v>
      </c>
      <c r="AS387" t="s">
        <v>118</v>
      </c>
      <c r="AT387" t="s">
        <v>71</v>
      </c>
      <c r="AU387">
        <v>1570</v>
      </c>
      <c r="AV387" t="s">
        <v>76</v>
      </c>
      <c r="AW387" s="3">
        <v>71544</v>
      </c>
      <c r="AX387" t="s">
        <v>805</v>
      </c>
      <c r="AY387" t="s">
        <v>809</v>
      </c>
      <c r="AZ387" t="s">
        <v>76</v>
      </c>
      <c r="BA387" t="s">
        <v>807</v>
      </c>
      <c r="BB387" t="s">
        <v>801</v>
      </c>
      <c r="BC387" t="s">
        <v>802</v>
      </c>
      <c r="BD387" s="3">
        <v>6.3066085206306605E-2</v>
      </c>
      <c r="BE387">
        <v>460.4</v>
      </c>
      <c r="BG387" s="2">
        <f t="shared" ref="BG387:BG450" si="29">Z387*12</f>
        <v>71544</v>
      </c>
      <c r="BH387" t="str" cm="1">
        <f t="array" ref="BH387">_xlfn.IFS(Q387&lt;5,"0-5 Years",Q387&lt;10,"5-10 Years",Q387&lt;15,"10-15 Years",TRUE,"15+ Years")</f>
        <v>10-15 Years</v>
      </c>
      <c r="BI387" t="str" cm="1">
        <f t="array" ref="BI387">_xlfn.IFS(AA387&gt;=540,"A",AA387&gt;=480,"B",AA387&gt;=420,"C",AA387&gt;=360,"D",TRUE,"F")</f>
        <v>D</v>
      </c>
      <c r="BJ387" t="str" cm="1">
        <f t="array" ref="BJ387">_xlfn.IFS(AU387&lt;0,"Separated",AU387&lt;=90,"High Risk",AU387&lt;=180,"Medium Risk",TRUE,"Retained")</f>
        <v>Retained</v>
      </c>
      <c r="BK387" t="str" cm="1">
        <f t="array" ref="BK387">_xlfn.IFS(V387=0,"No Combat",V387=1,"1 Tour",V387=2,"2 Tours",TRUE,"3+ Tours")</f>
        <v>1 Tour</v>
      </c>
      <c r="BL387" t="str">
        <f t="shared" ref="BL387:BL450" si="30">IF(AND(AA387&gt;=500,AG387&gt;=35,AQ387="Outstanding"),"High Performer","Standard")</f>
        <v>Standard</v>
      </c>
      <c r="BM387" t="str">
        <f t="shared" ref="BM387:BM450" si="31">IF(AND(OR(G387="SGT",G387="SSG",G387="SFC"),AQ387="Outstanding"),"Promotion Ready","Not Ready")</f>
        <v>Not Ready</v>
      </c>
      <c r="BN387" s="3">
        <f t="shared" ref="BN387:BN450" si="32">AA387/Z387</f>
        <v>6.3066085206306605E-2</v>
      </c>
      <c r="BO387">
        <f t="shared" ref="BO387:BO450" si="33">(AA387+0.4)+(AG387*10*0.2)+(IF(AK387="YES",100,0)*0.1)+(IF(AL387="YES",100,0)*0.1)+(IF(AM387="YES",100,0)*0.2)</f>
        <v>460.4</v>
      </c>
    </row>
    <row r="388" spans="1:67" x14ac:dyDescent="0.25">
      <c r="A388" t="s">
        <v>675</v>
      </c>
      <c r="B388" t="s">
        <v>139</v>
      </c>
      <c r="C388" t="s">
        <v>334</v>
      </c>
      <c r="D388" t="s">
        <v>122</v>
      </c>
      <c r="E388">
        <v>32</v>
      </c>
      <c r="F388" t="s">
        <v>325</v>
      </c>
      <c r="G388" t="s">
        <v>234</v>
      </c>
      <c r="H388" t="s">
        <v>235</v>
      </c>
      <c r="I388" t="s">
        <v>217</v>
      </c>
      <c r="J388" t="s">
        <v>218</v>
      </c>
      <c r="K388" t="s">
        <v>146</v>
      </c>
      <c r="L388" t="s">
        <v>86</v>
      </c>
      <c r="M388" t="s">
        <v>147</v>
      </c>
      <c r="N388" t="s">
        <v>88</v>
      </c>
      <c r="O388" t="s">
        <v>89</v>
      </c>
      <c r="P388" s="1">
        <v>41150</v>
      </c>
      <c r="Q388">
        <v>11.8</v>
      </c>
      <c r="R388" t="s">
        <v>90</v>
      </c>
      <c r="S388" t="s">
        <v>91</v>
      </c>
      <c r="T388" t="s">
        <v>92</v>
      </c>
      <c r="U388">
        <v>2</v>
      </c>
      <c r="V388">
        <v>0</v>
      </c>
      <c r="W388" s="2">
        <v>1917</v>
      </c>
      <c r="X388" s="2">
        <v>1959</v>
      </c>
      <c r="Y388" s="2">
        <v>422</v>
      </c>
      <c r="Z388" s="2">
        <v>4298</v>
      </c>
      <c r="AA388">
        <v>383</v>
      </c>
      <c r="AB388" t="s">
        <v>65</v>
      </c>
      <c r="AC388">
        <v>13.2</v>
      </c>
      <c r="AD388">
        <v>78</v>
      </c>
      <c r="AE388">
        <v>35</v>
      </c>
      <c r="AF388" t="s">
        <v>66</v>
      </c>
      <c r="AG388">
        <v>21</v>
      </c>
      <c r="AH388" t="s">
        <v>113</v>
      </c>
      <c r="AI388" t="s">
        <v>114</v>
      </c>
      <c r="AJ388" t="s">
        <v>72</v>
      </c>
      <c r="AK388" t="s">
        <v>70</v>
      </c>
      <c r="AL388" t="s">
        <v>70</v>
      </c>
      <c r="AM388" t="s">
        <v>70</v>
      </c>
      <c r="AN388" t="s">
        <v>133</v>
      </c>
      <c r="AO388" t="s">
        <v>221</v>
      </c>
      <c r="AP388" t="s">
        <v>135</v>
      </c>
      <c r="AQ388" t="s">
        <v>98</v>
      </c>
      <c r="AR388" s="1">
        <v>42474</v>
      </c>
      <c r="AS388" t="s">
        <v>75</v>
      </c>
      <c r="AT388" t="s">
        <v>71</v>
      </c>
      <c r="AU388">
        <v>43</v>
      </c>
      <c r="AV388" t="s">
        <v>179</v>
      </c>
      <c r="AW388" s="3">
        <v>51576</v>
      </c>
      <c r="AX388" t="s">
        <v>805</v>
      </c>
      <c r="AY388" t="s">
        <v>809</v>
      </c>
      <c r="AZ388" t="s">
        <v>813</v>
      </c>
      <c r="BA388" t="s">
        <v>800</v>
      </c>
      <c r="BB388" t="s">
        <v>801</v>
      </c>
      <c r="BC388" t="s">
        <v>802</v>
      </c>
      <c r="BD388" s="3">
        <v>8.9111214518380638E-2</v>
      </c>
      <c r="BE388">
        <v>425.4</v>
      </c>
      <c r="BG388" s="2">
        <f t="shared" si="29"/>
        <v>51576</v>
      </c>
      <c r="BH388" t="str" cm="1">
        <f t="array" ref="BH388">_xlfn.IFS(Q388&lt;5,"0-5 Years",Q388&lt;10,"5-10 Years",Q388&lt;15,"10-15 Years",TRUE,"15+ Years")</f>
        <v>10-15 Years</v>
      </c>
      <c r="BI388" t="str" cm="1">
        <f t="array" ref="BI388">_xlfn.IFS(AA388&gt;=540,"A",AA388&gt;=480,"B",AA388&gt;=420,"C",AA388&gt;=360,"D",TRUE,"F")</f>
        <v>D</v>
      </c>
      <c r="BJ388" t="str" cm="1">
        <f t="array" ref="BJ388">_xlfn.IFS(AU388&lt;0,"Separated",AU388&lt;=90,"High Risk",AU388&lt;=180,"Medium Risk",TRUE,"Retained")</f>
        <v>High Risk</v>
      </c>
      <c r="BK388" t="str" cm="1">
        <f t="array" ref="BK388">_xlfn.IFS(V388=0,"No Combat",V388=1,"1 Tour",V388=2,"2 Tours",TRUE,"3+ Tours")</f>
        <v>No Combat</v>
      </c>
      <c r="BL388" t="str">
        <f t="shared" si="30"/>
        <v>Standard</v>
      </c>
      <c r="BM388" t="str">
        <f t="shared" si="31"/>
        <v>Not Ready</v>
      </c>
      <c r="BN388" s="3">
        <f t="shared" si="32"/>
        <v>8.9111214518380638E-2</v>
      </c>
      <c r="BO388">
        <f t="shared" si="33"/>
        <v>425.4</v>
      </c>
    </row>
    <row r="389" spans="1:67" x14ac:dyDescent="0.25">
      <c r="A389" t="s">
        <v>676</v>
      </c>
      <c r="B389" t="s">
        <v>78</v>
      </c>
      <c r="C389" t="s">
        <v>191</v>
      </c>
      <c r="D389" t="s">
        <v>51</v>
      </c>
      <c r="E389">
        <v>30</v>
      </c>
      <c r="F389" t="s">
        <v>192</v>
      </c>
      <c r="G389" t="s">
        <v>142</v>
      </c>
      <c r="H389" t="s">
        <v>143</v>
      </c>
      <c r="I389" t="s">
        <v>273</v>
      </c>
      <c r="J389" t="s">
        <v>274</v>
      </c>
      <c r="K389" t="s">
        <v>57</v>
      </c>
      <c r="L389" t="s">
        <v>86</v>
      </c>
      <c r="M389" t="s">
        <v>275</v>
      </c>
      <c r="N389" t="s">
        <v>148</v>
      </c>
      <c r="O389" t="s">
        <v>176</v>
      </c>
      <c r="P389" s="1">
        <v>41744</v>
      </c>
      <c r="Q389">
        <v>10.1</v>
      </c>
      <c r="R389" t="s">
        <v>195</v>
      </c>
      <c r="S389" t="s">
        <v>130</v>
      </c>
      <c r="T389" t="s">
        <v>131</v>
      </c>
      <c r="U389">
        <v>6</v>
      </c>
      <c r="V389">
        <v>1</v>
      </c>
      <c r="W389" s="2">
        <v>5473</v>
      </c>
      <c r="X389" s="2">
        <v>0</v>
      </c>
      <c r="Y389" s="2">
        <v>422</v>
      </c>
      <c r="Z389" s="2">
        <v>5895</v>
      </c>
      <c r="AA389">
        <v>515</v>
      </c>
      <c r="AB389" t="s">
        <v>65</v>
      </c>
      <c r="AC389">
        <v>14</v>
      </c>
      <c r="AD389">
        <v>38</v>
      </c>
      <c r="AE389">
        <v>46</v>
      </c>
      <c r="AF389" t="s">
        <v>112</v>
      </c>
      <c r="AG389">
        <v>18</v>
      </c>
      <c r="AH389" t="s">
        <v>113</v>
      </c>
      <c r="AI389" t="s">
        <v>152</v>
      </c>
      <c r="AJ389" t="s">
        <v>69</v>
      </c>
      <c r="AK389" t="s">
        <v>70</v>
      </c>
      <c r="AL389" t="s">
        <v>71</v>
      </c>
      <c r="AM389" t="s">
        <v>70</v>
      </c>
      <c r="AN389" t="s">
        <v>231</v>
      </c>
      <c r="AO389" t="s">
        <v>287</v>
      </c>
      <c r="AP389" t="s">
        <v>72</v>
      </c>
      <c r="AQ389" t="s">
        <v>117</v>
      </c>
      <c r="AR389" s="1">
        <v>43060</v>
      </c>
      <c r="AS389" t="s">
        <v>118</v>
      </c>
      <c r="AT389" t="s">
        <v>71</v>
      </c>
      <c r="AU389">
        <v>682</v>
      </c>
      <c r="AV389" t="s">
        <v>76</v>
      </c>
      <c r="AW389" s="3">
        <v>70740</v>
      </c>
      <c r="AX389" t="s">
        <v>805</v>
      </c>
      <c r="AY389" t="s">
        <v>806</v>
      </c>
      <c r="AZ389" t="s">
        <v>76</v>
      </c>
      <c r="BA389" t="s">
        <v>807</v>
      </c>
      <c r="BB389" t="s">
        <v>801</v>
      </c>
      <c r="BC389" t="s">
        <v>802</v>
      </c>
      <c r="BD389" s="3">
        <v>8.7362171331636984E-2</v>
      </c>
      <c r="BE389">
        <v>561.4</v>
      </c>
      <c r="BG389" s="2">
        <f t="shared" si="29"/>
        <v>70740</v>
      </c>
      <c r="BH389" t="str" cm="1">
        <f t="array" ref="BH389">_xlfn.IFS(Q389&lt;5,"0-5 Years",Q389&lt;10,"5-10 Years",Q389&lt;15,"10-15 Years",TRUE,"15+ Years")</f>
        <v>10-15 Years</v>
      </c>
      <c r="BI389" t="str" cm="1">
        <f t="array" ref="BI389">_xlfn.IFS(AA389&gt;=540,"A",AA389&gt;=480,"B",AA389&gt;=420,"C",AA389&gt;=360,"D",TRUE,"F")</f>
        <v>B</v>
      </c>
      <c r="BJ389" t="str" cm="1">
        <f t="array" ref="BJ389">_xlfn.IFS(AU389&lt;0,"Separated",AU389&lt;=90,"High Risk",AU389&lt;=180,"Medium Risk",TRUE,"Retained")</f>
        <v>Retained</v>
      </c>
      <c r="BK389" t="str" cm="1">
        <f t="array" ref="BK389">_xlfn.IFS(V389=0,"No Combat",V389=1,"1 Tour",V389=2,"2 Tours",TRUE,"3+ Tours")</f>
        <v>1 Tour</v>
      </c>
      <c r="BL389" t="str">
        <f t="shared" si="30"/>
        <v>Standard</v>
      </c>
      <c r="BM389" t="str">
        <f t="shared" si="31"/>
        <v>Not Ready</v>
      </c>
      <c r="BN389" s="3">
        <f t="shared" si="32"/>
        <v>8.7362171331636984E-2</v>
      </c>
      <c r="BO389">
        <f t="shared" si="33"/>
        <v>561.4</v>
      </c>
    </row>
    <row r="390" spans="1:67" x14ac:dyDescent="0.25">
      <c r="A390" t="s">
        <v>677</v>
      </c>
      <c r="B390" t="s">
        <v>190</v>
      </c>
      <c r="C390" t="s">
        <v>360</v>
      </c>
      <c r="D390" t="s">
        <v>51</v>
      </c>
      <c r="E390">
        <v>31</v>
      </c>
      <c r="F390" t="s">
        <v>141</v>
      </c>
      <c r="G390" t="s">
        <v>242</v>
      </c>
      <c r="H390" t="s">
        <v>54</v>
      </c>
      <c r="I390" t="s">
        <v>171</v>
      </c>
      <c r="J390" t="s">
        <v>172</v>
      </c>
      <c r="K390" t="s">
        <v>173</v>
      </c>
      <c r="L390" t="s">
        <v>201</v>
      </c>
      <c r="M390" t="s">
        <v>107</v>
      </c>
      <c r="N390" t="s">
        <v>88</v>
      </c>
      <c r="O390" t="s">
        <v>149</v>
      </c>
      <c r="P390" s="1">
        <v>42184</v>
      </c>
      <c r="Q390">
        <v>8.9</v>
      </c>
      <c r="R390" t="s">
        <v>129</v>
      </c>
      <c r="S390" t="s">
        <v>110</v>
      </c>
      <c r="T390" t="s">
        <v>111</v>
      </c>
      <c r="U390">
        <v>1</v>
      </c>
      <c r="V390">
        <v>0</v>
      </c>
      <c r="W390" s="2">
        <v>4739</v>
      </c>
      <c r="X390" s="2">
        <v>0</v>
      </c>
      <c r="Y390" s="2">
        <v>422</v>
      </c>
      <c r="Z390" s="2">
        <v>5161</v>
      </c>
      <c r="AA390">
        <v>455</v>
      </c>
      <c r="AB390" t="s">
        <v>65</v>
      </c>
      <c r="AC390">
        <v>16.5</v>
      </c>
      <c r="AD390">
        <v>49</v>
      </c>
      <c r="AE390">
        <v>67</v>
      </c>
      <c r="AF390" t="s">
        <v>112</v>
      </c>
      <c r="AG390">
        <v>34</v>
      </c>
      <c r="AH390" t="s">
        <v>67</v>
      </c>
      <c r="AI390" t="s">
        <v>68</v>
      </c>
      <c r="AJ390" t="s">
        <v>72</v>
      </c>
      <c r="AK390" t="s">
        <v>70</v>
      </c>
      <c r="AL390" t="s">
        <v>71</v>
      </c>
      <c r="AM390" t="s">
        <v>70</v>
      </c>
      <c r="AN390" t="s">
        <v>270</v>
      </c>
      <c r="AO390" t="s">
        <v>227</v>
      </c>
      <c r="AP390" t="s">
        <v>135</v>
      </c>
      <c r="AQ390" t="s">
        <v>117</v>
      </c>
      <c r="AR390" s="1">
        <v>42771</v>
      </c>
      <c r="AS390" t="s">
        <v>75</v>
      </c>
      <c r="AT390" t="s">
        <v>71</v>
      </c>
      <c r="AU390">
        <v>966</v>
      </c>
      <c r="AV390" t="s">
        <v>76</v>
      </c>
      <c r="AW390" s="3">
        <v>61932</v>
      </c>
      <c r="AX390" t="s">
        <v>808</v>
      </c>
      <c r="AY390" t="s">
        <v>804</v>
      </c>
      <c r="AZ390" t="s">
        <v>76</v>
      </c>
      <c r="BA390" t="s">
        <v>800</v>
      </c>
      <c r="BB390" t="s">
        <v>801</v>
      </c>
      <c r="BC390" t="s">
        <v>802</v>
      </c>
      <c r="BD390" s="3">
        <v>8.8161209068010074E-2</v>
      </c>
      <c r="BE390">
        <v>533.4</v>
      </c>
      <c r="BG390" s="2">
        <f t="shared" si="29"/>
        <v>61932</v>
      </c>
      <c r="BH390" t="str" cm="1">
        <f t="array" ref="BH390">_xlfn.IFS(Q390&lt;5,"0-5 Years",Q390&lt;10,"5-10 Years",Q390&lt;15,"10-15 Years",TRUE,"15+ Years")</f>
        <v>5-10 Years</v>
      </c>
      <c r="BI390" t="str" cm="1">
        <f t="array" ref="BI390">_xlfn.IFS(AA390&gt;=540,"A",AA390&gt;=480,"B",AA390&gt;=420,"C",AA390&gt;=360,"D",TRUE,"F")</f>
        <v>C</v>
      </c>
      <c r="BJ390" t="str" cm="1">
        <f t="array" ref="BJ390">_xlfn.IFS(AU390&lt;0,"Separated",AU390&lt;=90,"High Risk",AU390&lt;=180,"Medium Risk",TRUE,"Retained")</f>
        <v>Retained</v>
      </c>
      <c r="BK390" t="str" cm="1">
        <f t="array" ref="BK390">_xlfn.IFS(V390=0,"No Combat",V390=1,"1 Tour",V390=2,"2 Tours",TRUE,"3+ Tours")</f>
        <v>No Combat</v>
      </c>
      <c r="BL390" t="str">
        <f t="shared" si="30"/>
        <v>Standard</v>
      </c>
      <c r="BM390" t="str">
        <f t="shared" si="31"/>
        <v>Not Ready</v>
      </c>
      <c r="BN390" s="3">
        <f t="shared" si="32"/>
        <v>8.8161209068010074E-2</v>
      </c>
      <c r="BO390">
        <f t="shared" si="33"/>
        <v>533.4</v>
      </c>
    </row>
    <row r="391" spans="1:67" x14ac:dyDescent="0.25">
      <c r="A391" t="s">
        <v>678</v>
      </c>
      <c r="B391" t="s">
        <v>229</v>
      </c>
      <c r="C391" t="s">
        <v>264</v>
      </c>
      <c r="D391" t="s">
        <v>51</v>
      </c>
      <c r="E391">
        <v>31</v>
      </c>
      <c r="F391" t="s">
        <v>52</v>
      </c>
      <c r="G391" t="s">
        <v>101</v>
      </c>
      <c r="H391" t="s">
        <v>102</v>
      </c>
      <c r="I391" t="s">
        <v>292</v>
      </c>
      <c r="J391" t="s">
        <v>293</v>
      </c>
      <c r="K391" t="s">
        <v>294</v>
      </c>
      <c r="L391" t="s">
        <v>174</v>
      </c>
      <c r="M391" t="s">
        <v>249</v>
      </c>
      <c r="N391" t="s">
        <v>128</v>
      </c>
      <c r="O391" t="s">
        <v>61</v>
      </c>
      <c r="P391" s="1">
        <v>42092</v>
      </c>
      <c r="Q391">
        <v>9.1999999999999993</v>
      </c>
      <c r="R391" t="s">
        <v>195</v>
      </c>
      <c r="S391" t="s">
        <v>63</v>
      </c>
      <c r="T391" t="s">
        <v>64</v>
      </c>
      <c r="U391">
        <v>0</v>
      </c>
      <c r="V391">
        <v>0</v>
      </c>
      <c r="W391" s="2">
        <v>2980</v>
      </c>
      <c r="X391" s="2">
        <v>1979</v>
      </c>
      <c r="Y391" s="2">
        <v>422</v>
      </c>
      <c r="Z391" s="2">
        <v>5381</v>
      </c>
      <c r="AA391">
        <v>419</v>
      </c>
      <c r="AB391" t="s">
        <v>65</v>
      </c>
      <c r="AC391">
        <v>18.7</v>
      </c>
      <c r="AD391">
        <v>50</v>
      </c>
      <c r="AE391">
        <v>45</v>
      </c>
      <c r="AF391" t="s">
        <v>112</v>
      </c>
      <c r="AG391">
        <v>35</v>
      </c>
      <c r="AH391" t="s">
        <v>67</v>
      </c>
      <c r="AI391" t="s">
        <v>68</v>
      </c>
      <c r="AJ391" t="s">
        <v>72</v>
      </c>
      <c r="AK391" t="s">
        <v>70</v>
      </c>
      <c r="AL391" t="s">
        <v>70</v>
      </c>
      <c r="AM391" t="s">
        <v>71</v>
      </c>
      <c r="AN391" t="s">
        <v>202</v>
      </c>
      <c r="AO391" t="s">
        <v>221</v>
      </c>
      <c r="AP391" t="s">
        <v>72</v>
      </c>
      <c r="AQ391" t="s">
        <v>74</v>
      </c>
      <c r="AR391" s="1">
        <v>44102</v>
      </c>
      <c r="AS391" t="s">
        <v>198</v>
      </c>
      <c r="AT391" t="s">
        <v>71</v>
      </c>
      <c r="AU391">
        <v>181</v>
      </c>
      <c r="AV391" t="s">
        <v>76</v>
      </c>
      <c r="AW391" s="3">
        <v>64572</v>
      </c>
      <c r="AX391" t="s">
        <v>808</v>
      </c>
      <c r="AY391" t="s">
        <v>809</v>
      </c>
      <c r="AZ391" t="s">
        <v>76</v>
      </c>
      <c r="BA391" t="s">
        <v>800</v>
      </c>
      <c r="BB391" t="s">
        <v>801</v>
      </c>
      <c r="BC391" t="s">
        <v>812</v>
      </c>
      <c r="BD391" s="3">
        <v>7.786656755249953E-2</v>
      </c>
      <c r="BE391">
        <v>509.4</v>
      </c>
      <c r="BG391" s="2">
        <f t="shared" si="29"/>
        <v>64572</v>
      </c>
      <c r="BH391" t="str" cm="1">
        <f t="array" ref="BH391">_xlfn.IFS(Q391&lt;5,"0-5 Years",Q391&lt;10,"5-10 Years",Q391&lt;15,"10-15 Years",TRUE,"15+ Years")</f>
        <v>5-10 Years</v>
      </c>
      <c r="BI391" t="str" cm="1">
        <f t="array" ref="BI391">_xlfn.IFS(AA391&gt;=540,"A",AA391&gt;=480,"B",AA391&gt;=420,"C",AA391&gt;=360,"D",TRUE,"F")</f>
        <v>D</v>
      </c>
      <c r="BJ391" t="str" cm="1">
        <f t="array" ref="BJ391">_xlfn.IFS(AU391&lt;0,"Separated",AU391&lt;=90,"High Risk",AU391&lt;=180,"Medium Risk",TRUE,"Retained")</f>
        <v>Retained</v>
      </c>
      <c r="BK391" t="str" cm="1">
        <f t="array" ref="BK391">_xlfn.IFS(V391=0,"No Combat",V391=1,"1 Tour",V391=2,"2 Tours",TRUE,"3+ Tours")</f>
        <v>No Combat</v>
      </c>
      <c r="BL391" t="str">
        <f t="shared" si="30"/>
        <v>Standard</v>
      </c>
      <c r="BM391" t="str">
        <f t="shared" si="31"/>
        <v>Promotion Ready</v>
      </c>
      <c r="BN391" s="3">
        <f t="shared" si="32"/>
        <v>7.786656755249953E-2</v>
      </c>
      <c r="BO391">
        <f t="shared" si="33"/>
        <v>509.4</v>
      </c>
    </row>
    <row r="392" spans="1:67" x14ac:dyDescent="0.25">
      <c r="A392" t="s">
        <v>679</v>
      </c>
      <c r="B392" t="s">
        <v>251</v>
      </c>
      <c r="C392" t="s">
        <v>155</v>
      </c>
      <c r="D392" t="s">
        <v>51</v>
      </c>
      <c r="E392">
        <v>22</v>
      </c>
      <c r="F392" t="s">
        <v>168</v>
      </c>
      <c r="G392" t="s">
        <v>124</v>
      </c>
      <c r="H392" t="s">
        <v>125</v>
      </c>
      <c r="I392" t="s">
        <v>273</v>
      </c>
      <c r="J392" t="s">
        <v>274</v>
      </c>
      <c r="K392" t="s">
        <v>57</v>
      </c>
      <c r="L392" t="s">
        <v>106</v>
      </c>
      <c r="M392" t="s">
        <v>161</v>
      </c>
      <c r="N392" t="s">
        <v>128</v>
      </c>
      <c r="O392" t="s">
        <v>89</v>
      </c>
      <c r="P392" s="1">
        <v>39093</v>
      </c>
      <c r="Q392">
        <v>17.399999999999999</v>
      </c>
      <c r="R392" t="s">
        <v>62</v>
      </c>
      <c r="S392" t="s">
        <v>110</v>
      </c>
      <c r="T392" t="s">
        <v>111</v>
      </c>
      <c r="U392">
        <v>4</v>
      </c>
      <c r="V392">
        <v>0</v>
      </c>
      <c r="W392" s="2">
        <v>2730</v>
      </c>
      <c r="X392" s="2">
        <v>1508</v>
      </c>
      <c r="Y392" s="2">
        <v>422</v>
      </c>
      <c r="Z392" s="2">
        <v>4660</v>
      </c>
      <c r="AA392">
        <v>365</v>
      </c>
      <c r="AB392" t="s">
        <v>65</v>
      </c>
      <c r="AC392">
        <v>15.9</v>
      </c>
      <c r="AD392">
        <v>49</v>
      </c>
      <c r="AE392">
        <v>30</v>
      </c>
      <c r="AF392" t="s">
        <v>93</v>
      </c>
      <c r="AG392">
        <v>21</v>
      </c>
      <c r="AH392" t="s">
        <v>113</v>
      </c>
      <c r="AI392" t="s">
        <v>68</v>
      </c>
      <c r="AJ392" t="s">
        <v>188</v>
      </c>
      <c r="AK392" t="s">
        <v>70</v>
      </c>
      <c r="AL392" t="s">
        <v>71</v>
      </c>
      <c r="AM392" t="s">
        <v>70</v>
      </c>
      <c r="AN392" t="s">
        <v>243</v>
      </c>
      <c r="AO392" t="s">
        <v>134</v>
      </c>
      <c r="AP392" t="s">
        <v>72</v>
      </c>
      <c r="AQ392" t="s">
        <v>98</v>
      </c>
      <c r="AR392" s="1">
        <v>39901</v>
      </c>
      <c r="AS392" t="s">
        <v>137</v>
      </c>
      <c r="AT392" t="s">
        <v>71</v>
      </c>
      <c r="AU392">
        <v>1428</v>
      </c>
      <c r="AV392" t="s">
        <v>76</v>
      </c>
      <c r="AW392" s="3">
        <v>55920</v>
      </c>
      <c r="AX392" t="s">
        <v>798</v>
      </c>
      <c r="AY392" t="s">
        <v>809</v>
      </c>
      <c r="AZ392" t="s">
        <v>76</v>
      </c>
      <c r="BA392" t="s">
        <v>800</v>
      </c>
      <c r="BB392" t="s">
        <v>801</v>
      </c>
      <c r="BC392" t="s">
        <v>802</v>
      </c>
      <c r="BD392" s="3">
        <v>7.832618025751073E-2</v>
      </c>
      <c r="BE392">
        <v>417.4</v>
      </c>
      <c r="BG392" s="2">
        <f t="shared" si="29"/>
        <v>55920</v>
      </c>
      <c r="BH392" t="str" cm="1">
        <f t="array" ref="BH392">_xlfn.IFS(Q392&lt;5,"0-5 Years",Q392&lt;10,"5-10 Years",Q392&lt;15,"10-15 Years",TRUE,"15+ Years")</f>
        <v>15+ Years</v>
      </c>
      <c r="BI392" t="str" cm="1">
        <f t="array" ref="BI392">_xlfn.IFS(AA392&gt;=540,"A",AA392&gt;=480,"B",AA392&gt;=420,"C",AA392&gt;=360,"D",TRUE,"F")</f>
        <v>D</v>
      </c>
      <c r="BJ392" t="str" cm="1">
        <f t="array" ref="BJ392">_xlfn.IFS(AU392&lt;0,"Separated",AU392&lt;=90,"High Risk",AU392&lt;=180,"Medium Risk",TRUE,"Retained")</f>
        <v>Retained</v>
      </c>
      <c r="BK392" t="str" cm="1">
        <f t="array" ref="BK392">_xlfn.IFS(V392=0,"No Combat",V392=1,"1 Tour",V392=2,"2 Tours",TRUE,"3+ Tours")</f>
        <v>No Combat</v>
      </c>
      <c r="BL392" t="str">
        <f t="shared" si="30"/>
        <v>Standard</v>
      </c>
      <c r="BM392" t="str">
        <f t="shared" si="31"/>
        <v>Not Ready</v>
      </c>
      <c r="BN392" s="3">
        <f t="shared" si="32"/>
        <v>7.832618025751073E-2</v>
      </c>
      <c r="BO392">
        <f t="shared" si="33"/>
        <v>417.4</v>
      </c>
    </row>
    <row r="393" spans="1:67" x14ac:dyDescent="0.25">
      <c r="A393" t="s">
        <v>680</v>
      </c>
      <c r="B393" t="s">
        <v>263</v>
      </c>
      <c r="C393" t="s">
        <v>396</v>
      </c>
      <c r="D393" t="s">
        <v>122</v>
      </c>
      <c r="E393">
        <v>18</v>
      </c>
      <c r="F393" t="s">
        <v>322</v>
      </c>
      <c r="G393" t="s">
        <v>285</v>
      </c>
      <c r="H393" t="s">
        <v>286</v>
      </c>
      <c r="I393" t="s">
        <v>158</v>
      </c>
      <c r="J393" t="s">
        <v>159</v>
      </c>
      <c r="K393" t="s">
        <v>160</v>
      </c>
      <c r="L393" t="s">
        <v>126</v>
      </c>
      <c r="M393" t="s">
        <v>249</v>
      </c>
      <c r="N393" t="s">
        <v>265</v>
      </c>
      <c r="O393" t="s">
        <v>149</v>
      </c>
      <c r="P393" s="1">
        <v>44603</v>
      </c>
      <c r="Q393">
        <v>2.2999999999999998</v>
      </c>
      <c r="R393" t="s">
        <v>208</v>
      </c>
      <c r="S393" t="s">
        <v>163</v>
      </c>
      <c r="T393" t="s">
        <v>164</v>
      </c>
      <c r="U393">
        <v>12</v>
      </c>
      <c r="V393">
        <v>2</v>
      </c>
      <c r="W393" s="2">
        <v>7668</v>
      </c>
      <c r="X393" s="2">
        <v>1063</v>
      </c>
      <c r="Y393" s="2">
        <v>266</v>
      </c>
      <c r="Z393" s="2">
        <v>8997</v>
      </c>
      <c r="AA393">
        <v>457</v>
      </c>
      <c r="AB393" t="s">
        <v>65</v>
      </c>
      <c r="AC393">
        <v>19</v>
      </c>
      <c r="AD393">
        <v>28</v>
      </c>
      <c r="AE393">
        <v>55</v>
      </c>
      <c r="AF393" t="s">
        <v>112</v>
      </c>
      <c r="AG393">
        <v>37</v>
      </c>
      <c r="AH393" t="s">
        <v>94</v>
      </c>
      <c r="AI393" t="s">
        <v>152</v>
      </c>
      <c r="AJ393" t="s">
        <v>72</v>
      </c>
      <c r="AK393" t="s">
        <v>70</v>
      </c>
      <c r="AL393" t="s">
        <v>70</v>
      </c>
      <c r="AM393" t="s">
        <v>70</v>
      </c>
      <c r="AN393" t="s">
        <v>243</v>
      </c>
      <c r="AO393" t="s">
        <v>72</v>
      </c>
      <c r="AP393" t="s">
        <v>116</v>
      </c>
      <c r="AQ393" t="s">
        <v>74</v>
      </c>
      <c r="AR393" s="1">
        <v>45303</v>
      </c>
      <c r="AS393" t="s">
        <v>118</v>
      </c>
      <c r="AT393" t="s">
        <v>71</v>
      </c>
      <c r="AU393">
        <v>892</v>
      </c>
      <c r="AV393" t="s">
        <v>76</v>
      </c>
      <c r="AW393" s="3">
        <v>107964</v>
      </c>
      <c r="AX393" t="s">
        <v>803</v>
      </c>
      <c r="AY393" t="s">
        <v>804</v>
      </c>
      <c r="AZ393" t="s">
        <v>76</v>
      </c>
      <c r="BA393" t="s">
        <v>811</v>
      </c>
      <c r="BB393" t="s">
        <v>801</v>
      </c>
      <c r="BC393" t="s">
        <v>802</v>
      </c>
      <c r="BD393" s="3">
        <v>5.07947093475603E-2</v>
      </c>
      <c r="BE393">
        <v>531.4</v>
      </c>
      <c r="BG393" s="2">
        <f t="shared" si="29"/>
        <v>107964</v>
      </c>
      <c r="BH393" t="str" cm="1">
        <f t="array" ref="BH393">_xlfn.IFS(Q393&lt;5,"0-5 Years",Q393&lt;10,"5-10 Years",Q393&lt;15,"10-15 Years",TRUE,"15+ Years")</f>
        <v>0-5 Years</v>
      </c>
      <c r="BI393" t="str" cm="1">
        <f t="array" ref="BI393">_xlfn.IFS(AA393&gt;=540,"A",AA393&gt;=480,"B",AA393&gt;=420,"C",AA393&gt;=360,"D",TRUE,"F")</f>
        <v>C</v>
      </c>
      <c r="BJ393" t="str" cm="1">
        <f t="array" ref="BJ393">_xlfn.IFS(AU393&lt;0,"Separated",AU393&lt;=90,"High Risk",AU393&lt;=180,"Medium Risk",TRUE,"Retained")</f>
        <v>Retained</v>
      </c>
      <c r="BK393" t="str" cm="1">
        <f t="array" ref="BK393">_xlfn.IFS(V393=0,"No Combat",V393=1,"1 Tour",V393=2,"2 Tours",TRUE,"3+ Tours")</f>
        <v>2 Tours</v>
      </c>
      <c r="BL393" t="str">
        <f t="shared" si="30"/>
        <v>Standard</v>
      </c>
      <c r="BM393" t="str">
        <f t="shared" si="31"/>
        <v>Not Ready</v>
      </c>
      <c r="BN393" s="3">
        <f t="shared" si="32"/>
        <v>5.07947093475603E-2</v>
      </c>
      <c r="BO393">
        <f t="shared" si="33"/>
        <v>531.4</v>
      </c>
    </row>
    <row r="394" spans="1:67" x14ac:dyDescent="0.25">
      <c r="A394" t="s">
        <v>681</v>
      </c>
      <c r="B394" t="s">
        <v>259</v>
      </c>
      <c r="C394" t="s">
        <v>375</v>
      </c>
      <c r="D394" t="s">
        <v>51</v>
      </c>
      <c r="E394">
        <v>44</v>
      </c>
      <c r="F394" t="s">
        <v>311</v>
      </c>
      <c r="G394" t="s">
        <v>53</v>
      </c>
      <c r="H394" t="s">
        <v>54</v>
      </c>
      <c r="I394" t="s">
        <v>273</v>
      </c>
      <c r="J394" t="s">
        <v>274</v>
      </c>
      <c r="K394" t="s">
        <v>57</v>
      </c>
      <c r="L394" t="s">
        <v>126</v>
      </c>
      <c r="M394" t="s">
        <v>107</v>
      </c>
      <c r="N394" t="s">
        <v>60</v>
      </c>
      <c r="O394" t="s">
        <v>149</v>
      </c>
      <c r="P394" s="1">
        <v>40826</v>
      </c>
      <c r="Q394">
        <v>12.6</v>
      </c>
      <c r="R394" t="s">
        <v>75</v>
      </c>
      <c r="S394" t="s">
        <v>91</v>
      </c>
      <c r="T394" t="s">
        <v>92</v>
      </c>
      <c r="U394">
        <v>2</v>
      </c>
      <c r="V394">
        <v>0</v>
      </c>
      <c r="W394" s="2">
        <v>4739</v>
      </c>
      <c r="X394" s="2">
        <v>1495</v>
      </c>
      <c r="Y394" s="2">
        <v>422</v>
      </c>
      <c r="Z394" s="2">
        <v>6656</v>
      </c>
      <c r="AA394">
        <v>435</v>
      </c>
      <c r="AB394" t="s">
        <v>65</v>
      </c>
      <c r="AC394">
        <v>18.100000000000001</v>
      </c>
      <c r="AD394">
        <v>47</v>
      </c>
      <c r="AE394">
        <v>39</v>
      </c>
      <c r="AF394" t="s">
        <v>112</v>
      </c>
      <c r="AG394">
        <v>28</v>
      </c>
      <c r="AH394" t="s">
        <v>113</v>
      </c>
      <c r="AI394" t="s">
        <v>95</v>
      </c>
      <c r="AJ394" t="s">
        <v>188</v>
      </c>
      <c r="AK394" t="s">
        <v>70</v>
      </c>
      <c r="AL394" t="s">
        <v>70</v>
      </c>
      <c r="AM394" t="s">
        <v>70</v>
      </c>
      <c r="AN394" t="s">
        <v>72</v>
      </c>
      <c r="AO394" t="s">
        <v>72</v>
      </c>
      <c r="AP394" t="s">
        <v>135</v>
      </c>
      <c r="AQ394" t="s">
        <v>117</v>
      </c>
      <c r="AR394" s="1">
        <v>41374</v>
      </c>
      <c r="AS394" t="s">
        <v>137</v>
      </c>
      <c r="AT394" t="s">
        <v>71</v>
      </c>
      <c r="AU394">
        <v>1156</v>
      </c>
      <c r="AV394" t="s">
        <v>76</v>
      </c>
      <c r="AW394" s="3">
        <v>79872</v>
      </c>
      <c r="AX394" t="s">
        <v>805</v>
      </c>
      <c r="AY394" t="s">
        <v>804</v>
      </c>
      <c r="AZ394" t="s">
        <v>76</v>
      </c>
      <c r="BA394" t="s">
        <v>800</v>
      </c>
      <c r="BB394" t="s">
        <v>801</v>
      </c>
      <c r="BC394" t="s">
        <v>802</v>
      </c>
      <c r="BD394" s="3">
        <v>6.5354567307692304E-2</v>
      </c>
      <c r="BE394">
        <v>491.4</v>
      </c>
      <c r="BG394" s="2">
        <f t="shared" si="29"/>
        <v>79872</v>
      </c>
      <c r="BH394" t="str" cm="1">
        <f t="array" ref="BH394">_xlfn.IFS(Q394&lt;5,"0-5 Years",Q394&lt;10,"5-10 Years",Q394&lt;15,"10-15 Years",TRUE,"15+ Years")</f>
        <v>10-15 Years</v>
      </c>
      <c r="BI394" t="str" cm="1">
        <f t="array" ref="BI394">_xlfn.IFS(AA394&gt;=540,"A",AA394&gt;=480,"B",AA394&gt;=420,"C",AA394&gt;=360,"D",TRUE,"F")</f>
        <v>C</v>
      </c>
      <c r="BJ394" t="str" cm="1">
        <f t="array" ref="BJ394">_xlfn.IFS(AU394&lt;0,"Separated",AU394&lt;=90,"High Risk",AU394&lt;=180,"Medium Risk",TRUE,"Retained")</f>
        <v>Retained</v>
      </c>
      <c r="BK394" t="str" cm="1">
        <f t="array" ref="BK394">_xlfn.IFS(V394=0,"No Combat",V394=1,"1 Tour",V394=2,"2 Tours",TRUE,"3+ Tours")</f>
        <v>No Combat</v>
      </c>
      <c r="BL394" t="str">
        <f t="shared" si="30"/>
        <v>Standard</v>
      </c>
      <c r="BM394" t="str">
        <f t="shared" si="31"/>
        <v>Not Ready</v>
      </c>
      <c r="BN394" s="3">
        <f t="shared" si="32"/>
        <v>6.5354567307692304E-2</v>
      </c>
      <c r="BO394">
        <f t="shared" si="33"/>
        <v>491.4</v>
      </c>
    </row>
    <row r="395" spans="1:67" x14ac:dyDescent="0.25">
      <c r="A395" t="s">
        <v>682</v>
      </c>
      <c r="B395" t="s">
        <v>267</v>
      </c>
      <c r="C395" t="s">
        <v>264</v>
      </c>
      <c r="D395" t="s">
        <v>51</v>
      </c>
      <c r="E395">
        <v>35</v>
      </c>
      <c r="F395" t="s">
        <v>291</v>
      </c>
      <c r="G395" t="s">
        <v>124</v>
      </c>
      <c r="H395" t="s">
        <v>125</v>
      </c>
      <c r="I395" t="s">
        <v>225</v>
      </c>
      <c r="J395" t="s">
        <v>226</v>
      </c>
      <c r="K395" t="s">
        <v>105</v>
      </c>
      <c r="L395" t="s">
        <v>201</v>
      </c>
      <c r="M395" t="s">
        <v>212</v>
      </c>
      <c r="N395" t="s">
        <v>265</v>
      </c>
      <c r="O395" t="s">
        <v>109</v>
      </c>
      <c r="P395" s="1">
        <v>38447</v>
      </c>
      <c r="Q395">
        <v>19.2</v>
      </c>
      <c r="R395" t="s">
        <v>90</v>
      </c>
      <c r="S395" t="s">
        <v>91</v>
      </c>
      <c r="T395" t="s">
        <v>92</v>
      </c>
      <c r="U395">
        <v>12</v>
      </c>
      <c r="V395">
        <v>2</v>
      </c>
      <c r="W395" s="2">
        <v>2730</v>
      </c>
      <c r="X395" s="2">
        <v>0</v>
      </c>
      <c r="Y395" s="2">
        <v>422</v>
      </c>
      <c r="Z395" s="2">
        <v>3152</v>
      </c>
      <c r="AA395">
        <v>349</v>
      </c>
      <c r="AB395" t="s">
        <v>151</v>
      </c>
      <c r="AC395">
        <v>15.1</v>
      </c>
      <c r="AD395">
        <v>36</v>
      </c>
      <c r="AE395">
        <v>77</v>
      </c>
      <c r="AF395" t="s">
        <v>132</v>
      </c>
      <c r="AG395">
        <v>32</v>
      </c>
      <c r="AH395" t="s">
        <v>67</v>
      </c>
      <c r="AI395" t="s">
        <v>177</v>
      </c>
      <c r="AJ395" t="s">
        <v>96</v>
      </c>
      <c r="AK395" t="s">
        <v>71</v>
      </c>
      <c r="AL395" t="s">
        <v>71</v>
      </c>
      <c r="AM395" t="s">
        <v>70</v>
      </c>
      <c r="AN395" t="s">
        <v>72</v>
      </c>
      <c r="AO395" t="s">
        <v>221</v>
      </c>
      <c r="AP395" t="s">
        <v>72</v>
      </c>
      <c r="AQ395" t="s">
        <v>117</v>
      </c>
      <c r="AR395" s="1">
        <v>44149</v>
      </c>
      <c r="AS395" t="s">
        <v>118</v>
      </c>
      <c r="AT395" t="s">
        <v>71</v>
      </c>
      <c r="AU395">
        <v>556</v>
      </c>
      <c r="AV395" t="s">
        <v>76</v>
      </c>
      <c r="AW395" s="3">
        <v>37824</v>
      </c>
      <c r="AX395" t="s">
        <v>798</v>
      </c>
      <c r="AY395" t="s">
        <v>122</v>
      </c>
      <c r="AZ395" t="s">
        <v>76</v>
      </c>
      <c r="BA395" t="s">
        <v>811</v>
      </c>
      <c r="BB395" t="s">
        <v>801</v>
      </c>
      <c r="BC395" t="s">
        <v>802</v>
      </c>
      <c r="BD395" s="3">
        <v>0.11072335025380711</v>
      </c>
      <c r="BE395">
        <v>433.4</v>
      </c>
      <c r="BG395" s="2">
        <f t="shared" si="29"/>
        <v>37824</v>
      </c>
      <c r="BH395" t="str" cm="1">
        <f t="array" ref="BH395">_xlfn.IFS(Q395&lt;5,"0-5 Years",Q395&lt;10,"5-10 Years",Q395&lt;15,"10-15 Years",TRUE,"15+ Years")</f>
        <v>15+ Years</v>
      </c>
      <c r="BI395" t="str" cm="1">
        <f t="array" ref="BI395">_xlfn.IFS(AA395&gt;=540,"A",AA395&gt;=480,"B",AA395&gt;=420,"C",AA395&gt;=360,"D",TRUE,"F")</f>
        <v>F</v>
      </c>
      <c r="BJ395" t="str" cm="1">
        <f t="array" ref="BJ395">_xlfn.IFS(AU395&lt;0,"Separated",AU395&lt;=90,"High Risk",AU395&lt;=180,"Medium Risk",TRUE,"Retained")</f>
        <v>Retained</v>
      </c>
      <c r="BK395" t="str" cm="1">
        <f t="array" ref="BK395">_xlfn.IFS(V395=0,"No Combat",V395=1,"1 Tour",V395=2,"2 Tours",TRUE,"3+ Tours")</f>
        <v>2 Tours</v>
      </c>
      <c r="BL395" t="str">
        <f t="shared" si="30"/>
        <v>Standard</v>
      </c>
      <c r="BM395" t="str">
        <f t="shared" si="31"/>
        <v>Not Ready</v>
      </c>
      <c r="BN395" s="3">
        <f t="shared" si="32"/>
        <v>0.11072335025380711</v>
      </c>
      <c r="BO395">
        <f t="shared" si="33"/>
        <v>433.4</v>
      </c>
    </row>
    <row r="396" spans="1:67" x14ac:dyDescent="0.25">
      <c r="A396" t="s">
        <v>683</v>
      </c>
      <c r="B396" t="s">
        <v>166</v>
      </c>
      <c r="C396" t="s">
        <v>200</v>
      </c>
      <c r="D396" t="s">
        <v>51</v>
      </c>
      <c r="E396">
        <v>38</v>
      </c>
      <c r="F396" t="s">
        <v>214</v>
      </c>
      <c r="G396" t="s">
        <v>298</v>
      </c>
      <c r="H396" t="s">
        <v>299</v>
      </c>
      <c r="I396" t="s">
        <v>185</v>
      </c>
      <c r="J396" t="s">
        <v>186</v>
      </c>
      <c r="K396" t="s">
        <v>187</v>
      </c>
      <c r="L396" t="s">
        <v>86</v>
      </c>
      <c r="M396" t="s">
        <v>296</v>
      </c>
      <c r="N396" t="s">
        <v>60</v>
      </c>
      <c r="O396" t="s">
        <v>109</v>
      </c>
      <c r="P396" s="1">
        <v>42123</v>
      </c>
      <c r="Q396">
        <v>9.1</v>
      </c>
      <c r="R396" t="s">
        <v>75</v>
      </c>
      <c r="S396" t="s">
        <v>110</v>
      </c>
      <c r="T396" t="s">
        <v>111</v>
      </c>
      <c r="U396">
        <v>1</v>
      </c>
      <c r="V396">
        <v>0</v>
      </c>
      <c r="W396" s="2">
        <v>2149</v>
      </c>
      <c r="X396" s="2">
        <v>2027</v>
      </c>
      <c r="Y396" s="2">
        <v>422</v>
      </c>
      <c r="Z396" s="2">
        <v>4598</v>
      </c>
      <c r="AA396">
        <v>441</v>
      </c>
      <c r="AB396" t="s">
        <v>65</v>
      </c>
      <c r="AC396">
        <v>14.6</v>
      </c>
      <c r="AD396">
        <v>41</v>
      </c>
      <c r="AE396">
        <v>73</v>
      </c>
      <c r="AF396" t="s">
        <v>66</v>
      </c>
      <c r="AG396">
        <v>33</v>
      </c>
      <c r="AH396" t="s">
        <v>67</v>
      </c>
      <c r="AI396" t="s">
        <v>152</v>
      </c>
      <c r="AJ396" t="s">
        <v>72</v>
      </c>
      <c r="AK396" t="s">
        <v>70</v>
      </c>
      <c r="AL396" t="s">
        <v>70</v>
      </c>
      <c r="AM396" t="s">
        <v>70</v>
      </c>
      <c r="AN396" t="s">
        <v>72</v>
      </c>
      <c r="AO396" t="s">
        <v>134</v>
      </c>
      <c r="AP396" t="s">
        <v>72</v>
      </c>
      <c r="AQ396" t="s">
        <v>117</v>
      </c>
      <c r="AR396" s="1">
        <v>42154</v>
      </c>
      <c r="AS396" t="s">
        <v>137</v>
      </c>
      <c r="AT396" t="s">
        <v>71</v>
      </c>
      <c r="AU396">
        <v>1676</v>
      </c>
      <c r="AV396" t="s">
        <v>76</v>
      </c>
      <c r="AW396" s="3">
        <v>55176</v>
      </c>
      <c r="AX396" t="s">
        <v>808</v>
      </c>
      <c r="AY396" t="s">
        <v>804</v>
      </c>
      <c r="AZ396" t="s">
        <v>76</v>
      </c>
      <c r="BA396" t="s">
        <v>800</v>
      </c>
      <c r="BB396" t="s">
        <v>801</v>
      </c>
      <c r="BC396" t="s">
        <v>802</v>
      </c>
      <c r="BD396" s="3">
        <v>9.5911265767725101E-2</v>
      </c>
      <c r="BE396">
        <v>507.4</v>
      </c>
      <c r="BG396" s="2">
        <f t="shared" si="29"/>
        <v>55176</v>
      </c>
      <c r="BH396" t="str" cm="1">
        <f t="array" ref="BH396">_xlfn.IFS(Q396&lt;5,"0-5 Years",Q396&lt;10,"5-10 Years",Q396&lt;15,"10-15 Years",TRUE,"15+ Years")</f>
        <v>5-10 Years</v>
      </c>
      <c r="BI396" t="str" cm="1">
        <f t="array" ref="BI396">_xlfn.IFS(AA396&gt;=540,"A",AA396&gt;=480,"B",AA396&gt;=420,"C",AA396&gt;=360,"D",TRUE,"F")</f>
        <v>C</v>
      </c>
      <c r="BJ396" t="str" cm="1">
        <f t="array" ref="BJ396">_xlfn.IFS(AU396&lt;0,"Separated",AU396&lt;=90,"High Risk",AU396&lt;=180,"Medium Risk",TRUE,"Retained")</f>
        <v>Retained</v>
      </c>
      <c r="BK396" t="str" cm="1">
        <f t="array" ref="BK396">_xlfn.IFS(V396=0,"No Combat",V396=1,"1 Tour",V396=2,"2 Tours",TRUE,"3+ Tours")</f>
        <v>No Combat</v>
      </c>
      <c r="BL396" t="str">
        <f t="shared" si="30"/>
        <v>Standard</v>
      </c>
      <c r="BM396" t="str">
        <f t="shared" si="31"/>
        <v>Not Ready</v>
      </c>
      <c r="BN396" s="3">
        <f t="shared" si="32"/>
        <v>9.5911265767725101E-2</v>
      </c>
      <c r="BO396">
        <f t="shared" si="33"/>
        <v>507.4</v>
      </c>
    </row>
    <row r="397" spans="1:67" x14ac:dyDescent="0.25">
      <c r="A397" t="s">
        <v>684</v>
      </c>
      <c r="B397" t="s">
        <v>181</v>
      </c>
      <c r="C397" t="s">
        <v>353</v>
      </c>
      <c r="D397" t="s">
        <v>122</v>
      </c>
      <c r="E397">
        <v>28</v>
      </c>
      <c r="F397" t="s">
        <v>224</v>
      </c>
      <c r="G397" t="s">
        <v>193</v>
      </c>
      <c r="H397" t="s">
        <v>194</v>
      </c>
      <c r="I397" t="s">
        <v>103</v>
      </c>
      <c r="J397" t="s">
        <v>104</v>
      </c>
      <c r="K397" t="s">
        <v>105</v>
      </c>
      <c r="L397" t="s">
        <v>174</v>
      </c>
      <c r="M397" t="s">
        <v>275</v>
      </c>
      <c r="N397" t="s">
        <v>265</v>
      </c>
      <c r="O397" t="s">
        <v>149</v>
      </c>
      <c r="P397" s="1">
        <v>43537</v>
      </c>
      <c r="Q397">
        <v>5.2</v>
      </c>
      <c r="R397" t="s">
        <v>62</v>
      </c>
      <c r="S397" t="s">
        <v>91</v>
      </c>
      <c r="T397" t="s">
        <v>92</v>
      </c>
      <c r="U397">
        <v>13</v>
      </c>
      <c r="V397">
        <v>2</v>
      </c>
      <c r="W397" s="2">
        <v>2259</v>
      </c>
      <c r="X397" s="2">
        <v>1362</v>
      </c>
      <c r="Y397" s="2">
        <v>422</v>
      </c>
      <c r="Z397" s="2">
        <v>4043</v>
      </c>
      <c r="AA397">
        <v>414</v>
      </c>
      <c r="AB397" t="s">
        <v>65</v>
      </c>
      <c r="AC397">
        <v>20.8</v>
      </c>
      <c r="AD397">
        <v>64</v>
      </c>
      <c r="AE397">
        <v>69</v>
      </c>
      <c r="AF397" t="s">
        <v>132</v>
      </c>
      <c r="AG397">
        <v>17</v>
      </c>
      <c r="AH397" t="s">
        <v>113</v>
      </c>
      <c r="AI397" t="s">
        <v>95</v>
      </c>
      <c r="AJ397" t="s">
        <v>72</v>
      </c>
      <c r="AK397" t="s">
        <v>70</v>
      </c>
      <c r="AL397" t="s">
        <v>70</v>
      </c>
      <c r="AM397" t="s">
        <v>71</v>
      </c>
      <c r="AN397" t="s">
        <v>72</v>
      </c>
      <c r="AO397" t="s">
        <v>97</v>
      </c>
      <c r="AP397" t="s">
        <v>72</v>
      </c>
      <c r="AQ397" t="s">
        <v>136</v>
      </c>
      <c r="AR397" s="1">
        <v>44518</v>
      </c>
      <c r="AS397" t="s">
        <v>198</v>
      </c>
      <c r="AT397" t="s">
        <v>71</v>
      </c>
      <c r="AU397">
        <v>-176</v>
      </c>
      <c r="AV397" t="s">
        <v>179</v>
      </c>
      <c r="AW397" s="3">
        <v>48516</v>
      </c>
      <c r="AX397" t="s">
        <v>808</v>
      </c>
      <c r="AY397" t="s">
        <v>809</v>
      </c>
      <c r="AZ397" t="s">
        <v>810</v>
      </c>
      <c r="BA397" t="s">
        <v>811</v>
      </c>
      <c r="BB397" t="s">
        <v>801</v>
      </c>
      <c r="BC397" t="s">
        <v>802</v>
      </c>
      <c r="BD397" s="3">
        <v>0.10239920850853326</v>
      </c>
      <c r="BE397">
        <v>468.4</v>
      </c>
      <c r="BG397" s="2">
        <f t="shared" si="29"/>
        <v>48516</v>
      </c>
      <c r="BH397" t="str" cm="1">
        <f t="array" ref="BH397">_xlfn.IFS(Q397&lt;5,"0-5 Years",Q397&lt;10,"5-10 Years",Q397&lt;15,"10-15 Years",TRUE,"15+ Years")</f>
        <v>5-10 Years</v>
      </c>
      <c r="BI397" t="str" cm="1">
        <f t="array" ref="BI397">_xlfn.IFS(AA397&gt;=540,"A",AA397&gt;=480,"B",AA397&gt;=420,"C",AA397&gt;=360,"D",TRUE,"F")</f>
        <v>D</v>
      </c>
      <c r="BJ397" t="str" cm="1">
        <f t="array" ref="BJ397">_xlfn.IFS(AU397&lt;0,"Separated",AU397&lt;=90,"High Risk",AU397&lt;=180,"Medium Risk",TRUE,"Retained")</f>
        <v>Separated</v>
      </c>
      <c r="BK397" t="str" cm="1">
        <f t="array" ref="BK397">_xlfn.IFS(V397=0,"No Combat",V397=1,"1 Tour",V397=2,"2 Tours",TRUE,"3+ Tours")</f>
        <v>2 Tours</v>
      </c>
      <c r="BL397" t="str">
        <f t="shared" si="30"/>
        <v>Standard</v>
      </c>
      <c r="BM397" t="str">
        <f t="shared" si="31"/>
        <v>Not Ready</v>
      </c>
      <c r="BN397" s="3">
        <f t="shared" si="32"/>
        <v>0.10239920850853326</v>
      </c>
      <c r="BO397">
        <f t="shared" si="33"/>
        <v>468.4</v>
      </c>
    </row>
    <row r="398" spans="1:67" x14ac:dyDescent="0.25">
      <c r="A398" t="s">
        <v>685</v>
      </c>
      <c r="B398" t="s">
        <v>263</v>
      </c>
      <c r="C398" t="s">
        <v>223</v>
      </c>
      <c r="D398" t="s">
        <v>122</v>
      </c>
      <c r="E398">
        <v>26</v>
      </c>
      <c r="F398" t="s">
        <v>316</v>
      </c>
      <c r="G398" t="s">
        <v>242</v>
      </c>
      <c r="H398" t="s">
        <v>54</v>
      </c>
      <c r="I398" t="s">
        <v>217</v>
      </c>
      <c r="J398" t="s">
        <v>218</v>
      </c>
      <c r="K398" t="s">
        <v>146</v>
      </c>
      <c r="L398" t="s">
        <v>201</v>
      </c>
      <c r="M398" t="s">
        <v>147</v>
      </c>
      <c r="N398" t="s">
        <v>148</v>
      </c>
      <c r="O398" t="s">
        <v>149</v>
      </c>
      <c r="P398" s="1">
        <v>44040</v>
      </c>
      <c r="Q398">
        <v>3.8</v>
      </c>
      <c r="R398" t="s">
        <v>208</v>
      </c>
      <c r="S398" t="s">
        <v>196</v>
      </c>
      <c r="T398" t="s">
        <v>197</v>
      </c>
      <c r="U398">
        <v>0</v>
      </c>
      <c r="V398">
        <v>0</v>
      </c>
      <c r="W398" s="2">
        <v>4739</v>
      </c>
      <c r="X398" s="2">
        <v>900</v>
      </c>
      <c r="Y398" s="2">
        <v>422</v>
      </c>
      <c r="Z398" s="2">
        <v>6061</v>
      </c>
      <c r="AA398">
        <v>513</v>
      </c>
      <c r="AB398" t="s">
        <v>65</v>
      </c>
      <c r="AC398">
        <v>17.399999999999999</v>
      </c>
      <c r="AD398">
        <v>33</v>
      </c>
      <c r="AE398">
        <v>78</v>
      </c>
      <c r="AF398" t="s">
        <v>112</v>
      </c>
      <c r="AG398">
        <v>39</v>
      </c>
      <c r="AH398" t="s">
        <v>94</v>
      </c>
      <c r="AI398" t="s">
        <v>95</v>
      </c>
      <c r="AJ398" t="s">
        <v>69</v>
      </c>
      <c r="AK398" t="s">
        <v>70</v>
      </c>
      <c r="AL398" t="s">
        <v>70</v>
      </c>
      <c r="AM398" t="s">
        <v>70</v>
      </c>
      <c r="AN398" t="s">
        <v>72</v>
      </c>
      <c r="AO398" t="s">
        <v>72</v>
      </c>
      <c r="AP398" t="s">
        <v>134</v>
      </c>
      <c r="AQ398" t="s">
        <v>136</v>
      </c>
      <c r="AR398" s="1">
        <v>44679</v>
      </c>
      <c r="AS398" t="s">
        <v>118</v>
      </c>
      <c r="AT398" t="s">
        <v>71</v>
      </c>
      <c r="AU398">
        <v>31</v>
      </c>
      <c r="AV398" t="s">
        <v>179</v>
      </c>
      <c r="AW398" s="3">
        <v>72732</v>
      </c>
      <c r="AX398" t="s">
        <v>803</v>
      </c>
      <c r="AY398" t="s">
        <v>806</v>
      </c>
      <c r="AZ398" t="s">
        <v>813</v>
      </c>
      <c r="BA398" t="s">
        <v>800</v>
      </c>
      <c r="BB398" t="s">
        <v>801</v>
      </c>
      <c r="BC398" t="s">
        <v>802</v>
      </c>
      <c r="BD398" s="3">
        <v>8.4639498432601878E-2</v>
      </c>
      <c r="BE398">
        <v>591.4</v>
      </c>
      <c r="BG398" s="2">
        <f t="shared" si="29"/>
        <v>72732</v>
      </c>
      <c r="BH398" t="str" cm="1">
        <f t="array" ref="BH398">_xlfn.IFS(Q398&lt;5,"0-5 Years",Q398&lt;10,"5-10 Years",Q398&lt;15,"10-15 Years",TRUE,"15+ Years")</f>
        <v>0-5 Years</v>
      </c>
      <c r="BI398" t="str" cm="1">
        <f t="array" ref="BI398">_xlfn.IFS(AA398&gt;=540,"A",AA398&gt;=480,"B",AA398&gt;=420,"C",AA398&gt;=360,"D",TRUE,"F")</f>
        <v>B</v>
      </c>
      <c r="BJ398" t="str" cm="1">
        <f t="array" ref="BJ398">_xlfn.IFS(AU398&lt;0,"Separated",AU398&lt;=90,"High Risk",AU398&lt;=180,"Medium Risk",TRUE,"Retained")</f>
        <v>High Risk</v>
      </c>
      <c r="BK398" t="str" cm="1">
        <f t="array" ref="BK398">_xlfn.IFS(V398=0,"No Combat",V398=1,"1 Tour",V398=2,"2 Tours",TRUE,"3+ Tours")</f>
        <v>No Combat</v>
      </c>
      <c r="BL398" t="str">
        <f t="shared" si="30"/>
        <v>Standard</v>
      </c>
      <c r="BM398" t="str">
        <f t="shared" si="31"/>
        <v>Not Ready</v>
      </c>
      <c r="BN398" s="3">
        <f t="shared" si="32"/>
        <v>8.4639498432601878E-2</v>
      </c>
      <c r="BO398">
        <f t="shared" si="33"/>
        <v>591.4</v>
      </c>
    </row>
    <row r="399" spans="1:67" x14ac:dyDescent="0.25">
      <c r="A399" t="s">
        <v>686</v>
      </c>
      <c r="B399" t="s">
        <v>229</v>
      </c>
      <c r="C399" t="s">
        <v>272</v>
      </c>
      <c r="D399" t="s">
        <v>51</v>
      </c>
      <c r="E399">
        <v>45</v>
      </c>
      <c r="F399" t="s">
        <v>141</v>
      </c>
      <c r="G399" t="s">
        <v>215</v>
      </c>
      <c r="H399" t="s">
        <v>216</v>
      </c>
      <c r="I399" t="s">
        <v>171</v>
      </c>
      <c r="J399" t="s">
        <v>172</v>
      </c>
      <c r="K399" t="s">
        <v>173</v>
      </c>
      <c r="L399" t="s">
        <v>58</v>
      </c>
      <c r="M399" t="s">
        <v>107</v>
      </c>
      <c r="N399" t="s">
        <v>60</v>
      </c>
      <c r="O399" t="s">
        <v>176</v>
      </c>
      <c r="P399" s="1">
        <v>40163</v>
      </c>
      <c r="Q399">
        <v>14.5</v>
      </c>
      <c r="R399" t="s">
        <v>195</v>
      </c>
      <c r="S399" t="s">
        <v>163</v>
      </c>
      <c r="T399" t="s">
        <v>164</v>
      </c>
      <c r="U399">
        <v>9</v>
      </c>
      <c r="V399">
        <v>1</v>
      </c>
      <c r="W399" s="2">
        <v>3637</v>
      </c>
      <c r="X399" s="2">
        <v>2047</v>
      </c>
      <c r="Y399" s="2">
        <v>266</v>
      </c>
      <c r="Z399" s="2">
        <v>5950</v>
      </c>
      <c r="AA399">
        <v>458</v>
      </c>
      <c r="AB399" t="s">
        <v>65</v>
      </c>
      <c r="AC399">
        <v>17.5</v>
      </c>
      <c r="AD399">
        <v>60</v>
      </c>
      <c r="AE399">
        <v>68</v>
      </c>
      <c r="AF399" t="s">
        <v>132</v>
      </c>
      <c r="AG399">
        <v>31</v>
      </c>
      <c r="AH399" t="s">
        <v>67</v>
      </c>
      <c r="AI399" t="s">
        <v>114</v>
      </c>
      <c r="AJ399" t="s">
        <v>96</v>
      </c>
      <c r="AK399" t="s">
        <v>70</v>
      </c>
      <c r="AL399" t="s">
        <v>71</v>
      </c>
      <c r="AM399" t="s">
        <v>70</v>
      </c>
      <c r="AN399" t="s">
        <v>243</v>
      </c>
      <c r="AO399" t="s">
        <v>203</v>
      </c>
      <c r="AP399" t="s">
        <v>72</v>
      </c>
      <c r="AQ399" t="s">
        <v>117</v>
      </c>
      <c r="AR399" s="1">
        <v>43114</v>
      </c>
      <c r="AS399" t="s">
        <v>118</v>
      </c>
      <c r="AT399" t="s">
        <v>71</v>
      </c>
      <c r="AU399">
        <v>-368</v>
      </c>
      <c r="AV399" t="s">
        <v>179</v>
      </c>
      <c r="AW399" s="3">
        <v>71400</v>
      </c>
      <c r="AX399" t="s">
        <v>805</v>
      </c>
      <c r="AY399" t="s">
        <v>804</v>
      </c>
      <c r="AZ399" t="s">
        <v>810</v>
      </c>
      <c r="BA399" t="s">
        <v>807</v>
      </c>
      <c r="BB399" t="s">
        <v>801</v>
      </c>
      <c r="BC399" t="s">
        <v>802</v>
      </c>
      <c r="BD399" s="3">
        <v>7.6974789915966388E-2</v>
      </c>
      <c r="BE399">
        <v>530.4</v>
      </c>
      <c r="BG399" s="2">
        <f t="shared" si="29"/>
        <v>71400</v>
      </c>
      <c r="BH399" t="str" cm="1">
        <f t="array" ref="BH399">_xlfn.IFS(Q399&lt;5,"0-5 Years",Q399&lt;10,"5-10 Years",Q399&lt;15,"10-15 Years",TRUE,"15+ Years")</f>
        <v>10-15 Years</v>
      </c>
      <c r="BI399" t="str" cm="1">
        <f t="array" ref="BI399">_xlfn.IFS(AA399&gt;=540,"A",AA399&gt;=480,"B",AA399&gt;=420,"C",AA399&gt;=360,"D",TRUE,"F")</f>
        <v>C</v>
      </c>
      <c r="BJ399" t="str" cm="1">
        <f t="array" ref="BJ399">_xlfn.IFS(AU399&lt;0,"Separated",AU399&lt;=90,"High Risk",AU399&lt;=180,"Medium Risk",TRUE,"Retained")</f>
        <v>Separated</v>
      </c>
      <c r="BK399" t="str" cm="1">
        <f t="array" ref="BK399">_xlfn.IFS(V399=0,"No Combat",V399=1,"1 Tour",V399=2,"2 Tours",TRUE,"3+ Tours")</f>
        <v>1 Tour</v>
      </c>
      <c r="BL399" t="str">
        <f t="shared" si="30"/>
        <v>Standard</v>
      </c>
      <c r="BM399" t="str">
        <f t="shared" si="31"/>
        <v>Not Ready</v>
      </c>
      <c r="BN399" s="3">
        <f t="shared" si="32"/>
        <v>7.6974789915966388E-2</v>
      </c>
      <c r="BO399">
        <f t="shared" si="33"/>
        <v>530.4</v>
      </c>
    </row>
    <row r="400" spans="1:67" x14ac:dyDescent="0.25">
      <c r="A400" t="s">
        <v>687</v>
      </c>
      <c r="B400" t="s">
        <v>245</v>
      </c>
      <c r="C400" t="s">
        <v>167</v>
      </c>
      <c r="D400" t="s">
        <v>51</v>
      </c>
      <c r="E400">
        <v>35</v>
      </c>
      <c r="F400" t="s">
        <v>192</v>
      </c>
      <c r="G400" t="s">
        <v>301</v>
      </c>
      <c r="H400" t="s">
        <v>302</v>
      </c>
      <c r="I400" t="s">
        <v>171</v>
      </c>
      <c r="J400" t="s">
        <v>172</v>
      </c>
      <c r="K400" t="s">
        <v>173</v>
      </c>
      <c r="L400" t="s">
        <v>58</v>
      </c>
      <c r="M400" t="s">
        <v>59</v>
      </c>
      <c r="N400" t="s">
        <v>148</v>
      </c>
      <c r="O400" t="s">
        <v>176</v>
      </c>
      <c r="P400" s="1">
        <v>40843</v>
      </c>
      <c r="Q400">
        <v>12.6</v>
      </c>
      <c r="R400" t="s">
        <v>90</v>
      </c>
      <c r="S400" t="s">
        <v>110</v>
      </c>
      <c r="T400" t="s">
        <v>111</v>
      </c>
      <c r="U400">
        <v>10</v>
      </c>
      <c r="V400">
        <v>1</v>
      </c>
      <c r="W400" s="2">
        <v>4188</v>
      </c>
      <c r="X400" s="2">
        <v>1724</v>
      </c>
      <c r="Y400" s="2">
        <v>266</v>
      </c>
      <c r="Z400" s="2">
        <v>6178</v>
      </c>
      <c r="AA400">
        <v>375</v>
      </c>
      <c r="AB400" t="s">
        <v>65</v>
      </c>
      <c r="AC400">
        <v>12.8</v>
      </c>
      <c r="AD400">
        <v>59</v>
      </c>
      <c r="AE400">
        <v>67</v>
      </c>
      <c r="AF400" t="s">
        <v>112</v>
      </c>
      <c r="AG400">
        <v>34</v>
      </c>
      <c r="AH400" t="s">
        <v>67</v>
      </c>
      <c r="AI400" t="s">
        <v>95</v>
      </c>
      <c r="AJ400" t="s">
        <v>96</v>
      </c>
      <c r="AK400" t="s">
        <v>70</v>
      </c>
      <c r="AL400" t="s">
        <v>71</v>
      </c>
      <c r="AM400" t="s">
        <v>70</v>
      </c>
      <c r="AN400" t="s">
        <v>72</v>
      </c>
      <c r="AO400" t="s">
        <v>227</v>
      </c>
      <c r="AP400" t="s">
        <v>72</v>
      </c>
      <c r="AQ400" t="s">
        <v>136</v>
      </c>
      <c r="AR400" s="1">
        <v>42332</v>
      </c>
      <c r="AS400" t="s">
        <v>137</v>
      </c>
      <c r="AT400" t="s">
        <v>71</v>
      </c>
      <c r="AU400">
        <v>365</v>
      </c>
      <c r="AV400" t="s">
        <v>76</v>
      </c>
      <c r="AW400" s="3">
        <v>74136</v>
      </c>
      <c r="AX400" t="s">
        <v>805</v>
      </c>
      <c r="AY400" t="s">
        <v>809</v>
      </c>
      <c r="AZ400" t="s">
        <v>76</v>
      </c>
      <c r="BA400" t="s">
        <v>807</v>
      </c>
      <c r="BB400" t="s">
        <v>801</v>
      </c>
      <c r="BC400" t="s">
        <v>802</v>
      </c>
      <c r="BD400" s="3">
        <v>6.0699255422466819E-2</v>
      </c>
      <c r="BE400">
        <v>453.4</v>
      </c>
      <c r="BG400" s="2">
        <f t="shared" si="29"/>
        <v>74136</v>
      </c>
      <c r="BH400" t="str" cm="1">
        <f t="array" ref="BH400">_xlfn.IFS(Q400&lt;5,"0-5 Years",Q400&lt;10,"5-10 Years",Q400&lt;15,"10-15 Years",TRUE,"15+ Years")</f>
        <v>10-15 Years</v>
      </c>
      <c r="BI400" t="str" cm="1">
        <f t="array" ref="BI400">_xlfn.IFS(AA400&gt;=540,"A",AA400&gt;=480,"B",AA400&gt;=420,"C",AA400&gt;=360,"D",TRUE,"F")</f>
        <v>D</v>
      </c>
      <c r="BJ400" t="str" cm="1">
        <f t="array" ref="BJ400">_xlfn.IFS(AU400&lt;0,"Separated",AU400&lt;=90,"High Risk",AU400&lt;=180,"Medium Risk",TRUE,"Retained")</f>
        <v>Retained</v>
      </c>
      <c r="BK400" t="str" cm="1">
        <f t="array" ref="BK400">_xlfn.IFS(V400=0,"No Combat",V400=1,"1 Tour",V400=2,"2 Tours",TRUE,"3+ Tours")</f>
        <v>1 Tour</v>
      </c>
      <c r="BL400" t="str">
        <f t="shared" si="30"/>
        <v>Standard</v>
      </c>
      <c r="BM400" t="str">
        <f t="shared" si="31"/>
        <v>Not Ready</v>
      </c>
      <c r="BN400" s="3">
        <f t="shared" si="32"/>
        <v>6.0699255422466819E-2</v>
      </c>
      <c r="BO400">
        <f t="shared" si="33"/>
        <v>453.4</v>
      </c>
    </row>
    <row r="401" spans="1:67" x14ac:dyDescent="0.25">
      <c r="A401" t="s">
        <v>688</v>
      </c>
      <c r="B401" t="s">
        <v>181</v>
      </c>
      <c r="C401" t="s">
        <v>252</v>
      </c>
      <c r="D401" t="s">
        <v>51</v>
      </c>
      <c r="E401">
        <v>42</v>
      </c>
      <c r="F401" t="s">
        <v>278</v>
      </c>
      <c r="G401" t="s">
        <v>101</v>
      </c>
      <c r="H401" t="s">
        <v>102</v>
      </c>
      <c r="I401" t="s">
        <v>292</v>
      </c>
      <c r="J401" t="s">
        <v>293</v>
      </c>
      <c r="K401" t="s">
        <v>294</v>
      </c>
      <c r="L401" t="s">
        <v>106</v>
      </c>
      <c r="M401" t="s">
        <v>212</v>
      </c>
      <c r="N401" t="s">
        <v>148</v>
      </c>
      <c r="O401" t="s">
        <v>109</v>
      </c>
      <c r="P401" s="1">
        <v>41236</v>
      </c>
      <c r="Q401">
        <v>11.5</v>
      </c>
      <c r="R401" t="s">
        <v>208</v>
      </c>
      <c r="S401" t="s">
        <v>196</v>
      </c>
      <c r="T401" t="s">
        <v>197</v>
      </c>
      <c r="U401">
        <v>0</v>
      </c>
      <c r="V401">
        <v>0</v>
      </c>
      <c r="W401" s="2">
        <v>2980</v>
      </c>
      <c r="X401" s="2">
        <v>1245</v>
      </c>
      <c r="Y401" s="2">
        <v>422</v>
      </c>
      <c r="Z401" s="2">
        <v>4647</v>
      </c>
      <c r="AA401">
        <v>475</v>
      </c>
      <c r="AB401" t="s">
        <v>65</v>
      </c>
      <c r="AC401">
        <v>20.2</v>
      </c>
      <c r="AD401">
        <v>37</v>
      </c>
      <c r="AE401">
        <v>50</v>
      </c>
      <c r="AF401" t="s">
        <v>66</v>
      </c>
      <c r="AG401">
        <v>37</v>
      </c>
      <c r="AH401" t="s">
        <v>94</v>
      </c>
      <c r="AI401" t="s">
        <v>68</v>
      </c>
      <c r="AJ401" t="s">
        <v>69</v>
      </c>
      <c r="AK401" t="s">
        <v>70</v>
      </c>
      <c r="AL401" t="s">
        <v>70</v>
      </c>
      <c r="AM401" t="s">
        <v>70</v>
      </c>
      <c r="AN401" t="s">
        <v>72</v>
      </c>
      <c r="AO401" t="s">
        <v>72</v>
      </c>
      <c r="AP401" t="s">
        <v>72</v>
      </c>
      <c r="AQ401" t="s">
        <v>117</v>
      </c>
      <c r="AR401" s="1">
        <v>42364</v>
      </c>
      <c r="AS401" t="s">
        <v>198</v>
      </c>
      <c r="AT401" t="s">
        <v>71</v>
      </c>
      <c r="AU401">
        <v>1138</v>
      </c>
      <c r="AV401" t="s">
        <v>76</v>
      </c>
      <c r="AW401" s="3">
        <v>55764</v>
      </c>
      <c r="AX401" t="s">
        <v>805</v>
      </c>
      <c r="AY401" t="s">
        <v>804</v>
      </c>
      <c r="AZ401" t="s">
        <v>76</v>
      </c>
      <c r="BA401" t="s">
        <v>800</v>
      </c>
      <c r="BB401" t="s">
        <v>801</v>
      </c>
      <c r="BC401" t="s">
        <v>802</v>
      </c>
      <c r="BD401" s="3">
        <v>0.1022164837529589</v>
      </c>
      <c r="BE401">
        <v>549.4</v>
      </c>
      <c r="BG401" s="2">
        <f t="shared" si="29"/>
        <v>55764</v>
      </c>
      <c r="BH401" t="str" cm="1">
        <f t="array" ref="BH401">_xlfn.IFS(Q401&lt;5,"0-5 Years",Q401&lt;10,"5-10 Years",Q401&lt;15,"10-15 Years",TRUE,"15+ Years")</f>
        <v>10-15 Years</v>
      </c>
      <c r="BI401" t="str" cm="1">
        <f t="array" ref="BI401">_xlfn.IFS(AA401&gt;=540,"A",AA401&gt;=480,"B",AA401&gt;=420,"C",AA401&gt;=360,"D",TRUE,"F")</f>
        <v>C</v>
      </c>
      <c r="BJ401" t="str" cm="1">
        <f t="array" ref="BJ401">_xlfn.IFS(AU401&lt;0,"Separated",AU401&lt;=90,"High Risk",AU401&lt;=180,"Medium Risk",TRUE,"Retained")</f>
        <v>Retained</v>
      </c>
      <c r="BK401" t="str" cm="1">
        <f t="array" ref="BK401">_xlfn.IFS(V401=0,"No Combat",V401=1,"1 Tour",V401=2,"2 Tours",TRUE,"3+ Tours")</f>
        <v>No Combat</v>
      </c>
      <c r="BL401" t="str">
        <f t="shared" si="30"/>
        <v>Standard</v>
      </c>
      <c r="BM401" t="str">
        <f t="shared" si="31"/>
        <v>Not Ready</v>
      </c>
      <c r="BN401" s="3">
        <f t="shared" si="32"/>
        <v>0.1022164837529589</v>
      </c>
      <c r="BO401">
        <f t="shared" si="33"/>
        <v>549.4</v>
      </c>
    </row>
    <row r="402" spans="1:67" x14ac:dyDescent="0.25">
      <c r="A402" t="s">
        <v>689</v>
      </c>
      <c r="B402" t="s">
        <v>245</v>
      </c>
      <c r="C402" t="s">
        <v>50</v>
      </c>
      <c r="D402" t="s">
        <v>51</v>
      </c>
      <c r="E402">
        <v>38</v>
      </c>
      <c r="F402" t="s">
        <v>141</v>
      </c>
      <c r="G402" t="s">
        <v>215</v>
      </c>
      <c r="H402" t="s">
        <v>216</v>
      </c>
      <c r="I402" t="s">
        <v>292</v>
      </c>
      <c r="J402" t="s">
        <v>293</v>
      </c>
      <c r="K402" t="s">
        <v>294</v>
      </c>
      <c r="L402" t="s">
        <v>126</v>
      </c>
      <c r="M402" t="s">
        <v>175</v>
      </c>
      <c r="N402" t="s">
        <v>108</v>
      </c>
      <c r="O402" t="s">
        <v>89</v>
      </c>
      <c r="P402" s="1">
        <v>41493</v>
      </c>
      <c r="Q402">
        <v>10.8</v>
      </c>
      <c r="R402" t="s">
        <v>150</v>
      </c>
      <c r="S402" t="s">
        <v>63</v>
      </c>
      <c r="T402" t="s">
        <v>64</v>
      </c>
      <c r="U402">
        <v>0</v>
      </c>
      <c r="V402">
        <v>0</v>
      </c>
      <c r="W402" s="2">
        <v>3637</v>
      </c>
      <c r="X402" s="2">
        <v>2137</v>
      </c>
      <c r="Y402" s="2">
        <v>266</v>
      </c>
      <c r="Z402" s="2">
        <v>6040</v>
      </c>
      <c r="AA402">
        <v>304</v>
      </c>
      <c r="AB402" t="s">
        <v>151</v>
      </c>
      <c r="AC402">
        <v>20.8</v>
      </c>
      <c r="AD402">
        <v>46</v>
      </c>
      <c r="AE402">
        <v>42</v>
      </c>
      <c r="AF402" t="s">
        <v>93</v>
      </c>
      <c r="AG402">
        <v>20</v>
      </c>
      <c r="AH402" t="s">
        <v>113</v>
      </c>
      <c r="AI402" t="s">
        <v>177</v>
      </c>
      <c r="AJ402" t="s">
        <v>96</v>
      </c>
      <c r="AK402" t="s">
        <v>70</v>
      </c>
      <c r="AL402" t="s">
        <v>71</v>
      </c>
      <c r="AM402" t="s">
        <v>70</v>
      </c>
      <c r="AN402" t="s">
        <v>72</v>
      </c>
      <c r="AO402" t="s">
        <v>116</v>
      </c>
      <c r="AP402" t="s">
        <v>97</v>
      </c>
      <c r="AQ402" t="s">
        <v>74</v>
      </c>
      <c r="AR402" s="1">
        <v>44464</v>
      </c>
      <c r="AS402" t="s">
        <v>75</v>
      </c>
      <c r="AT402" t="s">
        <v>71</v>
      </c>
      <c r="AU402">
        <v>1761</v>
      </c>
      <c r="AV402" t="s">
        <v>76</v>
      </c>
      <c r="AW402" s="3">
        <v>72480</v>
      </c>
      <c r="AX402" t="s">
        <v>805</v>
      </c>
      <c r="AY402" t="s">
        <v>122</v>
      </c>
      <c r="AZ402" t="s">
        <v>76</v>
      </c>
      <c r="BA402" t="s">
        <v>800</v>
      </c>
      <c r="BB402" t="s">
        <v>801</v>
      </c>
      <c r="BC402" t="s">
        <v>802</v>
      </c>
      <c r="BD402" s="3">
        <v>5.0331125827814571E-2</v>
      </c>
      <c r="BE402">
        <v>354.4</v>
      </c>
      <c r="BG402" s="2">
        <f t="shared" si="29"/>
        <v>72480</v>
      </c>
      <c r="BH402" t="str" cm="1">
        <f t="array" ref="BH402">_xlfn.IFS(Q402&lt;5,"0-5 Years",Q402&lt;10,"5-10 Years",Q402&lt;15,"10-15 Years",TRUE,"15+ Years")</f>
        <v>10-15 Years</v>
      </c>
      <c r="BI402" t="str" cm="1">
        <f t="array" ref="BI402">_xlfn.IFS(AA402&gt;=540,"A",AA402&gt;=480,"B",AA402&gt;=420,"C",AA402&gt;=360,"D",TRUE,"F")</f>
        <v>F</v>
      </c>
      <c r="BJ402" t="str" cm="1">
        <f t="array" ref="BJ402">_xlfn.IFS(AU402&lt;0,"Separated",AU402&lt;=90,"High Risk",AU402&lt;=180,"Medium Risk",TRUE,"Retained")</f>
        <v>Retained</v>
      </c>
      <c r="BK402" t="str" cm="1">
        <f t="array" ref="BK402">_xlfn.IFS(V402=0,"No Combat",V402=1,"1 Tour",V402=2,"2 Tours",TRUE,"3+ Tours")</f>
        <v>No Combat</v>
      </c>
      <c r="BL402" t="str">
        <f t="shared" si="30"/>
        <v>Standard</v>
      </c>
      <c r="BM402" t="str">
        <f t="shared" si="31"/>
        <v>Not Ready</v>
      </c>
      <c r="BN402" s="3">
        <f t="shared" si="32"/>
        <v>5.0331125827814571E-2</v>
      </c>
      <c r="BO402">
        <f t="shared" si="33"/>
        <v>354.4</v>
      </c>
    </row>
    <row r="403" spans="1:67" x14ac:dyDescent="0.25">
      <c r="A403" t="s">
        <v>690</v>
      </c>
      <c r="B403" t="s">
        <v>229</v>
      </c>
      <c r="C403" t="s">
        <v>264</v>
      </c>
      <c r="D403" t="s">
        <v>51</v>
      </c>
      <c r="E403">
        <v>32</v>
      </c>
      <c r="F403" t="s">
        <v>325</v>
      </c>
      <c r="G403" t="s">
        <v>301</v>
      </c>
      <c r="H403" t="s">
        <v>302</v>
      </c>
      <c r="I403" t="s">
        <v>260</v>
      </c>
      <c r="J403" t="s">
        <v>261</v>
      </c>
      <c r="K403" t="s">
        <v>173</v>
      </c>
      <c r="L403" t="s">
        <v>58</v>
      </c>
      <c r="M403" t="s">
        <v>275</v>
      </c>
      <c r="N403" t="s">
        <v>162</v>
      </c>
      <c r="O403" t="s">
        <v>149</v>
      </c>
      <c r="P403" s="1">
        <v>40996</v>
      </c>
      <c r="Q403">
        <v>12.2</v>
      </c>
      <c r="R403" t="s">
        <v>208</v>
      </c>
      <c r="S403" t="s">
        <v>130</v>
      </c>
      <c r="T403" t="s">
        <v>131</v>
      </c>
      <c r="U403">
        <v>9</v>
      </c>
      <c r="V403">
        <v>1</v>
      </c>
      <c r="W403" s="2">
        <v>4188</v>
      </c>
      <c r="X403" s="2">
        <v>0</v>
      </c>
      <c r="Y403" s="2">
        <v>266</v>
      </c>
      <c r="Z403" s="2">
        <v>4454</v>
      </c>
      <c r="AA403">
        <v>415</v>
      </c>
      <c r="AB403" t="s">
        <v>65</v>
      </c>
      <c r="AC403">
        <v>14.3</v>
      </c>
      <c r="AD403">
        <v>49</v>
      </c>
      <c r="AE403">
        <v>59</v>
      </c>
      <c r="AF403" t="s">
        <v>132</v>
      </c>
      <c r="AG403">
        <v>23</v>
      </c>
      <c r="AH403" t="s">
        <v>113</v>
      </c>
      <c r="AI403" t="s">
        <v>177</v>
      </c>
      <c r="AJ403" t="s">
        <v>72</v>
      </c>
      <c r="AK403" t="s">
        <v>70</v>
      </c>
      <c r="AL403" t="s">
        <v>71</v>
      </c>
      <c r="AM403" t="s">
        <v>70</v>
      </c>
      <c r="AN403" t="s">
        <v>231</v>
      </c>
      <c r="AO403" t="s">
        <v>72</v>
      </c>
      <c r="AP403" t="s">
        <v>72</v>
      </c>
      <c r="AQ403" t="s">
        <v>74</v>
      </c>
      <c r="AR403" s="1">
        <v>45166</v>
      </c>
      <c r="AS403" t="s">
        <v>137</v>
      </c>
      <c r="AT403" t="s">
        <v>71</v>
      </c>
      <c r="AU403">
        <v>1425</v>
      </c>
      <c r="AV403" t="s">
        <v>76</v>
      </c>
      <c r="AW403" s="3">
        <v>53448</v>
      </c>
      <c r="AX403" t="s">
        <v>805</v>
      </c>
      <c r="AY403" t="s">
        <v>809</v>
      </c>
      <c r="AZ403" t="s">
        <v>76</v>
      </c>
      <c r="BA403" t="s">
        <v>807</v>
      </c>
      <c r="BB403" t="s">
        <v>801</v>
      </c>
      <c r="BC403" t="s">
        <v>802</v>
      </c>
      <c r="BD403" s="3">
        <v>9.3174674449932646E-2</v>
      </c>
      <c r="BE403">
        <v>471.4</v>
      </c>
      <c r="BG403" s="2">
        <f t="shared" si="29"/>
        <v>53448</v>
      </c>
      <c r="BH403" t="str" cm="1">
        <f t="array" ref="BH403">_xlfn.IFS(Q403&lt;5,"0-5 Years",Q403&lt;10,"5-10 Years",Q403&lt;15,"10-15 Years",TRUE,"15+ Years")</f>
        <v>10-15 Years</v>
      </c>
      <c r="BI403" t="str" cm="1">
        <f t="array" ref="BI403">_xlfn.IFS(AA403&gt;=540,"A",AA403&gt;=480,"B",AA403&gt;=420,"C",AA403&gt;=360,"D",TRUE,"F")</f>
        <v>D</v>
      </c>
      <c r="BJ403" t="str" cm="1">
        <f t="array" ref="BJ403">_xlfn.IFS(AU403&lt;0,"Separated",AU403&lt;=90,"High Risk",AU403&lt;=180,"Medium Risk",TRUE,"Retained")</f>
        <v>Retained</v>
      </c>
      <c r="BK403" t="str" cm="1">
        <f t="array" ref="BK403">_xlfn.IFS(V403=0,"No Combat",V403=1,"1 Tour",V403=2,"2 Tours",TRUE,"3+ Tours")</f>
        <v>1 Tour</v>
      </c>
      <c r="BL403" t="str">
        <f t="shared" si="30"/>
        <v>Standard</v>
      </c>
      <c r="BM403" t="str">
        <f t="shared" si="31"/>
        <v>Not Ready</v>
      </c>
      <c r="BN403" s="3">
        <f t="shared" si="32"/>
        <v>9.3174674449932646E-2</v>
      </c>
      <c r="BO403">
        <f t="shared" si="33"/>
        <v>471.4</v>
      </c>
    </row>
    <row r="404" spans="1:67" x14ac:dyDescent="0.25">
      <c r="A404" t="s">
        <v>691</v>
      </c>
      <c r="B404" t="s">
        <v>166</v>
      </c>
      <c r="C404" t="s">
        <v>223</v>
      </c>
      <c r="D404" t="s">
        <v>122</v>
      </c>
      <c r="E404">
        <v>22</v>
      </c>
      <c r="F404" t="s">
        <v>80</v>
      </c>
      <c r="G404" t="s">
        <v>242</v>
      </c>
      <c r="H404" t="s">
        <v>54</v>
      </c>
      <c r="I404" t="s">
        <v>236</v>
      </c>
      <c r="J404" t="s">
        <v>237</v>
      </c>
      <c r="K404" t="s">
        <v>238</v>
      </c>
      <c r="L404" t="s">
        <v>106</v>
      </c>
      <c r="M404" t="s">
        <v>147</v>
      </c>
      <c r="N404" t="s">
        <v>60</v>
      </c>
      <c r="O404" t="s">
        <v>61</v>
      </c>
      <c r="P404" s="1">
        <v>43653</v>
      </c>
      <c r="Q404">
        <v>4.9000000000000004</v>
      </c>
      <c r="R404" t="s">
        <v>129</v>
      </c>
      <c r="S404" t="s">
        <v>63</v>
      </c>
      <c r="T404" t="s">
        <v>64</v>
      </c>
      <c r="U404">
        <v>0</v>
      </c>
      <c r="V404">
        <v>0</v>
      </c>
      <c r="W404" s="2">
        <v>4739</v>
      </c>
      <c r="X404" s="2">
        <v>848</v>
      </c>
      <c r="Y404" s="2">
        <v>422</v>
      </c>
      <c r="Z404" s="2">
        <v>6009</v>
      </c>
      <c r="AA404">
        <v>439</v>
      </c>
      <c r="AB404" t="s">
        <v>65</v>
      </c>
      <c r="AC404">
        <v>16.600000000000001</v>
      </c>
      <c r="AD404">
        <v>66</v>
      </c>
      <c r="AE404">
        <v>33</v>
      </c>
      <c r="AF404" t="s">
        <v>132</v>
      </c>
      <c r="AG404">
        <v>39</v>
      </c>
      <c r="AH404" t="s">
        <v>94</v>
      </c>
      <c r="AI404" t="s">
        <v>152</v>
      </c>
      <c r="AJ404" t="s">
        <v>69</v>
      </c>
      <c r="AK404" t="s">
        <v>70</v>
      </c>
      <c r="AL404" t="s">
        <v>71</v>
      </c>
      <c r="AM404" t="s">
        <v>71</v>
      </c>
      <c r="AN404" t="s">
        <v>243</v>
      </c>
      <c r="AO404" t="s">
        <v>72</v>
      </c>
      <c r="AP404" t="s">
        <v>72</v>
      </c>
      <c r="AQ404" t="s">
        <v>74</v>
      </c>
      <c r="AR404" s="1">
        <v>45157</v>
      </c>
      <c r="AS404" t="s">
        <v>137</v>
      </c>
      <c r="AT404" t="s">
        <v>71</v>
      </c>
      <c r="AU404">
        <v>891</v>
      </c>
      <c r="AV404" t="s">
        <v>76</v>
      </c>
      <c r="AW404" s="3">
        <v>72108</v>
      </c>
      <c r="AX404" t="s">
        <v>803</v>
      </c>
      <c r="AY404" t="s">
        <v>804</v>
      </c>
      <c r="AZ404" t="s">
        <v>76</v>
      </c>
      <c r="BA404" t="s">
        <v>800</v>
      </c>
      <c r="BB404" t="s">
        <v>801</v>
      </c>
      <c r="BC404" t="s">
        <v>802</v>
      </c>
      <c r="BD404" s="3">
        <v>7.3057081045099018E-2</v>
      </c>
      <c r="BE404">
        <v>547.4</v>
      </c>
      <c r="BG404" s="2">
        <f t="shared" si="29"/>
        <v>72108</v>
      </c>
      <c r="BH404" t="str" cm="1">
        <f t="array" ref="BH404">_xlfn.IFS(Q404&lt;5,"0-5 Years",Q404&lt;10,"5-10 Years",Q404&lt;15,"10-15 Years",TRUE,"15+ Years")</f>
        <v>0-5 Years</v>
      </c>
      <c r="BI404" t="str" cm="1">
        <f t="array" ref="BI404">_xlfn.IFS(AA404&gt;=540,"A",AA404&gt;=480,"B",AA404&gt;=420,"C",AA404&gt;=360,"D",TRUE,"F")</f>
        <v>C</v>
      </c>
      <c r="BJ404" t="str" cm="1">
        <f t="array" ref="BJ404">_xlfn.IFS(AU404&lt;0,"Separated",AU404&lt;=90,"High Risk",AU404&lt;=180,"Medium Risk",TRUE,"Retained")</f>
        <v>Retained</v>
      </c>
      <c r="BK404" t="str" cm="1">
        <f t="array" ref="BK404">_xlfn.IFS(V404=0,"No Combat",V404=1,"1 Tour",V404=2,"2 Tours",TRUE,"3+ Tours")</f>
        <v>No Combat</v>
      </c>
      <c r="BL404" t="str">
        <f t="shared" si="30"/>
        <v>Standard</v>
      </c>
      <c r="BM404" t="str">
        <f t="shared" si="31"/>
        <v>Not Ready</v>
      </c>
      <c r="BN404" s="3">
        <f t="shared" si="32"/>
        <v>7.3057081045099018E-2</v>
      </c>
      <c r="BO404">
        <f t="shared" si="33"/>
        <v>547.4</v>
      </c>
    </row>
    <row r="405" spans="1:67" x14ac:dyDescent="0.25">
      <c r="A405" t="s">
        <v>692</v>
      </c>
      <c r="B405" t="s">
        <v>308</v>
      </c>
      <c r="C405" t="s">
        <v>182</v>
      </c>
      <c r="D405" t="s">
        <v>51</v>
      </c>
      <c r="E405">
        <v>27</v>
      </c>
      <c r="F405" t="s">
        <v>316</v>
      </c>
      <c r="G405" t="s">
        <v>169</v>
      </c>
      <c r="H405" t="s">
        <v>170</v>
      </c>
      <c r="I405" t="s">
        <v>217</v>
      </c>
      <c r="J405" t="s">
        <v>218</v>
      </c>
      <c r="K405" t="s">
        <v>146</v>
      </c>
      <c r="L405" t="s">
        <v>174</v>
      </c>
      <c r="M405" t="s">
        <v>161</v>
      </c>
      <c r="N405" t="s">
        <v>265</v>
      </c>
      <c r="O405" t="s">
        <v>89</v>
      </c>
      <c r="P405" s="1">
        <v>42106</v>
      </c>
      <c r="Q405">
        <v>9.1</v>
      </c>
      <c r="R405" t="s">
        <v>208</v>
      </c>
      <c r="S405" t="s">
        <v>219</v>
      </c>
      <c r="T405" t="s">
        <v>220</v>
      </c>
      <c r="U405">
        <v>0</v>
      </c>
      <c r="V405">
        <v>0</v>
      </c>
      <c r="W405" s="2">
        <v>3294</v>
      </c>
      <c r="X405" s="2">
        <v>0</v>
      </c>
      <c r="Y405" s="2">
        <v>422</v>
      </c>
      <c r="Z405" s="2">
        <v>3716</v>
      </c>
      <c r="AA405">
        <v>517</v>
      </c>
      <c r="AB405" t="s">
        <v>65</v>
      </c>
      <c r="AC405">
        <v>18.899999999999999</v>
      </c>
      <c r="AD405">
        <v>41</v>
      </c>
      <c r="AE405">
        <v>48</v>
      </c>
      <c r="AF405" t="s">
        <v>112</v>
      </c>
      <c r="AG405">
        <v>30</v>
      </c>
      <c r="AH405" t="s">
        <v>67</v>
      </c>
      <c r="AI405" t="s">
        <v>114</v>
      </c>
      <c r="AJ405" t="s">
        <v>72</v>
      </c>
      <c r="AK405" t="s">
        <v>70</v>
      </c>
      <c r="AL405" t="s">
        <v>71</v>
      </c>
      <c r="AM405" t="s">
        <v>70</v>
      </c>
      <c r="AN405" t="s">
        <v>133</v>
      </c>
      <c r="AO405" t="s">
        <v>72</v>
      </c>
      <c r="AP405" t="s">
        <v>72</v>
      </c>
      <c r="AQ405" t="s">
        <v>117</v>
      </c>
      <c r="AR405" s="1">
        <v>43197</v>
      </c>
      <c r="AS405" t="s">
        <v>75</v>
      </c>
      <c r="AT405" t="s">
        <v>71</v>
      </c>
      <c r="AU405">
        <v>756</v>
      </c>
      <c r="AV405" t="s">
        <v>76</v>
      </c>
      <c r="AW405" s="3">
        <v>44592</v>
      </c>
      <c r="AX405" t="s">
        <v>808</v>
      </c>
      <c r="AY405" t="s">
        <v>806</v>
      </c>
      <c r="AZ405" t="s">
        <v>76</v>
      </c>
      <c r="BA405" t="s">
        <v>800</v>
      </c>
      <c r="BB405" t="s">
        <v>801</v>
      </c>
      <c r="BC405" t="s">
        <v>802</v>
      </c>
      <c r="BD405" s="3">
        <v>0.1391280947255113</v>
      </c>
      <c r="BE405">
        <v>587.4</v>
      </c>
      <c r="BG405" s="2">
        <f t="shared" si="29"/>
        <v>44592</v>
      </c>
      <c r="BH405" t="str" cm="1">
        <f t="array" ref="BH405">_xlfn.IFS(Q405&lt;5,"0-5 Years",Q405&lt;10,"5-10 Years",Q405&lt;15,"10-15 Years",TRUE,"15+ Years")</f>
        <v>5-10 Years</v>
      </c>
      <c r="BI405" t="str" cm="1">
        <f t="array" ref="BI405">_xlfn.IFS(AA405&gt;=540,"A",AA405&gt;=480,"B",AA405&gt;=420,"C",AA405&gt;=360,"D",TRUE,"F")</f>
        <v>B</v>
      </c>
      <c r="BJ405" t="str" cm="1">
        <f t="array" ref="BJ405">_xlfn.IFS(AU405&lt;0,"Separated",AU405&lt;=90,"High Risk",AU405&lt;=180,"Medium Risk",TRUE,"Retained")</f>
        <v>Retained</v>
      </c>
      <c r="BK405" t="str" cm="1">
        <f t="array" ref="BK405">_xlfn.IFS(V405=0,"No Combat",V405=1,"1 Tour",V405=2,"2 Tours",TRUE,"3+ Tours")</f>
        <v>No Combat</v>
      </c>
      <c r="BL405" t="str">
        <f t="shared" si="30"/>
        <v>Standard</v>
      </c>
      <c r="BM405" t="str">
        <f t="shared" si="31"/>
        <v>Not Ready</v>
      </c>
      <c r="BN405" s="3">
        <f t="shared" si="32"/>
        <v>0.1391280947255113</v>
      </c>
      <c r="BO405">
        <f t="shared" si="33"/>
        <v>587.4</v>
      </c>
    </row>
    <row r="406" spans="1:67" x14ac:dyDescent="0.25">
      <c r="A406" t="s">
        <v>693</v>
      </c>
      <c r="B406" t="s">
        <v>308</v>
      </c>
      <c r="C406" t="s">
        <v>252</v>
      </c>
      <c r="D406" t="s">
        <v>51</v>
      </c>
      <c r="E406">
        <v>29</v>
      </c>
      <c r="F406" t="s">
        <v>192</v>
      </c>
      <c r="G406" t="s">
        <v>279</v>
      </c>
      <c r="H406" t="s">
        <v>280</v>
      </c>
      <c r="I406" t="s">
        <v>158</v>
      </c>
      <c r="J406" t="s">
        <v>159</v>
      </c>
      <c r="K406" t="s">
        <v>160</v>
      </c>
      <c r="L406" t="s">
        <v>86</v>
      </c>
      <c r="M406" t="s">
        <v>275</v>
      </c>
      <c r="N406" t="s">
        <v>265</v>
      </c>
      <c r="O406" t="s">
        <v>149</v>
      </c>
      <c r="P406" s="1">
        <v>39553</v>
      </c>
      <c r="Q406">
        <v>16.100000000000001</v>
      </c>
      <c r="R406" t="s">
        <v>129</v>
      </c>
      <c r="S406" t="s">
        <v>63</v>
      </c>
      <c r="T406" t="s">
        <v>64</v>
      </c>
      <c r="U406">
        <v>0</v>
      </c>
      <c r="V406">
        <v>0</v>
      </c>
      <c r="W406" s="2">
        <v>6618</v>
      </c>
      <c r="X406" s="2">
        <v>1398</v>
      </c>
      <c r="Y406" s="2">
        <v>266</v>
      </c>
      <c r="Z406" s="2">
        <v>8282</v>
      </c>
      <c r="AA406">
        <v>398</v>
      </c>
      <c r="AB406" t="s">
        <v>65</v>
      </c>
      <c r="AC406">
        <v>14.7</v>
      </c>
      <c r="AD406">
        <v>34</v>
      </c>
      <c r="AE406">
        <v>31</v>
      </c>
      <c r="AF406" t="s">
        <v>112</v>
      </c>
      <c r="AG406">
        <v>20</v>
      </c>
      <c r="AH406" t="s">
        <v>113</v>
      </c>
      <c r="AI406" t="s">
        <v>152</v>
      </c>
      <c r="AJ406" t="s">
        <v>69</v>
      </c>
      <c r="AK406" t="s">
        <v>70</v>
      </c>
      <c r="AL406" t="s">
        <v>70</v>
      </c>
      <c r="AM406" t="s">
        <v>70</v>
      </c>
      <c r="AN406" t="s">
        <v>231</v>
      </c>
      <c r="AO406" t="s">
        <v>116</v>
      </c>
      <c r="AP406" t="s">
        <v>72</v>
      </c>
      <c r="AQ406" t="s">
        <v>117</v>
      </c>
      <c r="AR406" s="1">
        <v>43423</v>
      </c>
      <c r="AS406" t="s">
        <v>75</v>
      </c>
      <c r="AT406" t="s">
        <v>71</v>
      </c>
      <c r="AU406">
        <v>192</v>
      </c>
      <c r="AV406" t="s">
        <v>76</v>
      </c>
      <c r="AW406" s="3">
        <v>99384</v>
      </c>
      <c r="AX406" t="s">
        <v>798</v>
      </c>
      <c r="AY406" t="s">
        <v>809</v>
      </c>
      <c r="AZ406" t="s">
        <v>76</v>
      </c>
      <c r="BA406" t="s">
        <v>800</v>
      </c>
      <c r="BB406" t="s">
        <v>801</v>
      </c>
      <c r="BC406" t="s">
        <v>802</v>
      </c>
      <c r="BD406" s="3">
        <v>4.8056025114706594E-2</v>
      </c>
      <c r="BE406">
        <v>438.4</v>
      </c>
      <c r="BG406" s="2">
        <f t="shared" si="29"/>
        <v>99384</v>
      </c>
      <c r="BH406" t="str" cm="1">
        <f t="array" ref="BH406">_xlfn.IFS(Q406&lt;5,"0-5 Years",Q406&lt;10,"5-10 Years",Q406&lt;15,"10-15 Years",TRUE,"15+ Years")</f>
        <v>15+ Years</v>
      </c>
      <c r="BI406" t="str" cm="1">
        <f t="array" ref="BI406">_xlfn.IFS(AA406&gt;=540,"A",AA406&gt;=480,"B",AA406&gt;=420,"C",AA406&gt;=360,"D",TRUE,"F")</f>
        <v>D</v>
      </c>
      <c r="BJ406" t="str" cm="1">
        <f t="array" ref="BJ406">_xlfn.IFS(AU406&lt;0,"Separated",AU406&lt;=90,"High Risk",AU406&lt;=180,"Medium Risk",TRUE,"Retained")</f>
        <v>Retained</v>
      </c>
      <c r="BK406" t="str" cm="1">
        <f t="array" ref="BK406">_xlfn.IFS(V406=0,"No Combat",V406=1,"1 Tour",V406=2,"2 Tours",TRUE,"3+ Tours")</f>
        <v>No Combat</v>
      </c>
      <c r="BL406" t="str">
        <f t="shared" si="30"/>
        <v>Standard</v>
      </c>
      <c r="BM406" t="str">
        <f t="shared" si="31"/>
        <v>Not Ready</v>
      </c>
      <c r="BN406" s="3">
        <f t="shared" si="32"/>
        <v>4.8056025114706594E-2</v>
      </c>
      <c r="BO406">
        <f t="shared" si="33"/>
        <v>438.4</v>
      </c>
    </row>
    <row r="407" spans="1:67" x14ac:dyDescent="0.25">
      <c r="A407" t="s">
        <v>694</v>
      </c>
      <c r="B407" t="s">
        <v>308</v>
      </c>
      <c r="C407" t="s">
        <v>334</v>
      </c>
      <c r="D407" t="s">
        <v>122</v>
      </c>
      <c r="E407">
        <v>30</v>
      </c>
      <c r="F407" t="s">
        <v>311</v>
      </c>
      <c r="G407" t="s">
        <v>156</v>
      </c>
      <c r="H407" t="s">
        <v>157</v>
      </c>
      <c r="I407" t="s">
        <v>268</v>
      </c>
      <c r="J407" t="s">
        <v>269</v>
      </c>
      <c r="K407" t="s">
        <v>173</v>
      </c>
      <c r="L407" t="s">
        <v>106</v>
      </c>
      <c r="M407" t="s">
        <v>127</v>
      </c>
      <c r="N407" t="s">
        <v>88</v>
      </c>
      <c r="O407" t="s">
        <v>149</v>
      </c>
      <c r="P407" s="1">
        <v>40886</v>
      </c>
      <c r="Q407">
        <v>12.5</v>
      </c>
      <c r="R407" t="s">
        <v>90</v>
      </c>
      <c r="S407" t="s">
        <v>130</v>
      </c>
      <c r="T407" t="s">
        <v>131</v>
      </c>
      <c r="U407">
        <v>7</v>
      </c>
      <c r="V407">
        <v>1</v>
      </c>
      <c r="W407" s="2">
        <v>4836</v>
      </c>
      <c r="X407" s="2">
        <v>1107</v>
      </c>
      <c r="Y407" s="2">
        <v>266</v>
      </c>
      <c r="Z407" s="2">
        <v>6209</v>
      </c>
      <c r="AA407">
        <v>351</v>
      </c>
      <c r="AB407" t="s">
        <v>151</v>
      </c>
      <c r="AC407">
        <v>17.7</v>
      </c>
      <c r="AD407">
        <v>66</v>
      </c>
      <c r="AE407">
        <v>80</v>
      </c>
      <c r="AF407" t="s">
        <v>93</v>
      </c>
      <c r="AG407">
        <v>27</v>
      </c>
      <c r="AH407" t="s">
        <v>113</v>
      </c>
      <c r="AI407" t="s">
        <v>68</v>
      </c>
      <c r="AJ407" t="s">
        <v>188</v>
      </c>
      <c r="AK407" t="s">
        <v>70</v>
      </c>
      <c r="AL407" t="s">
        <v>70</v>
      </c>
      <c r="AM407" t="s">
        <v>71</v>
      </c>
      <c r="AN407" t="s">
        <v>72</v>
      </c>
      <c r="AO407" t="s">
        <v>287</v>
      </c>
      <c r="AP407" t="s">
        <v>72</v>
      </c>
      <c r="AQ407" t="s">
        <v>136</v>
      </c>
      <c r="AR407" s="1">
        <v>44924</v>
      </c>
      <c r="AS407" t="s">
        <v>137</v>
      </c>
      <c r="AT407" t="s">
        <v>71</v>
      </c>
      <c r="AU407">
        <v>1702</v>
      </c>
      <c r="AV407" t="s">
        <v>76</v>
      </c>
      <c r="AW407" s="3">
        <v>74508</v>
      </c>
      <c r="AX407" t="s">
        <v>805</v>
      </c>
      <c r="AY407" t="s">
        <v>122</v>
      </c>
      <c r="AZ407" t="s">
        <v>76</v>
      </c>
      <c r="BA407" t="s">
        <v>807</v>
      </c>
      <c r="BB407" t="s">
        <v>801</v>
      </c>
      <c r="BC407" t="s">
        <v>802</v>
      </c>
      <c r="BD407" s="3">
        <v>5.6530842325656305E-2</v>
      </c>
      <c r="BE407">
        <v>425.4</v>
      </c>
      <c r="BG407" s="2">
        <f t="shared" si="29"/>
        <v>74508</v>
      </c>
      <c r="BH407" t="str" cm="1">
        <f t="array" ref="BH407">_xlfn.IFS(Q407&lt;5,"0-5 Years",Q407&lt;10,"5-10 Years",Q407&lt;15,"10-15 Years",TRUE,"15+ Years")</f>
        <v>10-15 Years</v>
      </c>
      <c r="BI407" t="str" cm="1">
        <f t="array" ref="BI407">_xlfn.IFS(AA407&gt;=540,"A",AA407&gt;=480,"B",AA407&gt;=420,"C",AA407&gt;=360,"D",TRUE,"F")</f>
        <v>F</v>
      </c>
      <c r="BJ407" t="str" cm="1">
        <f t="array" ref="BJ407">_xlfn.IFS(AU407&lt;0,"Separated",AU407&lt;=90,"High Risk",AU407&lt;=180,"Medium Risk",TRUE,"Retained")</f>
        <v>Retained</v>
      </c>
      <c r="BK407" t="str" cm="1">
        <f t="array" ref="BK407">_xlfn.IFS(V407=0,"No Combat",V407=1,"1 Tour",V407=2,"2 Tours",TRUE,"3+ Tours")</f>
        <v>1 Tour</v>
      </c>
      <c r="BL407" t="str">
        <f t="shared" si="30"/>
        <v>Standard</v>
      </c>
      <c r="BM407" t="str">
        <f t="shared" si="31"/>
        <v>Not Ready</v>
      </c>
      <c r="BN407" s="3">
        <f t="shared" si="32"/>
        <v>5.6530842325656305E-2</v>
      </c>
      <c r="BO407">
        <f t="shared" si="33"/>
        <v>425.4</v>
      </c>
    </row>
    <row r="408" spans="1:67" x14ac:dyDescent="0.25">
      <c r="A408" t="s">
        <v>695</v>
      </c>
      <c r="B408" t="s">
        <v>229</v>
      </c>
      <c r="C408" t="s">
        <v>191</v>
      </c>
      <c r="D408" t="s">
        <v>51</v>
      </c>
      <c r="E408">
        <v>25</v>
      </c>
      <c r="F408" t="s">
        <v>241</v>
      </c>
      <c r="G408" t="s">
        <v>53</v>
      </c>
      <c r="H408" t="s">
        <v>54</v>
      </c>
      <c r="I408" t="s">
        <v>55</v>
      </c>
      <c r="J408" t="s">
        <v>56</v>
      </c>
      <c r="K408" t="s">
        <v>57</v>
      </c>
      <c r="L408" t="s">
        <v>86</v>
      </c>
      <c r="M408" t="s">
        <v>59</v>
      </c>
      <c r="N408" t="s">
        <v>108</v>
      </c>
      <c r="O408" t="s">
        <v>149</v>
      </c>
      <c r="P408" s="1">
        <v>40223</v>
      </c>
      <c r="Q408">
        <v>14.3</v>
      </c>
      <c r="R408" t="s">
        <v>62</v>
      </c>
      <c r="S408" t="s">
        <v>219</v>
      </c>
      <c r="T408" t="s">
        <v>220</v>
      </c>
      <c r="U408">
        <v>0</v>
      </c>
      <c r="V408">
        <v>0</v>
      </c>
      <c r="W408" s="2">
        <v>4739</v>
      </c>
      <c r="X408" s="2">
        <v>0</v>
      </c>
      <c r="Y408" s="2">
        <v>422</v>
      </c>
      <c r="Z408" s="2">
        <v>5161</v>
      </c>
      <c r="AA408">
        <v>572</v>
      </c>
      <c r="AB408" t="s">
        <v>65</v>
      </c>
      <c r="AC408">
        <v>12.8</v>
      </c>
      <c r="AD408">
        <v>58</v>
      </c>
      <c r="AE408">
        <v>47</v>
      </c>
      <c r="AF408" t="s">
        <v>112</v>
      </c>
      <c r="AG408">
        <v>18</v>
      </c>
      <c r="AH408" t="s">
        <v>113</v>
      </c>
      <c r="AI408" t="s">
        <v>152</v>
      </c>
      <c r="AJ408" t="s">
        <v>96</v>
      </c>
      <c r="AK408" t="s">
        <v>71</v>
      </c>
      <c r="AL408" t="s">
        <v>71</v>
      </c>
      <c r="AM408" t="s">
        <v>70</v>
      </c>
      <c r="AN408" t="s">
        <v>115</v>
      </c>
      <c r="AO408" t="s">
        <v>72</v>
      </c>
      <c r="AP408" t="s">
        <v>72</v>
      </c>
      <c r="AQ408" t="s">
        <v>136</v>
      </c>
      <c r="AR408" s="1">
        <v>40597</v>
      </c>
      <c r="AS408" t="s">
        <v>198</v>
      </c>
      <c r="AT408" t="s">
        <v>71</v>
      </c>
      <c r="AU408">
        <v>806</v>
      </c>
      <c r="AV408" t="s">
        <v>76</v>
      </c>
      <c r="AW408" s="3">
        <v>61932</v>
      </c>
      <c r="AX408" t="s">
        <v>805</v>
      </c>
      <c r="AY408" t="s">
        <v>799</v>
      </c>
      <c r="AZ408" t="s">
        <v>76</v>
      </c>
      <c r="BA408" t="s">
        <v>800</v>
      </c>
      <c r="BB408" t="s">
        <v>801</v>
      </c>
      <c r="BC408" t="s">
        <v>802</v>
      </c>
      <c r="BD408" s="3">
        <v>0.11083123425692695</v>
      </c>
      <c r="BE408">
        <v>628.4</v>
      </c>
      <c r="BG408" s="2">
        <f t="shared" si="29"/>
        <v>61932</v>
      </c>
      <c r="BH408" t="str" cm="1">
        <f t="array" ref="BH408">_xlfn.IFS(Q408&lt;5,"0-5 Years",Q408&lt;10,"5-10 Years",Q408&lt;15,"10-15 Years",TRUE,"15+ Years")</f>
        <v>10-15 Years</v>
      </c>
      <c r="BI408" t="str" cm="1">
        <f t="array" ref="BI408">_xlfn.IFS(AA408&gt;=540,"A",AA408&gt;=480,"B",AA408&gt;=420,"C",AA408&gt;=360,"D",TRUE,"F")</f>
        <v>A</v>
      </c>
      <c r="BJ408" t="str" cm="1">
        <f t="array" ref="BJ408">_xlfn.IFS(AU408&lt;0,"Separated",AU408&lt;=90,"High Risk",AU408&lt;=180,"Medium Risk",TRUE,"Retained")</f>
        <v>Retained</v>
      </c>
      <c r="BK408" t="str" cm="1">
        <f t="array" ref="BK408">_xlfn.IFS(V408=0,"No Combat",V408=1,"1 Tour",V408=2,"2 Tours",TRUE,"3+ Tours")</f>
        <v>No Combat</v>
      </c>
      <c r="BL408" t="str">
        <f t="shared" si="30"/>
        <v>Standard</v>
      </c>
      <c r="BM408" t="str">
        <f t="shared" si="31"/>
        <v>Not Ready</v>
      </c>
      <c r="BN408" s="3">
        <f t="shared" si="32"/>
        <v>0.11083123425692695</v>
      </c>
      <c r="BO408">
        <f t="shared" si="33"/>
        <v>628.4</v>
      </c>
    </row>
    <row r="409" spans="1:67" x14ac:dyDescent="0.25">
      <c r="A409" t="s">
        <v>696</v>
      </c>
      <c r="B409" t="s">
        <v>308</v>
      </c>
      <c r="C409" t="s">
        <v>155</v>
      </c>
      <c r="D409" t="s">
        <v>51</v>
      </c>
      <c r="E409">
        <v>33</v>
      </c>
      <c r="F409" t="s">
        <v>123</v>
      </c>
      <c r="G409" t="s">
        <v>81</v>
      </c>
      <c r="H409" t="s">
        <v>82</v>
      </c>
      <c r="I409" t="s">
        <v>185</v>
      </c>
      <c r="J409" t="s">
        <v>186</v>
      </c>
      <c r="K409" t="s">
        <v>187</v>
      </c>
      <c r="L409" t="s">
        <v>174</v>
      </c>
      <c r="M409" t="s">
        <v>249</v>
      </c>
      <c r="N409" t="s">
        <v>108</v>
      </c>
      <c r="O409" t="s">
        <v>89</v>
      </c>
      <c r="P409" s="1">
        <v>42796</v>
      </c>
      <c r="Q409">
        <v>7.2</v>
      </c>
      <c r="R409" t="s">
        <v>150</v>
      </c>
      <c r="S409" t="s">
        <v>63</v>
      </c>
      <c r="T409" t="s">
        <v>64</v>
      </c>
      <c r="U409">
        <v>0</v>
      </c>
      <c r="V409">
        <v>0</v>
      </c>
      <c r="W409" s="2">
        <v>2504</v>
      </c>
      <c r="X409" s="2">
        <v>1240</v>
      </c>
      <c r="Y409" s="2">
        <v>422</v>
      </c>
      <c r="Z409" s="2">
        <v>4166</v>
      </c>
      <c r="AA409">
        <v>510</v>
      </c>
      <c r="AB409" t="s">
        <v>65</v>
      </c>
      <c r="AC409">
        <v>15</v>
      </c>
      <c r="AD409">
        <v>20</v>
      </c>
      <c r="AE409">
        <v>67</v>
      </c>
      <c r="AF409" t="s">
        <v>66</v>
      </c>
      <c r="AG409">
        <v>39</v>
      </c>
      <c r="AH409" t="s">
        <v>94</v>
      </c>
      <c r="AI409" t="s">
        <v>68</v>
      </c>
      <c r="AJ409" t="s">
        <v>96</v>
      </c>
      <c r="AK409" t="s">
        <v>70</v>
      </c>
      <c r="AL409" t="s">
        <v>70</v>
      </c>
      <c r="AM409" t="s">
        <v>70</v>
      </c>
      <c r="AN409" t="s">
        <v>133</v>
      </c>
      <c r="AO409" t="s">
        <v>287</v>
      </c>
      <c r="AP409" t="s">
        <v>73</v>
      </c>
      <c r="AQ409" t="s">
        <v>74</v>
      </c>
      <c r="AR409" s="1">
        <v>43963</v>
      </c>
      <c r="AS409" t="s">
        <v>198</v>
      </c>
      <c r="AT409" t="s">
        <v>71</v>
      </c>
      <c r="AU409">
        <v>582</v>
      </c>
      <c r="AV409" t="s">
        <v>76</v>
      </c>
      <c r="AW409" s="3">
        <v>49992</v>
      </c>
      <c r="AX409" t="s">
        <v>808</v>
      </c>
      <c r="AY409" t="s">
        <v>806</v>
      </c>
      <c r="AZ409" t="s">
        <v>76</v>
      </c>
      <c r="BA409" t="s">
        <v>800</v>
      </c>
      <c r="BB409" t="s">
        <v>814</v>
      </c>
      <c r="BC409" t="s">
        <v>802</v>
      </c>
      <c r="BD409" s="3">
        <v>0.12241958713394142</v>
      </c>
      <c r="BE409">
        <v>588.4</v>
      </c>
      <c r="BG409" s="2">
        <f t="shared" si="29"/>
        <v>49992</v>
      </c>
      <c r="BH409" t="str" cm="1">
        <f t="array" ref="BH409">_xlfn.IFS(Q409&lt;5,"0-5 Years",Q409&lt;10,"5-10 Years",Q409&lt;15,"10-15 Years",TRUE,"15+ Years")</f>
        <v>5-10 Years</v>
      </c>
      <c r="BI409" t="str" cm="1">
        <f t="array" ref="BI409">_xlfn.IFS(AA409&gt;=540,"A",AA409&gt;=480,"B",AA409&gt;=420,"C",AA409&gt;=360,"D",TRUE,"F")</f>
        <v>B</v>
      </c>
      <c r="BJ409" t="str" cm="1">
        <f t="array" ref="BJ409">_xlfn.IFS(AU409&lt;0,"Separated",AU409&lt;=90,"High Risk",AU409&lt;=180,"Medium Risk",TRUE,"Retained")</f>
        <v>Retained</v>
      </c>
      <c r="BK409" t="str" cm="1">
        <f t="array" ref="BK409">_xlfn.IFS(V409=0,"No Combat",V409=1,"1 Tour",V409=2,"2 Tours",TRUE,"3+ Tours")</f>
        <v>No Combat</v>
      </c>
      <c r="BL409" t="str">
        <f t="shared" si="30"/>
        <v>High Performer</v>
      </c>
      <c r="BM409" t="str">
        <f t="shared" si="31"/>
        <v>Not Ready</v>
      </c>
      <c r="BN409" s="3">
        <f t="shared" si="32"/>
        <v>0.12241958713394142</v>
      </c>
      <c r="BO409">
        <f t="shared" si="33"/>
        <v>588.4</v>
      </c>
    </row>
    <row r="410" spans="1:67" x14ac:dyDescent="0.25">
      <c r="A410" t="s">
        <v>697</v>
      </c>
      <c r="B410" t="s">
        <v>49</v>
      </c>
      <c r="C410" t="s">
        <v>360</v>
      </c>
      <c r="D410" t="s">
        <v>51</v>
      </c>
      <c r="E410">
        <v>34</v>
      </c>
      <c r="F410" t="s">
        <v>224</v>
      </c>
      <c r="G410" t="s">
        <v>142</v>
      </c>
      <c r="H410" t="s">
        <v>143</v>
      </c>
      <c r="I410" t="s">
        <v>158</v>
      </c>
      <c r="J410" t="s">
        <v>159</v>
      </c>
      <c r="K410" t="s">
        <v>160</v>
      </c>
      <c r="L410" t="s">
        <v>126</v>
      </c>
      <c r="M410" t="s">
        <v>127</v>
      </c>
      <c r="N410" t="s">
        <v>128</v>
      </c>
      <c r="O410" t="s">
        <v>149</v>
      </c>
      <c r="P410" s="1">
        <v>42347</v>
      </c>
      <c r="Q410">
        <v>8.5</v>
      </c>
      <c r="R410" t="s">
        <v>62</v>
      </c>
      <c r="S410" t="s">
        <v>163</v>
      </c>
      <c r="T410" t="s">
        <v>164</v>
      </c>
      <c r="U410">
        <v>10</v>
      </c>
      <c r="V410">
        <v>1</v>
      </c>
      <c r="W410" s="2">
        <v>5473</v>
      </c>
      <c r="X410" s="2">
        <v>1843</v>
      </c>
      <c r="Y410" s="2">
        <v>422</v>
      </c>
      <c r="Z410" s="2">
        <v>7738</v>
      </c>
      <c r="AA410">
        <v>511</v>
      </c>
      <c r="AB410" t="s">
        <v>65</v>
      </c>
      <c r="AC410">
        <v>16.7</v>
      </c>
      <c r="AD410">
        <v>31</v>
      </c>
      <c r="AE410">
        <v>34</v>
      </c>
      <c r="AF410" t="s">
        <v>112</v>
      </c>
      <c r="AG410">
        <v>19</v>
      </c>
      <c r="AH410" t="s">
        <v>113</v>
      </c>
      <c r="AI410" t="s">
        <v>68</v>
      </c>
      <c r="AJ410" t="s">
        <v>72</v>
      </c>
      <c r="AK410" t="s">
        <v>70</v>
      </c>
      <c r="AL410" t="s">
        <v>71</v>
      </c>
      <c r="AM410" t="s">
        <v>70</v>
      </c>
      <c r="AN410" t="s">
        <v>72</v>
      </c>
      <c r="AO410" t="s">
        <v>287</v>
      </c>
      <c r="AP410" t="s">
        <v>72</v>
      </c>
      <c r="AQ410" t="s">
        <v>98</v>
      </c>
      <c r="AR410" s="1">
        <v>43234</v>
      </c>
      <c r="AS410" t="s">
        <v>198</v>
      </c>
      <c r="AT410" t="s">
        <v>71</v>
      </c>
      <c r="AU410">
        <v>361</v>
      </c>
      <c r="AV410" t="s">
        <v>76</v>
      </c>
      <c r="AW410" s="3">
        <v>92856</v>
      </c>
      <c r="AX410" t="s">
        <v>808</v>
      </c>
      <c r="AY410" t="s">
        <v>806</v>
      </c>
      <c r="AZ410" t="s">
        <v>76</v>
      </c>
      <c r="BA410" t="s">
        <v>807</v>
      </c>
      <c r="BB410" t="s">
        <v>801</v>
      </c>
      <c r="BC410" t="s">
        <v>802</v>
      </c>
      <c r="BD410" s="3">
        <v>6.6037735849056603E-2</v>
      </c>
      <c r="BE410">
        <v>559.4</v>
      </c>
      <c r="BG410" s="2">
        <f t="shared" si="29"/>
        <v>92856</v>
      </c>
      <c r="BH410" t="str" cm="1">
        <f t="array" ref="BH410">_xlfn.IFS(Q410&lt;5,"0-5 Years",Q410&lt;10,"5-10 Years",Q410&lt;15,"10-15 Years",TRUE,"15+ Years")</f>
        <v>5-10 Years</v>
      </c>
      <c r="BI410" t="str" cm="1">
        <f t="array" ref="BI410">_xlfn.IFS(AA410&gt;=540,"A",AA410&gt;=480,"B",AA410&gt;=420,"C",AA410&gt;=360,"D",TRUE,"F")</f>
        <v>B</v>
      </c>
      <c r="BJ410" t="str" cm="1">
        <f t="array" ref="BJ410">_xlfn.IFS(AU410&lt;0,"Separated",AU410&lt;=90,"High Risk",AU410&lt;=180,"Medium Risk",TRUE,"Retained")</f>
        <v>Retained</v>
      </c>
      <c r="BK410" t="str" cm="1">
        <f t="array" ref="BK410">_xlfn.IFS(V410=0,"No Combat",V410=1,"1 Tour",V410=2,"2 Tours",TRUE,"3+ Tours")</f>
        <v>1 Tour</v>
      </c>
      <c r="BL410" t="str">
        <f t="shared" si="30"/>
        <v>Standard</v>
      </c>
      <c r="BM410" t="str">
        <f t="shared" si="31"/>
        <v>Not Ready</v>
      </c>
      <c r="BN410" s="3">
        <f t="shared" si="32"/>
        <v>6.6037735849056603E-2</v>
      </c>
      <c r="BO410">
        <f t="shared" si="33"/>
        <v>559.4</v>
      </c>
    </row>
    <row r="411" spans="1:67" x14ac:dyDescent="0.25">
      <c r="A411" t="s">
        <v>698</v>
      </c>
      <c r="B411" t="s">
        <v>181</v>
      </c>
      <c r="C411" t="s">
        <v>360</v>
      </c>
      <c r="D411" t="s">
        <v>51</v>
      </c>
      <c r="E411">
        <v>28</v>
      </c>
      <c r="F411" t="s">
        <v>248</v>
      </c>
      <c r="G411" t="s">
        <v>169</v>
      </c>
      <c r="H411" t="s">
        <v>170</v>
      </c>
      <c r="I411" t="s">
        <v>292</v>
      </c>
      <c r="J411" t="s">
        <v>293</v>
      </c>
      <c r="K411" t="s">
        <v>294</v>
      </c>
      <c r="L411" t="s">
        <v>126</v>
      </c>
      <c r="M411" t="s">
        <v>275</v>
      </c>
      <c r="N411" t="s">
        <v>128</v>
      </c>
      <c r="O411" t="s">
        <v>149</v>
      </c>
      <c r="P411" s="1">
        <v>43351</v>
      </c>
      <c r="Q411">
        <v>5.7</v>
      </c>
      <c r="R411" t="s">
        <v>75</v>
      </c>
      <c r="S411" t="s">
        <v>219</v>
      </c>
      <c r="T411" t="s">
        <v>220</v>
      </c>
      <c r="U411">
        <v>0</v>
      </c>
      <c r="V411">
        <v>0</v>
      </c>
      <c r="W411" s="2">
        <v>3294</v>
      </c>
      <c r="X411" s="2">
        <v>1121</v>
      </c>
      <c r="Y411" s="2">
        <v>422</v>
      </c>
      <c r="Z411" s="2">
        <v>4837</v>
      </c>
      <c r="AA411">
        <v>594</v>
      </c>
      <c r="AB411" t="s">
        <v>65</v>
      </c>
      <c r="AC411">
        <v>20.6</v>
      </c>
      <c r="AD411">
        <v>82</v>
      </c>
      <c r="AE411">
        <v>60</v>
      </c>
      <c r="AF411" t="s">
        <v>132</v>
      </c>
      <c r="AG411">
        <v>40</v>
      </c>
      <c r="AH411" t="s">
        <v>94</v>
      </c>
      <c r="AI411" t="s">
        <v>68</v>
      </c>
      <c r="AJ411" t="s">
        <v>96</v>
      </c>
      <c r="AK411" t="s">
        <v>70</v>
      </c>
      <c r="AL411" t="s">
        <v>71</v>
      </c>
      <c r="AM411" t="s">
        <v>70</v>
      </c>
      <c r="AN411" t="s">
        <v>72</v>
      </c>
      <c r="AO411" t="s">
        <v>72</v>
      </c>
      <c r="AP411" t="s">
        <v>72</v>
      </c>
      <c r="AQ411" t="s">
        <v>117</v>
      </c>
      <c r="AR411" s="1">
        <v>45408</v>
      </c>
      <c r="AS411" t="s">
        <v>198</v>
      </c>
      <c r="AT411" t="s">
        <v>71</v>
      </c>
      <c r="AU411">
        <v>1111</v>
      </c>
      <c r="AV411" t="s">
        <v>76</v>
      </c>
      <c r="AW411" s="3">
        <v>58044</v>
      </c>
      <c r="AX411" t="s">
        <v>808</v>
      </c>
      <c r="AY411" t="s">
        <v>799</v>
      </c>
      <c r="AZ411" t="s">
        <v>76</v>
      </c>
      <c r="BA411" t="s">
        <v>800</v>
      </c>
      <c r="BB411" t="s">
        <v>801</v>
      </c>
      <c r="BC411" t="s">
        <v>802</v>
      </c>
      <c r="BD411" s="3">
        <v>0.12280339053132107</v>
      </c>
      <c r="BE411">
        <v>684.4</v>
      </c>
      <c r="BG411" s="2">
        <f t="shared" si="29"/>
        <v>58044</v>
      </c>
      <c r="BH411" t="str" cm="1">
        <f t="array" ref="BH411">_xlfn.IFS(Q411&lt;5,"0-5 Years",Q411&lt;10,"5-10 Years",Q411&lt;15,"10-15 Years",TRUE,"15+ Years")</f>
        <v>5-10 Years</v>
      </c>
      <c r="BI411" t="str" cm="1">
        <f t="array" ref="BI411">_xlfn.IFS(AA411&gt;=540,"A",AA411&gt;=480,"B",AA411&gt;=420,"C",AA411&gt;=360,"D",TRUE,"F")</f>
        <v>A</v>
      </c>
      <c r="BJ411" t="str" cm="1">
        <f t="array" ref="BJ411">_xlfn.IFS(AU411&lt;0,"Separated",AU411&lt;=90,"High Risk",AU411&lt;=180,"Medium Risk",TRUE,"Retained")</f>
        <v>Retained</v>
      </c>
      <c r="BK411" t="str" cm="1">
        <f t="array" ref="BK411">_xlfn.IFS(V411=0,"No Combat",V411=1,"1 Tour",V411=2,"2 Tours",TRUE,"3+ Tours")</f>
        <v>No Combat</v>
      </c>
      <c r="BL411" t="str">
        <f t="shared" si="30"/>
        <v>Standard</v>
      </c>
      <c r="BM411" t="str">
        <f t="shared" si="31"/>
        <v>Not Ready</v>
      </c>
      <c r="BN411" s="3">
        <f t="shared" si="32"/>
        <v>0.12280339053132107</v>
      </c>
      <c r="BO411">
        <f t="shared" si="33"/>
        <v>684.4</v>
      </c>
    </row>
    <row r="412" spans="1:67" x14ac:dyDescent="0.25">
      <c r="A412" t="s">
        <v>699</v>
      </c>
      <c r="B412" t="s">
        <v>78</v>
      </c>
      <c r="C412" t="s">
        <v>501</v>
      </c>
      <c r="D412" t="s">
        <v>122</v>
      </c>
      <c r="E412">
        <v>32</v>
      </c>
      <c r="F412" t="s">
        <v>80</v>
      </c>
      <c r="G412" t="s">
        <v>298</v>
      </c>
      <c r="H412" t="s">
        <v>299</v>
      </c>
      <c r="I412" t="s">
        <v>253</v>
      </c>
      <c r="J412" t="s">
        <v>254</v>
      </c>
      <c r="K412" t="s">
        <v>255</v>
      </c>
      <c r="L412" t="s">
        <v>86</v>
      </c>
      <c r="M412" t="s">
        <v>175</v>
      </c>
      <c r="N412" t="s">
        <v>128</v>
      </c>
      <c r="O412" t="s">
        <v>149</v>
      </c>
      <c r="P412" s="1">
        <v>42095</v>
      </c>
      <c r="Q412">
        <v>9.1999999999999993</v>
      </c>
      <c r="R412" t="s">
        <v>195</v>
      </c>
      <c r="S412" t="s">
        <v>196</v>
      </c>
      <c r="T412" t="s">
        <v>197</v>
      </c>
      <c r="U412">
        <v>0</v>
      </c>
      <c r="V412">
        <v>0</v>
      </c>
      <c r="W412" s="2">
        <v>2149</v>
      </c>
      <c r="X412" s="2">
        <v>0</v>
      </c>
      <c r="Y412" s="2">
        <v>422</v>
      </c>
      <c r="Z412" s="2">
        <v>2571</v>
      </c>
      <c r="AA412">
        <v>421</v>
      </c>
      <c r="AB412" t="s">
        <v>65</v>
      </c>
      <c r="AC412">
        <v>19.5</v>
      </c>
      <c r="AD412">
        <v>32</v>
      </c>
      <c r="AE412">
        <v>43</v>
      </c>
      <c r="AF412" t="s">
        <v>112</v>
      </c>
      <c r="AG412">
        <v>27</v>
      </c>
      <c r="AH412" t="s">
        <v>113</v>
      </c>
      <c r="AI412" t="s">
        <v>177</v>
      </c>
      <c r="AJ412" t="s">
        <v>188</v>
      </c>
      <c r="AK412" t="s">
        <v>70</v>
      </c>
      <c r="AL412" t="s">
        <v>70</v>
      </c>
      <c r="AM412" t="s">
        <v>70</v>
      </c>
      <c r="AN412" t="s">
        <v>72</v>
      </c>
      <c r="AO412" t="s">
        <v>135</v>
      </c>
      <c r="AP412" t="s">
        <v>72</v>
      </c>
      <c r="AQ412" t="s">
        <v>74</v>
      </c>
      <c r="AR412" s="1">
        <v>43338</v>
      </c>
      <c r="AS412" t="s">
        <v>137</v>
      </c>
      <c r="AT412" t="s">
        <v>71</v>
      </c>
      <c r="AU412">
        <v>1464</v>
      </c>
      <c r="AV412" t="s">
        <v>76</v>
      </c>
      <c r="AW412" s="3">
        <v>30852</v>
      </c>
      <c r="AX412" t="s">
        <v>808</v>
      </c>
      <c r="AY412" t="s">
        <v>804</v>
      </c>
      <c r="AZ412" t="s">
        <v>76</v>
      </c>
      <c r="BA412" t="s">
        <v>800</v>
      </c>
      <c r="BB412" t="s">
        <v>801</v>
      </c>
      <c r="BC412" t="s">
        <v>802</v>
      </c>
      <c r="BD412" s="3">
        <v>0.16374951380785688</v>
      </c>
      <c r="BE412">
        <v>475.4</v>
      </c>
      <c r="BG412" s="2">
        <f t="shared" si="29"/>
        <v>30852</v>
      </c>
      <c r="BH412" t="str" cm="1">
        <f t="array" ref="BH412">_xlfn.IFS(Q412&lt;5,"0-5 Years",Q412&lt;10,"5-10 Years",Q412&lt;15,"10-15 Years",TRUE,"15+ Years")</f>
        <v>5-10 Years</v>
      </c>
      <c r="BI412" t="str" cm="1">
        <f t="array" ref="BI412">_xlfn.IFS(AA412&gt;=540,"A",AA412&gt;=480,"B",AA412&gt;=420,"C",AA412&gt;=360,"D",TRUE,"F")</f>
        <v>C</v>
      </c>
      <c r="BJ412" t="str" cm="1">
        <f t="array" ref="BJ412">_xlfn.IFS(AU412&lt;0,"Separated",AU412&lt;=90,"High Risk",AU412&lt;=180,"Medium Risk",TRUE,"Retained")</f>
        <v>Retained</v>
      </c>
      <c r="BK412" t="str" cm="1">
        <f t="array" ref="BK412">_xlfn.IFS(V412=0,"No Combat",V412=1,"1 Tour",V412=2,"2 Tours",TRUE,"3+ Tours")</f>
        <v>No Combat</v>
      </c>
      <c r="BL412" t="str">
        <f t="shared" si="30"/>
        <v>Standard</v>
      </c>
      <c r="BM412" t="str">
        <f t="shared" si="31"/>
        <v>Not Ready</v>
      </c>
      <c r="BN412" s="3">
        <f t="shared" si="32"/>
        <v>0.16374951380785688</v>
      </c>
      <c r="BO412">
        <f t="shared" si="33"/>
        <v>475.4</v>
      </c>
    </row>
    <row r="413" spans="1:67" x14ac:dyDescent="0.25">
      <c r="A413" t="s">
        <v>700</v>
      </c>
      <c r="B413" t="s">
        <v>210</v>
      </c>
      <c r="C413" t="s">
        <v>501</v>
      </c>
      <c r="D413" t="s">
        <v>122</v>
      </c>
      <c r="E413">
        <v>44</v>
      </c>
      <c r="F413" t="s">
        <v>192</v>
      </c>
      <c r="G413" t="s">
        <v>156</v>
      </c>
      <c r="H413" t="s">
        <v>157</v>
      </c>
      <c r="I413" t="s">
        <v>260</v>
      </c>
      <c r="J413" t="s">
        <v>261</v>
      </c>
      <c r="K413" t="s">
        <v>173</v>
      </c>
      <c r="L413" t="s">
        <v>106</v>
      </c>
      <c r="M413" t="s">
        <v>249</v>
      </c>
      <c r="N413" t="s">
        <v>108</v>
      </c>
      <c r="O413" t="s">
        <v>176</v>
      </c>
      <c r="P413" s="1">
        <v>43323</v>
      </c>
      <c r="Q413">
        <v>5.8</v>
      </c>
      <c r="R413" t="s">
        <v>129</v>
      </c>
      <c r="S413" t="s">
        <v>63</v>
      </c>
      <c r="T413" t="s">
        <v>64</v>
      </c>
      <c r="U413">
        <v>0</v>
      </c>
      <c r="V413">
        <v>0</v>
      </c>
      <c r="W413" s="2">
        <v>4836</v>
      </c>
      <c r="X413" s="2">
        <v>0</v>
      </c>
      <c r="Y413" s="2">
        <v>266</v>
      </c>
      <c r="Z413" s="2">
        <v>5102</v>
      </c>
      <c r="AA413">
        <v>431</v>
      </c>
      <c r="AB413" t="s">
        <v>65</v>
      </c>
      <c r="AC413">
        <v>13.4</v>
      </c>
      <c r="AD413">
        <v>60</v>
      </c>
      <c r="AE413">
        <v>51</v>
      </c>
      <c r="AF413" t="s">
        <v>112</v>
      </c>
      <c r="AG413">
        <v>30</v>
      </c>
      <c r="AH413" t="s">
        <v>67</v>
      </c>
      <c r="AI413" t="s">
        <v>114</v>
      </c>
      <c r="AJ413" t="s">
        <v>72</v>
      </c>
      <c r="AK413" t="s">
        <v>70</v>
      </c>
      <c r="AL413" t="s">
        <v>70</v>
      </c>
      <c r="AM413" t="s">
        <v>70</v>
      </c>
      <c r="AN413" t="s">
        <v>115</v>
      </c>
      <c r="AO413" t="s">
        <v>134</v>
      </c>
      <c r="AP413" t="s">
        <v>72</v>
      </c>
      <c r="AQ413" t="s">
        <v>98</v>
      </c>
      <c r="AR413" s="1">
        <v>43461</v>
      </c>
      <c r="AS413" t="s">
        <v>75</v>
      </c>
      <c r="AT413" t="s">
        <v>71</v>
      </c>
      <c r="AU413">
        <v>1295</v>
      </c>
      <c r="AV413" t="s">
        <v>76</v>
      </c>
      <c r="AW413" s="3">
        <v>61224</v>
      </c>
      <c r="AX413" t="s">
        <v>808</v>
      </c>
      <c r="AY413" t="s">
        <v>804</v>
      </c>
      <c r="AZ413" t="s">
        <v>76</v>
      </c>
      <c r="BA413" t="s">
        <v>800</v>
      </c>
      <c r="BB413" t="s">
        <v>801</v>
      </c>
      <c r="BC413" t="s">
        <v>802</v>
      </c>
      <c r="BD413" s="3">
        <v>8.447667581340651E-2</v>
      </c>
      <c r="BE413">
        <v>491.4</v>
      </c>
      <c r="BG413" s="2">
        <f t="shared" si="29"/>
        <v>61224</v>
      </c>
      <c r="BH413" t="str" cm="1">
        <f t="array" ref="BH413">_xlfn.IFS(Q413&lt;5,"0-5 Years",Q413&lt;10,"5-10 Years",Q413&lt;15,"10-15 Years",TRUE,"15+ Years")</f>
        <v>5-10 Years</v>
      </c>
      <c r="BI413" t="str" cm="1">
        <f t="array" ref="BI413">_xlfn.IFS(AA413&gt;=540,"A",AA413&gt;=480,"B",AA413&gt;=420,"C",AA413&gt;=360,"D",TRUE,"F")</f>
        <v>C</v>
      </c>
      <c r="BJ413" t="str" cm="1">
        <f t="array" ref="BJ413">_xlfn.IFS(AU413&lt;0,"Separated",AU413&lt;=90,"High Risk",AU413&lt;=180,"Medium Risk",TRUE,"Retained")</f>
        <v>Retained</v>
      </c>
      <c r="BK413" t="str" cm="1">
        <f t="array" ref="BK413">_xlfn.IFS(V413=0,"No Combat",V413=1,"1 Tour",V413=2,"2 Tours",TRUE,"3+ Tours")</f>
        <v>No Combat</v>
      </c>
      <c r="BL413" t="str">
        <f t="shared" si="30"/>
        <v>Standard</v>
      </c>
      <c r="BM413" t="str">
        <f t="shared" si="31"/>
        <v>Not Ready</v>
      </c>
      <c r="BN413" s="3">
        <f t="shared" si="32"/>
        <v>8.447667581340651E-2</v>
      </c>
      <c r="BO413">
        <f t="shared" si="33"/>
        <v>491.4</v>
      </c>
    </row>
    <row r="414" spans="1:67" x14ac:dyDescent="0.25">
      <c r="A414" t="s">
        <v>701</v>
      </c>
      <c r="B414" t="s">
        <v>251</v>
      </c>
      <c r="C414" t="s">
        <v>360</v>
      </c>
      <c r="D414" t="s">
        <v>51</v>
      </c>
      <c r="E414">
        <v>26</v>
      </c>
      <c r="F414" t="s">
        <v>305</v>
      </c>
      <c r="G414" t="s">
        <v>242</v>
      </c>
      <c r="H414" t="s">
        <v>54</v>
      </c>
      <c r="I414" t="s">
        <v>103</v>
      </c>
      <c r="J414" t="s">
        <v>104</v>
      </c>
      <c r="K414" t="s">
        <v>105</v>
      </c>
      <c r="L414" t="s">
        <v>201</v>
      </c>
      <c r="M414" t="s">
        <v>207</v>
      </c>
      <c r="N414" t="s">
        <v>265</v>
      </c>
      <c r="O414" t="s">
        <v>89</v>
      </c>
      <c r="P414" s="1">
        <v>39503</v>
      </c>
      <c r="Q414">
        <v>16.3</v>
      </c>
      <c r="R414" t="s">
        <v>195</v>
      </c>
      <c r="S414" t="s">
        <v>196</v>
      </c>
      <c r="T414" t="s">
        <v>197</v>
      </c>
      <c r="U414">
        <v>0</v>
      </c>
      <c r="V414">
        <v>0</v>
      </c>
      <c r="W414" s="2">
        <v>4739</v>
      </c>
      <c r="X414" s="2">
        <v>939</v>
      </c>
      <c r="Y414" s="2">
        <v>422</v>
      </c>
      <c r="Z414" s="2">
        <v>6100</v>
      </c>
      <c r="AA414">
        <v>518</v>
      </c>
      <c r="AB414" t="s">
        <v>65</v>
      </c>
      <c r="AC414">
        <v>20.6</v>
      </c>
      <c r="AD414">
        <v>43</v>
      </c>
      <c r="AE414">
        <v>79</v>
      </c>
      <c r="AF414" t="s">
        <v>93</v>
      </c>
      <c r="AG414">
        <v>21</v>
      </c>
      <c r="AH414" t="s">
        <v>113</v>
      </c>
      <c r="AI414" t="s">
        <v>177</v>
      </c>
      <c r="AJ414" t="s">
        <v>96</v>
      </c>
      <c r="AK414" t="s">
        <v>70</v>
      </c>
      <c r="AL414" t="s">
        <v>70</v>
      </c>
      <c r="AM414" t="s">
        <v>70</v>
      </c>
      <c r="AN414" t="s">
        <v>72</v>
      </c>
      <c r="AO414" t="s">
        <v>221</v>
      </c>
      <c r="AP414" t="s">
        <v>72</v>
      </c>
      <c r="AQ414" t="s">
        <v>74</v>
      </c>
      <c r="AR414" s="1">
        <v>42813</v>
      </c>
      <c r="AS414" t="s">
        <v>118</v>
      </c>
      <c r="AT414" t="s">
        <v>71</v>
      </c>
      <c r="AU414">
        <v>1250</v>
      </c>
      <c r="AV414" t="s">
        <v>76</v>
      </c>
      <c r="AW414" s="3">
        <v>73200</v>
      </c>
      <c r="AX414" t="s">
        <v>798</v>
      </c>
      <c r="AY414" t="s">
        <v>806</v>
      </c>
      <c r="AZ414" t="s">
        <v>76</v>
      </c>
      <c r="BA414" t="s">
        <v>800</v>
      </c>
      <c r="BB414" t="s">
        <v>801</v>
      </c>
      <c r="BC414" t="s">
        <v>802</v>
      </c>
      <c r="BD414" s="3">
        <v>8.4918032786885242E-2</v>
      </c>
      <c r="BE414">
        <v>560.4</v>
      </c>
      <c r="BG414" s="2">
        <f t="shared" si="29"/>
        <v>73200</v>
      </c>
      <c r="BH414" t="str" cm="1">
        <f t="array" ref="BH414">_xlfn.IFS(Q414&lt;5,"0-5 Years",Q414&lt;10,"5-10 Years",Q414&lt;15,"10-15 Years",TRUE,"15+ Years")</f>
        <v>15+ Years</v>
      </c>
      <c r="BI414" t="str" cm="1">
        <f t="array" ref="BI414">_xlfn.IFS(AA414&gt;=540,"A",AA414&gt;=480,"B",AA414&gt;=420,"C",AA414&gt;=360,"D",TRUE,"F")</f>
        <v>B</v>
      </c>
      <c r="BJ414" t="str" cm="1">
        <f t="array" ref="BJ414">_xlfn.IFS(AU414&lt;0,"Separated",AU414&lt;=90,"High Risk",AU414&lt;=180,"Medium Risk",TRUE,"Retained")</f>
        <v>Retained</v>
      </c>
      <c r="BK414" t="str" cm="1">
        <f t="array" ref="BK414">_xlfn.IFS(V414=0,"No Combat",V414=1,"1 Tour",V414=2,"2 Tours",TRUE,"3+ Tours")</f>
        <v>No Combat</v>
      </c>
      <c r="BL414" t="str">
        <f t="shared" si="30"/>
        <v>Standard</v>
      </c>
      <c r="BM414" t="str">
        <f t="shared" si="31"/>
        <v>Not Ready</v>
      </c>
      <c r="BN414" s="3">
        <f t="shared" si="32"/>
        <v>8.4918032786885242E-2</v>
      </c>
      <c r="BO414">
        <f t="shared" si="33"/>
        <v>560.4</v>
      </c>
    </row>
    <row r="415" spans="1:67" x14ac:dyDescent="0.25">
      <c r="A415" t="s">
        <v>702</v>
      </c>
      <c r="B415" t="s">
        <v>308</v>
      </c>
      <c r="C415" t="s">
        <v>394</v>
      </c>
      <c r="D415" t="s">
        <v>122</v>
      </c>
      <c r="E415">
        <v>35</v>
      </c>
      <c r="F415" t="s">
        <v>123</v>
      </c>
      <c r="G415" t="s">
        <v>298</v>
      </c>
      <c r="H415" t="s">
        <v>299</v>
      </c>
      <c r="I415" t="s">
        <v>144</v>
      </c>
      <c r="J415" t="s">
        <v>145</v>
      </c>
      <c r="K415" t="s">
        <v>146</v>
      </c>
      <c r="L415" t="s">
        <v>201</v>
      </c>
      <c r="M415" t="s">
        <v>296</v>
      </c>
      <c r="N415" t="s">
        <v>148</v>
      </c>
      <c r="O415" t="s">
        <v>176</v>
      </c>
      <c r="P415" s="1">
        <v>38485</v>
      </c>
      <c r="Q415">
        <v>19.100000000000001</v>
      </c>
      <c r="R415" t="s">
        <v>129</v>
      </c>
      <c r="S415" t="s">
        <v>63</v>
      </c>
      <c r="T415" t="s">
        <v>64</v>
      </c>
      <c r="U415">
        <v>0</v>
      </c>
      <c r="V415">
        <v>0</v>
      </c>
      <c r="W415" s="2">
        <v>2149</v>
      </c>
      <c r="X415" s="2">
        <v>0</v>
      </c>
      <c r="Y415" s="2">
        <v>422</v>
      </c>
      <c r="Z415" s="2">
        <v>2571</v>
      </c>
      <c r="AA415">
        <v>565</v>
      </c>
      <c r="AB415" t="s">
        <v>65</v>
      </c>
      <c r="AC415">
        <v>20.7</v>
      </c>
      <c r="AD415">
        <v>75</v>
      </c>
      <c r="AE415">
        <v>50</v>
      </c>
      <c r="AF415" t="s">
        <v>132</v>
      </c>
      <c r="AG415">
        <v>25</v>
      </c>
      <c r="AH415" t="s">
        <v>113</v>
      </c>
      <c r="AI415" t="s">
        <v>152</v>
      </c>
      <c r="AJ415" t="s">
        <v>72</v>
      </c>
      <c r="AK415" t="s">
        <v>71</v>
      </c>
      <c r="AL415" t="s">
        <v>70</v>
      </c>
      <c r="AM415" t="s">
        <v>71</v>
      </c>
      <c r="AN415" t="s">
        <v>231</v>
      </c>
      <c r="AO415" t="s">
        <v>116</v>
      </c>
      <c r="AP415" t="s">
        <v>72</v>
      </c>
      <c r="AQ415" t="s">
        <v>136</v>
      </c>
      <c r="AR415" s="1">
        <v>43350</v>
      </c>
      <c r="AS415" t="s">
        <v>137</v>
      </c>
      <c r="AT415" t="s">
        <v>71</v>
      </c>
      <c r="AU415">
        <v>281</v>
      </c>
      <c r="AV415" t="s">
        <v>76</v>
      </c>
      <c r="AW415" s="3">
        <v>30852</v>
      </c>
      <c r="AX415" t="s">
        <v>798</v>
      </c>
      <c r="AY415" t="s">
        <v>799</v>
      </c>
      <c r="AZ415" t="s">
        <v>76</v>
      </c>
      <c r="BA415" t="s">
        <v>800</v>
      </c>
      <c r="BB415" t="s">
        <v>801</v>
      </c>
      <c r="BC415" t="s">
        <v>802</v>
      </c>
      <c r="BD415" s="3">
        <v>0.21975884869700504</v>
      </c>
      <c r="BE415">
        <v>645.4</v>
      </c>
      <c r="BG415" s="2">
        <f t="shared" si="29"/>
        <v>30852</v>
      </c>
      <c r="BH415" t="str" cm="1">
        <f t="array" ref="BH415">_xlfn.IFS(Q415&lt;5,"0-5 Years",Q415&lt;10,"5-10 Years",Q415&lt;15,"10-15 Years",TRUE,"15+ Years")</f>
        <v>15+ Years</v>
      </c>
      <c r="BI415" t="str" cm="1">
        <f t="array" ref="BI415">_xlfn.IFS(AA415&gt;=540,"A",AA415&gt;=480,"B",AA415&gt;=420,"C",AA415&gt;=360,"D",TRUE,"F")</f>
        <v>A</v>
      </c>
      <c r="BJ415" t="str" cm="1">
        <f t="array" ref="BJ415">_xlfn.IFS(AU415&lt;0,"Separated",AU415&lt;=90,"High Risk",AU415&lt;=180,"Medium Risk",TRUE,"Retained")</f>
        <v>Retained</v>
      </c>
      <c r="BK415" t="str" cm="1">
        <f t="array" ref="BK415">_xlfn.IFS(V415=0,"No Combat",V415=1,"1 Tour",V415=2,"2 Tours",TRUE,"3+ Tours")</f>
        <v>No Combat</v>
      </c>
      <c r="BL415" t="str">
        <f t="shared" si="30"/>
        <v>Standard</v>
      </c>
      <c r="BM415" t="str">
        <f t="shared" si="31"/>
        <v>Not Ready</v>
      </c>
      <c r="BN415" s="3">
        <f t="shared" si="32"/>
        <v>0.21975884869700504</v>
      </c>
      <c r="BO415">
        <f t="shared" si="33"/>
        <v>645.4</v>
      </c>
    </row>
    <row r="416" spans="1:67" x14ac:dyDescent="0.25">
      <c r="A416" t="s">
        <v>703</v>
      </c>
      <c r="B416" t="s">
        <v>49</v>
      </c>
      <c r="C416" t="s">
        <v>257</v>
      </c>
      <c r="D416" t="s">
        <v>51</v>
      </c>
      <c r="E416">
        <v>36</v>
      </c>
      <c r="F416" t="s">
        <v>382</v>
      </c>
      <c r="G416" t="s">
        <v>279</v>
      </c>
      <c r="H416" t="s">
        <v>280</v>
      </c>
      <c r="I416" t="s">
        <v>185</v>
      </c>
      <c r="J416" t="s">
        <v>186</v>
      </c>
      <c r="K416" t="s">
        <v>187</v>
      </c>
      <c r="L416" t="s">
        <v>106</v>
      </c>
      <c r="M416" t="s">
        <v>275</v>
      </c>
      <c r="N416" t="s">
        <v>265</v>
      </c>
      <c r="O416" t="s">
        <v>176</v>
      </c>
      <c r="P416" s="1">
        <v>38951</v>
      </c>
      <c r="Q416">
        <v>17.8</v>
      </c>
      <c r="R416" t="s">
        <v>195</v>
      </c>
      <c r="S416" t="s">
        <v>130</v>
      </c>
      <c r="T416" t="s">
        <v>131</v>
      </c>
      <c r="U416">
        <v>10</v>
      </c>
      <c r="V416">
        <v>1</v>
      </c>
      <c r="W416" s="2">
        <v>6618</v>
      </c>
      <c r="X416" s="2">
        <v>1729</v>
      </c>
      <c r="Y416" s="2">
        <v>266</v>
      </c>
      <c r="Z416" s="2">
        <v>8613</v>
      </c>
      <c r="AA416">
        <v>440</v>
      </c>
      <c r="AB416" t="s">
        <v>65</v>
      </c>
      <c r="AC416">
        <v>20.100000000000001</v>
      </c>
      <c r="AD416">
        <v>45</v>
      </c>
      <c r="AE416">
        <v>66</v>
      </c>
      <c r="AF416" t="s">
        <v>66</v>
      </c>
      <c r="AG416">
        <v>35</v>
      </c>
      <c r="AH416" t="s">
        <v>67</v>
      </c>
      <c r="AI416" t="s">
        <v>152</v>
      </c>
      <c r="AJ416" t="s">
        <v>69</v>
      </c>
      <c r="AK416" t="s">
        <v>70</v>
      </c>
      <c r="AL416" t="s">
        <v>70</v>
      </c>
      <c r="AM416" t="s">
        <v>70</v>
      </c>
      <c r="AN416" t="s">
        <v>202</v>
      </c>
      <c r="AO416" t="s">
        <v>227</v>
      </c>
      <c r="AP416" t="s">
        <v>72</v>
      </c>
      <c r="AQ416" t="s">
        <v>98</v>
      </c>
      <c r="AR416" s="1">
        <v>45025</v>
      </c>
      <c r="AS416" t="s">
        <v>198</v>
      </c>
      <c r="AT416" t="s">
        <v>71</v>
      </c>
      <c r="AU416">
        <v>952</v>
      </c>
      <c r="AV416" t="s">
        <v>76</v>
      </c>
      <c r="AW416" s="3">
        <v>103356</v>
      </c>
      <c r="AX416" t="s">
        <v>798</v>
      </c>
      <c r="AY416" t="s">
        <v>804</v>
      </c>
      <c r="AZ416" t="s">
        <v>76</v>
      </c>
      <c r="BA416" t="s">
        <v>807</v>
      </c>
      <c r="BB416" t="s">
        <v>801</v>
      </c>
      <c r="BC416" t="s">
        <v>802</v>
      </c>
      <c r="BD416" s="3">
        <v>5.108556832694764E-2</v>
      </c>
      <c r="BE416">
        <v>510.4</v>
      </c>
      <c r="BG416" s="2">
        <f t="shared" si="29"/>
        <v>103356</v>
      </c>
      <c r="BH416" t="str" cm="1">
        <f t="array" ref="BH416">_xlfn.IFS(Q416&lt;5,"0-5 Years",Q416&lt;10,"5-10 Years",Q416&lt;15,"10-15 Years",TRUE,"15+ Years")</f>
        <v>15+ Years</v>
      </c>
      <c r="BI416" t="str" cm="1">
        <f t="array" ref="BI416">_xlfn.IFS(AA416&gt;=540,"A",AA416&gt;=480,"B",AA416&gt;=420,"C",AA416&gt;=360,"D",TRUE,"F")</f>
        <v>C</v>
      </c>
      <c r="BJ416" t="str" cm="1">
        <f t="array" ref="BJ416">_xlfn.IFS(AU416&lt;0,"Separated",AU416&lt;=90,"High Risk",AU416&lt;=180,"Medium Risk",TRUE,"Retained")</f>
        <v>Retained</v>
      </c>
      <c r="BK416" t="str" cm="1">
        <f t="array" ref="BK416">_xlfn.IFS(V416=0,"No Combat",V416=1,"1 Tour",V416=2,"2 Tours",TRUE,"3+ Tours")</f>
        <v>1 Tour</v>
      </c>
      <c r="BL416" t="str">
        <f t="shared" si="30"/>
        <v>Standard</v>
      </c>
      <c r="BM416" t="str">
        <f t="shared" si="31"/>
        <v>Not Ready</v>
      </c>
      <c r="BN416" s="3">
        <f t="shared" si="32"/>
        <v>5.108556832694764E-2</v>
      </c>
      <c r="BO416">
        <f t="shared" si="33"/>
        <v>510.4</v>
      </c>
    </row>
    <row r="417" spans="1:67" x14ac:dyDescent="0.25">
      <c r="A417" t="s">
        <v>704</v>
      </c>
      <c r="B417" t="s">
        <v>377</v>
      </c>
      <c r="C417" t="s">
        <v>155</v>
      </c>
      <c r="D417" t="s">
        <v>51</v>
      </c>
      <c r="E417">
        <v>42</v>
      </c>
      <c r="F417" t="s">
        <v>248</v>
      </c>
      <c r="G417" t="s">
        <v>169</v>
      </c>
      <c r="H417" t="s">
        <v>170</v>
      </c>
      <c r="I417" t="s">
        <v>217</v>
      </c>
      <c r="J417" t="s">
        <v>218</v>
      </c>
      <c r="K417" t="s">
        <v>146</v>
      </c>
      <c r="L417" t="s">
        <v>58</v>
      </c>
      <c r="M417" t="s">
        <v>127</v>
      </c>
      <c r="N417" t="s">
        <v>60</v>
      </c>
      <c r="O417" t="s">
        <v>61</v>
      </c>
      <c r="P417" s="1">
        <v>43283</v>
      </c>
      <c r="Q417">
        <v>5.9</v>
      </c>
      <c r="R417" t="s">
        <v>62</v>
      </c>
      <c r="S417" t="s">
        <v>196</v>
      </c>
      <c r="T417" t="s">
        <v>197</v>
      </c>
      <c r="U417">
        <v>0</v>
      </c>
      <c r="V417">
        <v>0</v>
      </c>
      <c r="W417" s="2">
        <v>3294</v>
      </c>
      <c r="X417" s="2">
        <v>0</v>
      </c>
      <c r="Y417" s="2">
        <v>422</v>
      </c>
      <c r="Z417" s="2">
        <v>3716</v>
      </c>
      <c r="AA417">
        <v>457</v>
      </c>
      <c r="AB417" t="s">
        <v>65</v>
      </c>
      <c r="AC417">
        <v>17.100000000000001</v>
      </c>
      <c r="AD417">
        <v>81</v>
      </c>
      <c r="AE417">
        <v>34</v>
      </c>
      <c r="AF417" t="s">
        <v>112</v>
      </c>
      <c r="AG417">
        <v>23</v>
      </c>
      <c r="AH417" t="s">
        <v>113</v>
      </c>
      <c r="AI417" t="s">
        <v>177</v>
      </c>
      <c r="AJ417" t="s">
        <v>69</v>
      </c>
      <c r="AK417" t="s">
        <v>70</v>
      </c>
      <c r="AL417" t="s">
        <v>71</v>
      </c>
      <c r="AM417" t="s">
        <v>70</v>
      </c>
      <c r="AN417" t="s">
        <v>231</v>
      </c>
      <c r="AO417" t="s">
        <v>72</v>
      </c>
      <c r="AP417" t="s">
        <v>72</v>
      </c>
      <c r="AQ417" t="s">
        <v>117</v>
      </c>
      <c r="AR417" s="1">
        <v>43605</v>
      </c>
      <c r="AS417" t="s">
        <v>118</v>
      </c>
      <c r="AT417" t="s">
        <v>71</v>
      </c>
      <c r="AU417">
        <v>1036</v>
      </c>
      <c r="AV417" t="s">
        <v>76</v>
      </c>
      <c r="AW417" s="3">
        <v>44592</v>
      </c>
      <c r="AX417" t="s">
        <v>808</v>
      </c>
      <c r="AY417" t="s">
        <v>804</v>
      </c>
      <c r="AZ417" t="s">
        <v>76</v>
      </c>
      <c r="BA417" t="s">
        <v>800</v>
      </c>
      <c r="BB417" t="s">
        <v>801</v>
      </c>
      <c r="BC417" t="s">
        <v>802</v>
      </c>
      <c r="BD417" s="3">
        <v>0.12298170075349839</v>
      </c>
      <c r="BE417">
        <v>513.4</v>
      </c>
      <c r="BG417" s="2">
        <f t="shared" si="29"/>
        <v>44592</v>
      </c>
      <c r="BH417" t="str" cm="1">
        <f t="array" ref="BH417">_xlfn.IFS(Q417&lt;5,"0-5 Years",Q417&lt;10,"5-10 Years",Q417&lt;15,"10-15 Years",TRUE,"15+ Years")</f>
        <v>5-10 Years</v>
      </c>
      <c r="BI417" t="str" cm="1">
        <f t="array" ref="BI417">_xlfn.IFS(AA417&gt;=540,"A",AA417&gt;=480,"B",AA417&gt;=420,"C",AA417&gt;=360,"D",TRUE,"F")</f>
        <v>C</v>
      </c>
      <c r="BJ417" t="str" cm="1">
        <f t="array" ref="BJ417">_xlfn.IFS(AU417&lt;0,"Separated",AU417&lt;=90,"High Risk",AU417&lt;=180,"Medium Risk",TRUE,"Retained")</f>
        <v>Retained</v>
      </c>
      <c r="BK417" t="str" cm="1">
        <f t="array" ref="BK417">_xlfn.IFS(V417=0,"No Combat",V417=1,"1 Tour",V417=2,"2 Tours",TRUE,"3+ Tours")</f>
        <v>No Combat</v>
      </c>
      <c r="BL417" t="str">
        <f t="shared" si="30"/>
        <v>Standard</v>
      </c>
      <c r="BM417" t="str">
        <f t="shared" si="31"/>
        <v>Not Ready</v>
      </c>
      <c r="BN417" s="3">
        <f t="shared" si="32"/>
        <v>0.12298170075349839</v>
      </c>
      <c r="BO417">
        <f t="shared" si="33"/>
        <v>513.4</v>
      </c>
    </row>
    <row r="418" spans="1:67" x14ac:dyDescent="0.25">
      <c r="A418" t="s">
        <v>705</v>
      </c>
      <c r="B418" t="s">
        <v>263</v>
      </c>
      <c r="C418" t="s">
        <v>200</v>
      </c>
      <c r="D418" t="s">
        <v>51</v>
      </c>
      <c r="E418">
        <v>24</v>
      </c>
      <c r="F418" t="s">
        <v>325</v>
      </c>
      <c r="G418" t="s">
        <v>156</v>
      </c>
      <c r="H418" t="s">
        <v>157</v>
      </c>
      <c r="I418" t="s">
        <v>268</v>
      </c>
      <c r="J418" t="s">
        <v>269</v>
      </c>
      <c r="K418" t="s">
        <v>173</v>
      </c>
      <c r="L418" t="s">
        <v>126</v>
      </c>
      <c r="M418" t="s">
        <v>249</v>
      </c>
      <c r="N418" t="s">
        <v>162</v>
      </c>
      <c r="O418" t="s">
        <v>149</v>
      </c>
      <c r="P418" s="1">
        <v>40037</v>
      </c>
      <c r="Q418">
        <v>14.8</v>
      </c>
      <c r="R418" t="s">
        <v>129</v>
      </c>
      <c r="S418" t="s">
        <v>196</v>
      </c>
      <c r="T418" t="s">
        <v>197</v>
      </c>
      <c r="U418">
        <v>0</v>
      </c>
      <c r="V418">
        <v>0</v>
      </c>
      <c r="W418" s="2">
        <v>4836</v>
      </c>
      <c r="X418" s="2">
        <v>0</v>
      </c>
      <c r="Y418" s="2">
        <v>266</v>
      </c>
      <c r="Z418" s="2">
        <v>5102</v>
      </c>
      <c r="AA418">
        <v>586</v>
      </c>
      <c r="AB418" t="s">
        <v>65</v>
      </c>
      <c r="AC418">
        <v>13.3</v>
      </c>
      <c r="AD418">
        <v>31</v>
      </c>
      <c r="AE418">
        <v>62</v>
      </c>
      <c r="AF418" t="s">
        <v>66</v>
      </c>
      <c r="AG418">
        <v>21</v>
      </c>
      <c r="AH418" t="s">
        <v>113</v>
      </c>
      <c r="AI418" t="s">
        <v>152</v>
      </c>
      <c r="AJ418" t="s">
        <v>96</v>
      </c>
      <c r="AK418" t="s">
        <v>70</v>
      </c>
      <c r="AL418" t="s">
        <v>70</v>
      </c>
      <c r="AM418" t="s">
        <v>70</v>
      </c>
      <c r="AN418" t="s">
        <v>115</v>
      </c>
      <c r="AO418" t="s">
        <v>72</v>
      </c>
      <c r="AP418" t="s">
        <v>72</v>
      </c>
      <c r="AQ418" t="s">
        <v>74</v>
      </c>
      <c r="AR418" s="1">
        <v>40731</v>
      </c>
      <c r="AS418" t="s">
        <v>75</v>
      </c>
      <c r="AT418" t="s">
        <v>71</v>
      </c>
      <c r="AU418">
        <v>1371</v>
      </c>
      <c r="AV418" t="s">
        <v>76</v>
      </c>
      <c r="AW418" s="3">
        <v>61224</v>
      </c>
      <c r="AX418" t="s">
        <v>805</v>
      </c>
      <c r="AY418" t="s">
        <v>799</v>
      </c>
      <c r="AZ418" t="s">
        <v>76</v>
      </c>
      <c r="BA418" t="s">
        <v>800</v>
      </c>
      <c r="BB418" t="s">
        <v>801</v>
      </c>
      <c r="BC418" t="s">
        <v>802</v>
      </c>
      <c r="BD418" s="3">
        <v>0.11485691885535085</v>
      </c>
      <c r="BE418">
        <v>628.4</v>
      </c>
      <c r="BG418" s="2">
        <f t="shared" si="29"/>
        <v>61224</v>
      </c>
      <c r="BH418" t="str" cm="1">
        <f t="array" ref="BH418">_xlfn.IFS(Q418&lt;5,"0-5 Years",Q418&lt;10,"5-10 Years",Q418&lt;15,"10-15 Years",TRUE,"15+ Years")</f>
        <v>10-15 Years</v>
      </c>
      <c r="BI418" t="str" cm="1">
        <f t="array" ref="BI418">_xlfn.IFS(AA418&gt;=540,"A",AA418&gt;=480,"B",AA418&gt;=420,"C",AA418&gt;=360,"D",TRUE,"F")</f>
        <v>A</v>
      </c>
      <c r="BJ418" t="str" cm="1">
        <f t="array" ref="BJ418">_xlfn.IFS(AU418&lt;0,"Separated",AU418&lt;=90,"High Risk",AU418&lt;=180,"Medium Risk",TRUE,"Retained")</f>
        <v>Retained</v>
      </c>
      <c r="BK418" t="str" cm="1">
        <f t="array" ref="BK418">_xlfn.IFS(V418=0,"No Combat",V418=1,"1 Tour",V418=2,"2 Tours",TRUE,"3+ Tours")</f>
        <v>No Combat</v>
      </c>
      <c r="BL418" t="str">
        <f t="shared" si="30"/>
        <v>Standard</v>
      </c>
      <c r="BM418" t="str">
        <f t="shared" si="31"/>
        <v>Not Ready</v>
      </c>
      <c r="BN418" s="3">
        <f t="shared" si="32"/>
        <v>0.11485691885535085</v>
      </c>
      <c r="BO418">
        <f t="shared" si="33"/>
        <v>628.4</v>
      </c>
    </row>
    <row r="419" spans="1:67" x14ac:dyDescent="0.25">
      <c r="A419" t="s">
        <v>706</v>
      </c>
      <c r="B419" t="s">
        <v>78</v>
      </c>
      <c r="C419" t="s">
        <v>50</v>
      </c>
      <c r="D419" t="s">
        <v>51</v>
      </c>
      <c r="E419">
        <v>22</v>
      </c>
      <c r="F419" t="s">
        <v>283</v>
      </c>
      <c r="G419" t="s">
        <v>183</v>
      </c>
      <c r="H419" t="s">
        <v>184</v>
      </c>
      <c r="I419" t="s">
        <v>253</v>
      </c>
      <c r="J419" t="s">
        <v>254</v>
      </c>
      <c r="K419" t="s">
        <v>255</v>
      </c>
      <c r="L419" t="s">
        <v>174</v>
      </c>
      <c r="M419" t="s">
        <v>161</v>
      </c>
      <c r="N419" t="s">
        <v>88</v>
      </c>
      <c r="O419" t="s">
        <v>176</v>
      </c>
      <c r="P419" s="1">
        <v>38887</v>
      </c>
      <c r="Q419">
        <v>18</v>
      </c>
      <c r="R419" t="s">
        <v>62</v>
      </c>
      <c r="S419" t="s">
        <v>91</v>
      </c>
      <c r="T419" t="s">
        <v>92</v>
      </c>
      <c r="U419">
        <v>9</v>
      </c>
      <c r="V419">
        <v>1</v>
      </c>
      <c r="W419" s="2">
        <v>5696</v>
      </c>
      <c r="X419" s="2">
        <v>0</v>
      </c>
      <c r="Y419" s="2">
        <v>266</v>
      </c>
      <c r="Z419" s="2">
        <v>5962</v>
      </c>
      <c r="AA419">
        <v>531</v>
      </c>
      <c r="AB419" t="s">
        <v>65</v>
      </c>
      <c r="AC419">
        <v>18</v>
      </c>
      <c r="AD419">
        <v>71</v>
      </c>
      <c r="AE419">
        <v>54</v>
      </c>
      <c r="AF419" t="s">
        <v>66</v>
      </c>
      <c r="AG419">
        <v>24</v>
      </c>
      <c r="AH419" t="s">
        <v>113</v>
      </c>
      <c r="AI419" t="s">
        <v>114</v>
      </c>
      <c r="AJ419" t="s">
        <v>188</v>
      </c>
      <c r="AK419" t="s">
        <v>70</v>
      </c>
      <c r="AL419" t="s">
        <v>70</v>
      </c>
      <c r="AM419" t="s">
        <v>71</v>
      </c>
      <c r="AN419" t="s">
        <v>270</v>
      </c>
      <c r="AO419" t="s">
        <v>72</v>
      </c>
      <c r="AP419" t="s">
        <v>221</v>
      </c>
      <c r="AQ419" t="s">
        <v>136</v>
      </c>
      <c r="AR419" s="1">
        <v>39219</v>
      </c>
      <c r="AS419" t="s">
        <v>118</v>
      </c>
      <c r="AT419" t="s">
        <v>71</v>
      </c>
      <c r="AU419">
        <v>359</v>
      </c>
      <c r="AV419" t="s">
        <v>76</v>
      </c>
      <c r="AW419" s="3">
        <v>71544</v>
      </c>
      <c r="AX419" t="s">
        <v>798</v>
      </c>
      <c r="AY419" t="s">
        <v>806</v>
      </c>
      <c r="AZ419" t="s">
        <v>76</v>
      </c>
      <c r="BA419" t="s">
        <v>807</v>
      </c>
      <c r="BB419" t="s">
        <v>801</v>
      </c>
      <c r="BC419" t="s">
        <v>802</v>
      </c>
      <c r="BD419" s="3">
        <v>8.9064072458906407E-2</v>
      </c>
      <c r="BE419">
        <v>599.4</v>
      </c>
      <c r="BG419" s="2">
        <f t="shared" si="29"/>
        <v>71544</v>
      </c>
      <c r="BH419" t="str" cm="1">
        <f t="array" ref="BH419">_xlfn.IFS(Q419&lt;5,"0-5 Years",Q419&lt;10,"5-10 Years",Q419&lt;15,"10-15 Years",TRUE,"15+ Years")</f>
        <v>15+ Years</v>
      </c>
      <c r="BI419" t="str" cm="1">
        <f t="array" ref="BI419">_xlfn.IFS(AA419&gt;=540,"A",AA419&gt;=480,"B",AA419&gt;=420,"C",AA419&gt;=360,"D",TRUE,"F")</f>
        <v>B</v>
      </c>
      <c r="BJ419" t="str" cm="1">
        <f t="array" ref="BJ419">_xlfn.IFS(AU419&lt;0,"Separated",AU419&lt;=90,"High Risk",AU419&lt;=180,"Medium Risk",TRUE,"Retained")</f>
        <v>Retained</v>
      </c>
      <c r="BK419" t="str" cm="1">
        <f t="array" ref="BK419">_xlfn.IFS(V419=0,"No Combat",V419=1,"1 Tour",V419=2,"2 Tours",TRUE,"3+ Tours")</f>
        <v>1 Tour</v>
      </c>
      <c r="BL419" t="str">
        <f t="shared" si="30"/>
        <v>Standard</v>
      </c>
      <c r="BM419" t="str">
        <f t="shared" si="31"/>
        <v>Not Ready</v>
      </c>
      <c r="BN419" s="3">
        <f t="shared" si="32"/>
        <v>8.9064072458906407E-2</v>
      </c>
      <c r="BO419">
        <f t="shared" si="33"/>
        <v>599.4</v>
      </c>
    </row>
    <row r="420" spans="1:67" x14ac:dyDescent="0.25">
      <c r="A420" t="s">
        <v>707</v>
      </c>
      <c r="B420" t="s">
        <v>100</v>
      </c>
      <c r="C420" t="s">
        <v>332</v>
      </c>
      <c r="D420" t="s">
        <v>51</v>
      </c>
      <c r="E420">
        <v>18</v>
      </c>
      <c r="F420" t="s">
        <v>141</v>
      </c>
      <c r="G420" t="s">
        <v>183</v>
      </c>
      <c r="H420" t="s">
        <v>184</v>
      </c>
      <c r="I420" t="s">
        <v>144</v>
      </c>
      <c r="J420" t="s">
        <v>145</v>
      </c>
      <c r="K420" t="s">
        <v>146</v>
      </c>
      <c r="L420" t="s">
        <v>58</v>
      </c>
      <c r="M420" t="s">
        <v>212</v>
      </c>
      <c r="N420" t="s">
        <v>108</v>
      </c>
      <c r="O420" t="s">
        <v>149</v>
      </c>
      <c r="P420" s="1">
        <v>42601</v>
      </c>
      <c r="Q420">
        <v>7.8</v>
      </c>
      <c r="R420" t="s">
        <v>208</v>
      </c>
      <c r="S420" t="s">
        <v>130</v>
      </c>
      <c r="T420" t="s">
        <v>131</v>
      </c>
      <c r="U420">
        <v>5</v>
      </c>
      <c r="V420">
        <v>0</v>
      </c>
      <c r="W420" s="2">
        <v>5696</v>
      </c>
      <c r="X420" s="2">
        <v>0</v>
      </c>
      <c r="Y420" s="2">
        <v>266</v>
      </c>
      <c r="Z420" s="2">
        <v>5962</v>
      </c>
      <c r="AA420">
        <v>394</v>
      </c>
      <c r="AB420" t="s">
        <v>65</v>
      </c>
      <c r="AC420">
        <v>19.2</v>
      </c>
      <c r="AD420">
        <v>21</v>
      </c>
      <c r="AE420">
        <v>61</v>
      </c>
      <c r="AF420" t="s">
        <v>112</v>
      </c>
      <c r="AG420">
        <v>28</v>
      </c>
      <c r="AH420" t="s">
        <v>113</v>
      </c>
      <c r="AI420" t="s">
        <v>177</v>
      </c>
      <c r="AJ420" t="s">
        <v>96</v>
      </c>
      <c r="AK420" t="s">
        <v>71</v>
      </c>
      <c r="AL420" t="s">
        <v>71</v>
      </c>
      <c r="AM420" t="s">
        <v>70</v>
      </c>
      <c r="AN420" t="s">
        <v>270</v>
      </c>
      <c r="AO420" t="s">
        <v>72</v>
      </c>
      <c r="AP420" t="s">
        <v>72</v>
      </c>
      <c r="AQ420" t="s">
        <v>117</v>
      </c>
      <c r="AR420" s="1">
        <v>44579</v>
      </c>
      <c r="AS420" t="s">
        <v>118</v>
      </c>
      <c r="AT420" t="s">
        <v>71</v>
      </c>
      <c r="AU420">
        <v>1044</v>
      </c>
      <c r="AV420" t="s">
        <v>76</v>
      </c>
      <c r="AW420" s="3">
        <v>71544</v>
      </c>
      <c r="AX420" t="s">
        <v>808</v>
      </c>
      <c r="AY420" t="s">
        <v>809</v>
      </c>
      <c r="AZ420" t="s">
        <v>76</v>
      </c>
      <c r="BA420" t="s">
        <v>800</v>
      </c>
      <c r="BB420" t="s">
        <v>801</v>
      </c>
      <c r="BC420" t="s">
        <v>802</v>
      </c>
      <c r="BD420" s="3">
        <v>6.6085206306608524E-2</v>
      </c>
      <c r="BE420">
        <v>470.4</v>
      </c>
      <c r="BG420" s="2">
        <f t="shared" si="29"/>
        <v>71544</v>
      </c>
      <c r="BH420" t="str" cm="1">
        <f t="array" ref="BH420">_xlfn.IFS(Q420&lt;5,"0-5 Years",Q420&lt;10,"5-10 Years",Q420&lt;15,"10-15 Years",TRUE,"15+ Years")</f>
        <v>5-10 Years</v>
      </c>
      <c r="BI420" t="str" cm="1">
        <f t="array" ref="BI420">_xlfn.IFS(AA420&gt;=540,"A",AA420&gt;=480,"B",AA420&gt;=420,"C",AA420&gt;=360,"D",TRUE,"F")</f>
        <v>D</v>
      </c>
      <c r="BJ420" t="str" cm="1">
        <f t="array" ref="BJ420">_xlfn.IFS(AU420&lt;0,"Separated",AU420&lt;=90,"High Risk",AU420&lt;=180,"Medium Risk",TRUE,"Retained")</f>
        <v>Retained</v>
      </c>
      <c r="BK420" t="str" cm="1">
        <f t="array" ref="BK420">_xlfn.IFS(V420=0,"No Combat",V420=1,"1 Tour",V420=2,"2 Tours",TRUE,"3+ Tours")</f>
        <v>No Combat</v>
      </c>
      <c r="BL420" t="str">
        <f t="shared" si="30"/>
        <v>Standard</v>
      </c>
      <c r="BM420" t="str">
        <f t="shared" si="31"/>
        <v>Not Ready</v>
      </c>
      <c r="BN420" s="3">
        <f t="shared" si="32"/>
        <v>6.6085206306608524E-2</v>
      </c>
      <c r="BO420">
        <f t="shared" si="33"/>
        <v>470.4</v>
      </c>
    </row>
    <row r="421" spans="1:67" x14ac:dyDescent="0.25">
      <c r="A421" t="s">
        <v>708</v>
      </c>
      <c r="B421" t="s">
        <v>277</v>
      </c>
      <c r="C421" t="s">
        <v>264</v>
      </c>
      <c r="D421" t="s">
        <v>51</v>
      </c>
      <c r="E421">
        <v>41</v>
      </c>
      <c r="F421" t="s">
        <v>241</v>
      </c>
      <c r="G421" t="s">
        <v>234</v>
      </c>
      <c r="H421" t="s">
        <v>235</v>
      </c>
      <c r="I421" t="s">
        <v>83</v>
      </c>
      <c r="J421" t="s">
        <v>84</v>
      </c>
      <c r="K421" t="s">
        <v>85</v>
      </c>
      <c r="L421" t="s">
        <v>58</v>
      </c>
      <c r="M421" t="s">
        <v>127</v>
      </c>
      <c r="N421" t="s">
        <v>162</v>
      </c>
      <c r="O421" t="s">
        <v>89</v>
      </c>
      <c r="P421" s="1">
        <v>39273</v>
      </c>
      <c r="Q421">
        <v>16.899999999999999</v>
      </c>
      <c r="R421" t="s">
        <v>195</v>
      </c>
      <c r="S421" t="s">
        <v>91</v>
      </c>
      <c r="T421" t="s">
        <v>92</v>
      </c>
      <c r="U421">
        <v>14</v>
      </c>
      <c r="V421">
        <v>2</v>
      </c>
      <c r="W421" s="2">
        <v>1917</v>
      </c>
      <c r="X421" s="2">
        <v>1650</v>
      </c>
      <c r="Y421" s="2">
        <v>422</v>
      </c>
      <c r="Z421" s="2">
        <v>3989</v>
      </c>
      <c r="AA421">
        <v>290</v>
      </c>
      <c r="AB421" t="s">
        <v>151</v>
      </c>
      <c r="AC421">
        <v>13.6</v>
      </c>
      <c r="AD421">
        <v>58</v>
      </c>
      <c r="AE421">
        <v>70</v>
      </c>
      <c r="AF421" t="s">
        <v>112</v>
      </c>
      <c r="AG421">
        <v>31</v>
      </c>
      <c r="AH421" t="s">
        <v>67</v>
      </c>
      <c r="AI421" t="s">
        <v>114</v>
      </c>
      <c r="AJ421" t="s">
        <v>96</v>
      </c>
      <c r="AK421" t="s">
        <v>71</v>
      </c>
      <c r="AL421" t="s">
        <v>70</v>
      </c>
      <c r="AM421" t="s">
        <v>70</v>
      </c>
      <c r="AN421" t="s">
        <v>72</v>
      </c>
      <c r="AO421" t="s">
        <v>287</v>
      </c>
      <c r="AP421" t="s">
        <v>134</v>
      </c>
      <c r="AQ421" t="s">
        <v>98</v>
      </c>
      <c r="AR421" s="1">
        <v>40146</v>
      </c>
      <c r="AS421" t="s">
        <v>118</v>
      </c>
      <c r="AT421" t="s">
        <v>71</v>
      </c>
      <c r="AU421">
        <v>84</v>
      </c>
      <c r="AV421" t="s">
        <v>179</v>
      </c>
      <c r="AW421" s="3">
        <v>47868</v>
      </c>
      <c r="AX421" t="s">
        <v>798</v>
      </c>
      <c r="AY421" t="s">
        <v>122</v>
      </c>
      <c r="AZ421" t="s">
        <v>813</v>
      </c>
      <c r="BA421" t="s">
        <v>811</v>
      </c>
      <c r="BB421" t="s">
        <v>801</v>
      </c>
      <c r="BC421" t="s">
        <v>802</v>
      </c>
      <c r="BD421" s="3">
        <v>7.2699924793181242E-2</v>
      </c>
      <c r="BE421">
        <v>362.4</v>
      </c>
      <c r="BG421" s="2">
        <f t="shared" si="29"/>
        <v>47868</v>
      </c>
      <c r="BH421" t="str" cm="1">
        <f t="array" ref="BH421">_xlfn.IFS(Q421&lt;5,"0-5 Years",Q421&lt;10,"5-10 Years",Q421&lt;15,"10-15 Years",TRUE,"15+ Years")</f>
        <v>15+ Years</v>
      </c>
      <c r="BI421" t="str" cm="1">
        <f t="array" ref="BI421">_xlfn.IFS(AA421&gt;=540,"A",AA421&gt;=480,"B",AA421&gt;=420,"C",AA421&gt;=360,"D",TRUE,"F")</f>
        <v>F</v>
      </c>
      <c r="BJ421" t="str" cm="1">
        <f t="array" ref="BJ421">_xlfn.IFS(AU421&lt;0,"Separated",AU421&lt;=90,"High Risk",AU421&lt;=180,"Medium Risk",TRUE,"Retained")</f>
        <v>High Risk</v>
      </c>
      <c r="BK421" t="str" cm="1">
        <f t="array" ref="BK421">_xlfn.IFS(V421=0,"No Combat",V421=1,"1 Tour",V421=2,"2 Tours",TRUE,"3+ Tours")</f>
        <v>2 Tours</v>
      </c>
      <c r="BL421" t="str">
        <f t="shared" si="30"/>
        <v>Standard</v>
      </c>
      <c r="BM421" t="str">
        <f t="shared" si="31"/>
        <v>Not Ready</v>
      </c>
      <c r="BN421" s="3">
        <f t="shared" si="32"/>
        <v>7.2699924793181242E-2</v>
      </c>
      <c r="BO421">
        <f t="shared" si="33"/>
        <v>362.4</v>
      </c>
    </row>
    <row r="422" spans="1:67" x14ac:dyDescent="0.25">
      <c r="A422" t="s">
        <v>709</v>
      </c>
      <c r="B422" t="s">
        <v>277</v>
      </c>
      <c r="C422" t="s">
        <v>79</v>
      </c>
      <c r="D422" t="s">
        <v>51</v>
      </c>
      <c r="E422">
        <v>38</v>
      </c>
      <c r="F422" t="s">
        <v>214</v>
      </c>
      <c r="G422" t="s">
        <v>156</v>
      </c>
      <c r="H422" t="s">
        <v>157</v>
      </c>
      <c r="I422" t="s">
        <v>217</v>
      </c>
      <c r="J422" t="s">
        <v>218</v>
      </c>
      <c r="K422" t="s">
        <v>146</v>
      </c>
      <c r="L422" t="s">
        <v>201</v>
      </c>
      <c r="M422" t="s">
        <v>127</v>
      </c>
      <c r="N422" t="s">
        <v>108</v>
      </c>
      <c r="O422" t="s">
        <v>149</v>
      </c>
      <c r="P422" s="1">
        <v>40406</v>
      </c>
      <c r="Q422">
        <v>13.8</v>
      </c>
      <c r="R422" t="s">
        <v>129</v>
      </c>
      <c r="S422" t="s">
        <v>130</v>
      </c>
      <c r="T422" t="s">
        <v>131</v>
      </c>
      <c r="U422">
        <v>9</v>
      </c>
      <c r="V422">
        <v>1</v>
      </c>
      <c r="W422" s="2">
        <v>4836</v>
      </c>
      <c r="X422" s="2">
        <v>1473</v>
      </c>
      <c r="Y422" s="2">
        <v>266</v>
      </c>
      <c r="Z422" s="2">
        <v>6575</v>
      </c>
      <c r="AA422">
        <v>585</v>
      </c>
      <c r="AB422" t="s">
        <v>65</v>
      </c>
      <c r="AC422">
        <v>18.2</v>
      </c>
      <c r="AD422">
        <v>53</v>
      </c>
      <c r="AE422">
        <v>63</v>
      </c>
      <c r="AF422" t="s">
        <v>112</v>
      </c>
      <c r="AG422">
        <v>40</v>
      </c>
      <c r="AH422" t="s">
        <v>94</v>
      </c>
      <c r="AI422" t="s">
        <v>114</v>
      </c>
      <c r="AJ422" t="s">
        <v>188</v>
      </c>
      <c r="AK422" t="s">
        <v>71</v>
      </c>
      <c r="AL422" t="s">
        <v>70</v>
      </c>
      <c r="AM422" t="s">
        <v>70</v>
      </c>
      <c r="AN422" t="s">
        <v>72</v>
      </c>
      <c r="AO422" t="s">
        <v>178</v>
      </c>
      <c r="AP422" t="s">
        <v>72</v>
      </c>
      <c r="AQ422" t="s">
        <v>117</v>
      </c>
      <c r="AR422" s="1">
        <v>45377</v>
      </c>
      <c r="AS422" t="s">
        <v>118</v>
      </c>
      <c r="AT422" t="s">
        <v>71</v>
      </c>
      <c r="AU422">
        <v>-361</v>
      </c>
      <c r="AV422" t="s">
        <v>179</v>
      </c>
      <c r="AW422" s="3">
        <v>78900</v>
      </c>
      <c r="AX422" t="s">
        <v>805</v>
      </c>
      <c r="AY422" t="s">
        <v>799</v>
      </c>
      <c r="AZ422" t="s">
        <v>810</v>
      </c>
      <c r="BA422" t="s">
        <v>807</v>
      </c>
      <c r="BB422" t="s">
        <v>801</v>
      </c>
      <c r="BC422" t="s">
        <v>802</v>
      </c>
      <c r="BD422" s="3">
        <v>8.8973384030418254E-2</v>
      </c>
      <c r="BE422">
        <v>675.4</v>
      </c>
      <c r="BG422" s="2">
        <f t="shared" si="29"/>
        <v>78900</v>
      </c>
      <c r="BH422" t="str" cm="1">
        <f t="array" ref="BH422">_xlfn.IFS(Q422&lt;5,"0-5 Years",Q422&lt;10,"5-10 Years",Q422&lt;15,"10-15 Years",TRUE,"15+ Years")</f>
        <v>10-15 Years</v>
      </c>
      <c r="BI422" t="str" cm="1">
        <f t="array" ref="BI422">_xlfn.IFS(AA422&gt;=540,"A",AA422&gt;=480,"B",AA422&gt;=420,"C",AA422&gt;=360,"D",TRUE,"F")</f>
        <v>A</v>
      </c>
      <c r="BJ422" t="str" cm="1">
        <f t="array" ref="BJ422">_xlfn.IFS(AU422&lt;0,"Separated",AU422&lt;=90,"High Risk",AU422&lt;=180,"Medium Risk",TRUE,"Retained")</f>
        <v>Separated</v>
      </c>
      <c r="BK422" t="str" cm="1">
        <f t="array" ref="BK422">_xlfn.IFS(V422=0,"No Combat",V422=1,"1 Tour",V422=2,"2 Tours",TRUE,"3+ Tours")</f>
        <v>1 Tour</v>
      </c>
      <c r="BL422" t="str">
        <f t="shared" si="30"/>
        <v>Standard</v>
      </c>
      <c r="BM422" t="str">
        <f t="shared" si="31"/>
        <v>Not Ready</v>
      </c>
      <c r="BN422" s="3">
        <f t="shared" si="32"/>
        <v>8.8973384030418254E-2</v>
      </c>
      <c r="BO422">
        <f t="shared" si="33"/>
        <v>675.4</v>
      </c>
    </row>
    <row r="423" spans="1:67" x14ac:dyDescent="0.25">
      <c r="A423" t="s">
        <v>710</v>
      </c>
      <c r="B423" t="s">
        <v>78</v>
      </c>
      <c r="C423" t="s">
        <v>264</v>
      </c>
      <c r="D423" t="s">
        <v>51</v>
      </c>
      <c r="E423">
        <v>42</v>
      </c>
      <c r="F423" t="s">
        <v>168</v>
      </c>
      <c r="G423" t="s">
        <v>215</v>
      </c>
      <c r="H423" t="s">
        <v>216</v>
      </c>
      <c r="I423" t="s">
        <v>268</v>
      </c>
      <c r="J423" t="s">
        <v>269</v>
      </c>
      <c r="K423" t="s">
        <v>173</v>
      </c>
      <c r="L423" t="s">
        <v>201</v>
      </c>
      <c r="M423" t="s">
        <v>249</v>
      </c>
      <c r="N423" t="s">
        <v>162</v>
      </c>
      <c r="O423" t="s">
        <v>176</v>
      </c>
      <c r="P423" s="1">
        <v>39891</v>
      </c>
      <c r="Q423">
        <v>15.2</v>
      </c>
      <c r="R423" t="s">
        <v>195</v>
      </c>
      <c r="S423" t="s">
        <v>219</v>
      </c>
      <c r="T423" t="s">
        <v>220</v>
      </c>
      <c r="U423">
        <v>0</v>
      </c>
      <c r="V423">
        <v>0</v>
      </c>
      <c r="W423" s="2">
        <v>3637</v>
      </c>
      <c r="X423" s="2">
        <v>1982</v>
      </c>
      <c r="Y423" s="2">
        <v>266</v>
      </c>
      <c r="Z423" s="2">
        <v>5885</v>
      </c>
      <c r="AA423">
        <v>424</v>
      </c>
      <c r="AB423" t="s">
        <v>65</v>
      </c>
      <c r="AC423">
        <v>16.3</v>
      </c>
      <c r="AD423">
        <v>33</v>
      </c>
      <c r="AE423">
        <v>59</v>
      </c>
      <c r="AF423" t="s">
        <v>132</v>
      </c>
      <c r="AG423">
        <v>19</v>
      </c>
      <c r="AH423" t="s">
        <v>113</v>
      </c>
      <c r="AI423" t="s">
        <v>95</v>
      </c>
      <c r="AJ423" t="s">
        <v>188</v>
      </c>
      <c r="AK423" t="s">
        <v>70</v>
      </c>
      <c r="AL423" t="s">
        <v>70</v>
      </c>
      <c r="AM423" t="s">
        <v>70</v>
      </c>
      <c r="AN423" t="s">
        <v>243</v>
      </c>
      <c r="AO423" t="s">
        <v>72</v>
      </c>
      <c r="AP423" t="s">
        <v>72</v>
      </c>
      <c r="AQ423" t="s">
        <v>117</v>
      </c>
      <c r="AR423" s="1">
        <v>44066</v>
      </c>
      <c r="AS423" t="s">
        <v>137</v>
      </c>
      <c r="AT423" t="s">
        <v>71</v>
      </c>
      <c r="AU423">
        <v>576</v>
      </c>
      <c r="AV423" t="s">
        <v>76</v>
      </c>
      <c r="AW423" s="3">
        <v>70620</v>
      </c>
      <c r="AX423" t="s">
        <v>798</v>
      </c>
      <c r="AY423" t="s">
        <v>804</v>
      </c>
      <c r="AZ423" t="s">
        <v>76</v>
      </c>
      <c r="BA423" t="s">
        <v>800</v>
      </c>
      <c r="BB423" t="s">
        <v>801</v>
      </c>
      <c r="BC423" t="s">
        <v>802</v>
      </c>
      <c r="BD423" s="3">
        <v>7.2047578589634662E-2</v>
      </c>
      <c r="BE423">
        <v>462.4</v>
      </c>
      <c r="BG423" s="2">
        <f t="shared" si="29"/>
        <v>70620</v>
      </c>
      <c r="BH423" t="str" cm="1">
        <f t="array" ref="BH423">_xlfn.IFS(Q423&lt;5,"0-5 Years",Q423&lt;10,"5-10 Years",Q423&lt;15,"10-15 Years",TRUE,"15+ Years")</f>
        <v>15+ Years</v>
      </c>
      <c r="BI423" t="str" cm="1">
        <f t="array" ref="BI423">_xlfn.IFS(AA423&gt;=540,"A",AA423&gt;=480,"B",AA423&gt;=420,"C",AA423&gt;=360,"D",TRUE,"F")</f>
        <v>C</v>
      </c>
      <c r="BJ423" t="str" cm="1">
        <f t="array" ref="BJ423">_xlfn.IFS(AU423&lt;0,"Separated",AU423&lt;=90,"High Risk",AU423&lt;=180,"Medium Risk",TRUE,"Retained")</f>
        <v>Retained</v>
      </c>
      <c r="BK423" t="str" cm="1">
        <f t="array" ref="BK423">_xlfn.IFS(V423=0,"No Combat",V423=1,"1 Tour",V423=2,"2 Tours",TRUE,"3+ Tours")</f>
        <v>No Combat</v>
      </c>
      <c r="BL423" t="str">
        <f t="shared" si="30"/>
        <v>Standard</v>
      </c>
      <c r="BM423" t="str">
        <f t="shared" si="31"/>
        <v>Not Ready</v>
      </c>
      <c r="BN423" s="3">
        <f t="shared" si="32"/>
        <v>7.2047578589634662E-2</v>
      </c>
      <c r="BO423">
        <f t="shared" si="33"/>
        <v>462.4</v>
      </c>
    </row>
    <row r="424" spans="1:67" x14ac:dyDescent="0.25">
      <c r="A424" t="s">
        <v>711</v>
      </c>
      <c r="B424" t="s">
        <v>166</v>
      </c>
      <c r="C424" t="s">
        <v>332</v>
      </c>
      <c r="D424" t="s">
        <v>51</v>
      </c>
      <c r="E424">
        <v>34</v>
      </c>
      <c r="F424" t="s">
        <v>305</v>
      </c>
      <c r="G424" t="s">
        <v>234</v>
      </c>
      <c r="H424" t="s">
        <v>235</v>
      </c>
      <c r="I424" t="s">
        <v>103</v>
      </c>
      <c r="J424" t="s">
        <v>104</v>
      </c>
      <c r="K424" t="s">
        <v>105</v>
      </c>
      <c r="L424" t="s">
        <v>58</v>
      </c>
      <c r="M424" t="s">
        <v>127</v>
      </c>
      <c r="N424" t="s">
        <v>108</v>
      </c>
      <c r="O424" t="s">
        <v>109</v>
      </c>
      <c r="P424" s="1">
        <v>39263</v>
      </c>
      <c r="Q424">
        <v>16.899999999999999</v>
      </c>
      <c r="R424" t="s">
        <v>90</v>
      </c>
      <c r="S424" t="s">
        <v>163</v>
      </c>
      <c r="T424" t="s">
        <v>164</v>
      </c>
      <c r="U424">
        <v>9</v>
      </c>
      <c r="V424">
        <v>1</v>
      </c>
      <c r="W424" s="2">
        <v>1917</v>
      </c>
      <c r="X424" s="2">
        <v>1058</v>
      </c>
      <c r="Y424" s="2">
        <v>422</v>
      </c>
      <c r="Z424" s="2">
        <v>3397</v>
      </c>
      <c r="AA424">
        <v>332</v>
      </c>
      <c r="AB424" t="s">
        <v>151</v>
      </c>
      <c r="AC424">
        <v>15.1</v>
      </c>
      <c r="AD424">
        <v>47</v>
      </c>
      <c r="AE424">
        <v>65</v>
      </c>
      <c r="AF424" t="s">
        <v>93</v>
      </c>
      <c r="AG424">
        <v>28</v>
      </c>
      <c r="AH424" t="s">
        <v>113</v>
      </c>
      <c r="AI424" t="s">
        <v>114</v>
      </c>
      <c r="AJ424" t="s">
        <v>72</v>
      </c>
      <c r="AK424" t="s">
        <v>70</v>
      </c>
      <c r="AL424" t="s">
        <v>70</v>
      </c>
      <c r="AM424" t="s">
        <v>70</v>
      </c>
      <c r="AN424" t="s">
        <v>243</v>
      </c>
      <c r="AO424" t="s">
        <v>203</v>
      </c>
      <c r="AP424" t="s">
        <v>72</v>
      </c>
      <c r="AQ424" t="s">
        <v>98</v>
      </c>
      <c r="AR424" s="1">
        <v>43502</v>
      </c>
      <c r="AS424" t="s">
        <v>137</v>
      </c>
      <c r="AT424" t="s">
        <v>71</v>
      </c>
      <c r="AU424">
        <v>443</v>
      </c>
      <c r="AV424" t="s">
        <v>76</v>
      </c>
      <c r="AW424" s="3">
        <v>40764</v>
      </c>
      <c r="AX424" t="s">
        <v>798</v>
      </c>
      <c r="AY424" t="s">
        <v>122</v>
      </c>
      <c r="AZ424" t="s">
        <v>76</v>
      </c>
      <c r="BA424" t="s">
        <v>807</v>
      </c>
      <c r="BB424" t="s">
        <v>801</v>
      </c>
      <c r="BC424" t="s">
        <v>802</v>
      </c>
      <c r="BD424" s="3">
        <v>9.7733294083014427E-2</v>
      </c>
      <c r="BE424">
        <v>388.4</v>
      </c>
      <c r="BG424" s="2">
        <f t="shared" si="29"/>
        <v>40764</v>
      </c>
      <c r="BH424" t="str" cm="1">
        <f t="array" ref="BH424">_xlfn.IFS(Q424&lt;5,"0-5 Years",Q424&lt;10,"5-10 Years",Q424&lt;15,"10-15 Years",TRUE,"15+ Years")</f>
        <v>15+ Years</v>
      </c>
      <c r="BI424" t="str" cm="1">
        <f t="array" ref="BI424">_xlfn.IFS(AA424&gt;=540,"A",AA424&gt;=480,"B",AA424&gt;=420,"C",AA424&gt;=360,"D",TRUE,"F")</f>
        <v>F</v>
      </c>
      <c r="BJ424" t="str" cm="1">
        <f t="array" ref="BJ424">_xlfn.IFS(AU424&lt;0,"Separated",AU424&lt;=90,"High Risk",AU424&lt;=180,"Medium Risk",TRUE,"Retained")</f>
        <v>Retained</v>
      </c>
      <c r="BK424" t="str" cm="1">
        <f t="array" ref="BK424">_xlfn.IFS(V424=0,"No Combat",V424=1,"1 Tour",V424=2,"2 Tours",TRUE,"3+ Tours")</f>
        <v>1 Tour</v>
      </c>
      <c r="BL424" t="str">
        <f t="shared" si="30"/>
        <v>Standard</v>
      </c>
      <c r="BM424" t="str">
        <f t="shared" si="31"/>
        <v>Not Ready</v>
      </c>
      <c r="BN424" s="3">
        <f t="shared" si="32"/>
        <v>9.7733294083014427E-2</v>
      </c>
      <c r="BO424">
        <f t="shared" si="33"/>
        <v>388.4</v>
      </c>
    </row>
    <row r="425" spans="1:67" x14ac:dyDescent="0.25">
      <c r="A425" t="s">
        <v>712</v>
      </c>
      <c r="B425" t="s">
        <v>181</v>
      </c>
      <c r="C425" t="s">
        <v>332</v>
      </c>
      <c r="D425" t="s">
        <v>51</v>
      </c>
      <c r="E425">
        <v>26</v>
      </c>
      <c r="F425" t="s">
        <v>168</v>
      </c>
      <c r="G425" t="s">
        <v>81</v>
      </c>
      <c r="H425" t="s">
        <v>82</v>
      </c>
      <c r="I425" t="s">
        <v>158</v>
      </c>
      <c r="J425" t="s">
        <v>159</v>
      </c>
      <c r="K425" t="s">
        <v>160</v>
      </c>
      <c r="L425" t="s">
        <v>58</v>
      </c>
      <c r="M425" t="s">
        <v>175</v>
      </c>
      <c r="N425" t="s">
        <v>265</v>
      </c>
      <c r="O425" t="s">
        <v>61</v>
      </c>
      <c r="P425" s="1">
        <v>40206</v>
      </c>
      <c r="Q425">
        <v>14.3</v>
      </c>
      <c r="R425" t="s">
        <v>195</v>
      </c>
      <c r="S425" t="s">
        <v>196</v>
      </c>
      <c r="T425" t="s">
        <v>197</v>
      </c>
      <c r="U425">
        <v>0</v>
      </c>
      <c r="V425">
        <v>0</v>
      </c>
      <c r="W425" s="2">
        <v>2504</v>
      </c>
      <c r="X425" s="2">
        <v>1111</v>
      </c>
      <c r="Y425" s="2">
        <v>422</v>
      </c>
      <c r="Z425" s="2">
        <v>4037</v>
      </c>
      <c r="AA425">
        <v>495</v>
      </c>
      <c r="AB425" t="s">
        <v>65</v>
      </c>
      <c r="AC425">
        <v>19.8</v>
      </c>
      <c r="AD425">
        <v>37</v>
      </c>
      <c r="AE425">
        <v>33</v>
      </c>
      <c r="AF425" t="s">
        <v>112</v>
      </c>
      <c r="AG425">
        <v>28</v>
      </c>
      <c r="AH425" t="s">
        <v>113</v>
      </c>
      <c r="AI425" t="s">
        <v>68</v>
      </c>
      <c r="AJ425" t="s">
        <v>188</v>
      </c>
      <c r="AK425" t="s">
        <v>70</v>
      </c>
      <c r="AL425" t="s">
        <v>71</v>
      </c>
      <c r="AM425" t="s">
        <v>71</v>
      </c>
      <c r="AN425" t="s">
        <v>115</v>
      </c>
      <c r="AO425" t="s">
        <v>203</v>
      </c>
      <c r="AP425" t="s">
        <v>287</v>
      </c>
      <c r="AQ425" t="s">
        <v>74</v>
      </c>
      <c r="AR425" s="1">
        <v>45044</v>
      </c>
      <c r="AS425" t="s">
        <v>118</v>
      </c>
      <c r="AT425" t="s">
        <v>71</v>
      </c>
      <c r="AU425">
        <v>-227</v>
      </c>
      <c r="AV425" t="s">
        <v>179</v>
      </c>
      <c r="AW425" s="3">
        <v>48444</v>
      </c>
      <c r="AX425" t="s">
        <v>805</v>
      </c>
      <c r="AY425" t="s">
        <v>806</v>
      </c>
      <c r="AZ425" t="s">
        <v>810</v>
      </c>
      <c r="BA425" t="s">
        <v>800</v>
      </c>
      <c r="BB425" t="s">
        <v>801</v>
      </c>
      <c r="BC425" t="s">
        <v>802</v>
      </c>
      <c r="BD425" s="3">
        <v>0.1226158038147139</v>
      </c>
      <c r="BE425">
        <v>581.4</v>
      </c>
      <c r="BG425" s="2">
        <f t="shared" si="29"/>
        <v>48444</v>
      </c>
      <c r="BH425" t="str" cm="1">
        <f t="array" ref="BH425">_xlfn.IFS(Q425&lt;5,"0-5 Years",Q425&lt;10,"5-10 Years",Q425&lt;15,"10-15 Years",TRUE,"15+ Years")</f>
        <v>10-15 Years</v>
      </c>
      <c r="BI425" t="str" cm="1">
        <f t="array" ref="BI425">_xlfn.IFS(AA425&gt;=540,"A",AA425&gt;=480,"B",AA425&gt;=420,"C",AA425&gt;=360,"D",TRUE,"F")</f>
        <v>B</v>
      </c>
      <c r="BJ425" t="str" cm="1">
        <f t="array" ref="BJ425">_xlfn.IFS(AU425&lt;0,"Separated",AU425&lt;=90,"High Risk",AU425&lt;=180,"Medium Risk",TRUE,"Retained")</f>
        <v>Separated</v>
      </c>
      <c r="BK425" t="str" cm="1">
        <f t="array" ref="BK425">_xlfn.IFS(V425=0,"No Combat",V425=1,"1 Tour",V425=2,"2 Tours",TRUE,"3+ Tours")</f>
        <v>No Combat</v>
      </c>
      <c r="BL425" t="str">
        <f t="shared" si="30"/>
        <v>Standard</v>
      </c>
      <c r="BM425" t="str">
        <f t="shared" si="31"/>
        <v>Not Ready</v>
      </c>
      <c r="BN425" s="3">
        <f t="shared" si="32"/>
        <v>0.1226158038147139</v>
      </c>
      <c r="BO425">
        <f t="shared" si="33"/>
        <v>581.4</v>
      </c>
    </row>
    <row r="426" spans="1:67" x14ac:dyDescent="0.25">
      <c r="A426" t="s">
        <v>713</v>
      </c>
      <c r="B426" t="s">
        <v>377</v>
      </c>
      <c r="C426" t="s">
        <v>257</v>
      </c>
      <c r="D426" t="s">
        <v>51</v>
      </c>
      <c r="E426">
        <v>42</v>
      </c>
      <c r="F426" t="s">
        <v>382</v>
      </c>
      <c r="G426" t="s">
        <v>124</v>
      </c>
      <c r="H426" t="s">
        <v>125</v>
      </c>
      <c r="I426" t="s">
        <v>185</v>
      </c>
      <c r="J426" t="s">
        <v>186</v>
      </c>
      <c r="K426" t="s">
        <v>187</v>
      </c>
      <c r="L426" t="s">
        <v>58</v>
      </c>
      <c r="M426" t="s">
        <v>107</v>
      </c>
      <c r="N426" t="s">
        <v>162</v>
      </c>
      <c r="O426" t="s">
        <v>149</v>
      </c>
      <c r="P426" s="1">
        <v>43645</v>
      </c>
      <c r="Q426">
        <v>4.9000000000000004</v>
      </c>
      <c r="R426" t="s">
        <v>62</v>
      </c>
      <c r="S426" t="s">
        <v>91</v>
      </c>
      <c r="T426" t="s">
        <v>92</v>
      </c>
      <c r="U426">
        <v>12</v>
      </c>
      <c r="V426">
        <v>2</v>
      </c>
      <c r="W426" s="2">
        <v>2730</v>
      </c>
      <c r="X426" s="2">
        <v>0</v>
      </c>
      <c r="Y426" s="2">
        <v>422</v>
      </c>
      <c r="Z426" s="2">
        <v>3152</v>
      </c>
      <c r="AA426">
        <v>405</v>
      </c>
      <c r="AB426" t="s">
        <v>65</v>
      </c>
      <c r="AC426">
        <v>14.6</v>
      </c>
      <c r="AD426">
        <v>42</v>
      </c>
      <c r="AE426">
        <v>34</v>
      </c>
      <c r="AF426" t="s">
        <v>112</v>
      </c>
      <c r="AG426">
        <v>20</v>
      </c>
      <c r="AH426" t="s">
        <v>113</v>
      </c>
      <c r="AI426" t="s">
        <v>177</v>
      </c>
      <c r="AJ426" t="s">
        <v>69</v>
      </c>
      <c r="AK426" t="s">
        <v>70</v>
      </c>
      <c r="AL426" t="s">
        <v>70</v>
      </c>
      <c r="AM426" t="s">
        <v>70</v>
      </c>
      <c r="AN426" t="s">
        <v>115</v>
      </c>
      <c r="AO426" t="s">
        <v>227</v>
      </c>
      <c r="AP426" t="s">
        <v>72</v>
      </c>
      <c r="AQ426" t="s">
        <v>98</v>
      </c>
      <c r="AR426" s="1">
        <v>43886</v>
      </c>
      <c r="AS426" t="s">
        <v>137</v>
      </c>
      <c r="AT426" t="s">
        <v>71</v>
      </c>
      <c r="AU426">
        <v>1429</v>
      </c>
      <c r="AV426" t="s">
        <v>76</v>
      </c>
      <c r="AW426" s="3">
        <v>37824</v>
      </c>
      <c r="AX426" t="s">
        <v>803</v>
      </c>
      <c r="AY426" t="s">
        <v>809</v>
      </c>
      <c r="AZ426" t="s">
        <v>76</v>
      </c>
      <c r="BA426" t="s">
        <v>811</v>
      </c>
      <c r="BB426" t="s">
        <v>801</v>
      </c>
      <c r="BC426" t="s">
        <v>802</v>
      </c>
      <c r="BD426" s="3">
        <v>0.12848984771573604</v>
      </c>
      <c r="BE426">
        <v>445.4</v>
      </c>
      <c r="BG426" s="2">
        <f t="shared" si="29"/>
        <v>37824</v>
      </c>
      <c r="BH426" t="str" cm="1">
        <f t="array" ref="BH426">_xlfn.IFS(Q426&lt;5,"0-5 Years",Q426&lt;10,"5-10 Years",Q426&lt;15,"10-15 Years",TRUE,"15+ Years")</f>
        <v>0-5 Years</v>
      </c>
      <c r="BI426" t="str" cm="1">
        <f t="array" ref="BI426">_xlfn.IFS(AA426&gt;=540,"A",AA426&gt;=480,"B",AA426&gt;=420,"C",AA426&gt;=360,"D",TRUE,"F")</f>
        <v>D</v>
      </c>
      <c r="BJ426" t="str" cm="1">
        <f t="array" ref="BJ426">_xlfn.IFS(AU426&lt;0,"Separated",AU426&lt;=90,"High Risk",AU426&lt;=180,"Medium Risk",TRUE,"Retained")</f>
        <v>Retained</v>
      </c>
      <c r="BK426" t="str" cm="1">
        <f t="array" ref="BK426">_xlfn.IFS(V426=0,"No Combat",V426=1,"1 Tour",V426=2,"2 Tours",TRUE,"3+ Tours")</f>
        <v>2 Tours</v>
      </c>
      <c r="BL426" t="str">
        <f t="shared" si="30"/>
        <v>Standard</v>
      </c>
      <c r="BM426" t="str">
        <f t="shared" si="31"/>
        <v>Not Ready</v>
      </c>
      <c r="BN426" s="3">
        <f t="shared" si="32"/>
        <v>0.12848984771573604</v>
      </c>
      <c r="BO426">
        <f t="shared" si="33"/>
        <v>445.4</v>
      </c>
    </row>
    <row r="427" spans="1:67" x14ac:dyDescent="0.25">
      <c r="A427" t="s">
        <v>714</v>
      </c>
      <c r="B427" t="s">
        <v>154</v>
      </c>
      <c r="C427" t="s">
        <v>200</v>
      </c>
      <c r="D427" t="s">
        <v>51</v>
      </c>
      <c r="E427">
        <v>21</v>
      </c>
      <c r="F427" t="s">
        <v>325</v>
      </c>
      <c r="G427" t="s">
        <v>81</v>
      </c>
      <c r="H427" t="s">
        <v>82</v>
      </c>
      <c r="I427" t="s">
        <v>103</v>
      </c>
      <c r="J427" t="s">
        <v>104</v>
      </c>
      <c r="K427" t="s">
        <v>105</v>
      </c>
      <c r="L427" t="s">
        <v>106</v>
      </c>
      <c r="M427" t="s">
        <v>87</v>
      </c>
      <c r="N427" t="s">
        <v>162</v>
      </c>
      <c r="O427" t="s">
        <v>149</v>
      </c>
      <c r="P427" s="1">
        <v>38929</v>
      </c>
      <c r="Q427">
        <v>17.8</v>
      </c>
      <c r="R427" t="s">
        <v>129</v>
      </c>
      <c r="S427" t="s">
        <v>196</v>
      </c>
      <c r="T427" t="s">
        <v>197</v>
      </c>
      <c r="U427">
        <v>0</v>
      </c>
      <c r="V427">
        <v>0</v>
      </c>
      <c r="W427" s="2">
        <v>2504</v>
      </c>
      <c r="X427" s="2">
        <v>1499</v>
      </c>
      <c r="Y427" s="2">
        <v>422</v>
      </c>
      <c r="Z427" s="2">
        <v>4425</v>
      </c>
      <c r="AA427">
        <v>420</v>
      </c>
      <c r="AB427" t="s">
        <v>65</v>
      </c>
      <c r="AC427">
        <v>20.6</v>
      </c>
      <c r="AD427">
        <v>22</v>
      </c>
      <c r="AE427">
        <v>54</v>
      </c>
      <c r="AF427" t="s">
        <v>66</v>
      </c>
      <c r="AG427">
        <v>36</v>
      </c>
      <c r="AH427" t="s">
        <v>94</v>
      </c>
      <c r="AI427" t="s">
        <v>152</v>
      </c>
      <c r="AJ427" t="s">
        <v>69</v>
      </c>
      <c r="AK427" t="s">
        <v>70</v>
      </c>
      <c r="AL427" t="s">
        <v>71</v>
      </c>
      <c r="AM427" t="s">
        <v>70</v>
      </c>
      <c r="AN427" t="s">
        <v>72</v>
      </c>
      <c r="AO427" t="s">
        <v>287</v>
      </c>
      <c r="AP427" t="s">
        <v>72</v>
      </c>
      <c r="AQ427" t="s">
        <v>98</v>
      </c>
      <c r="AR427" s="1">
        <v>44164</v>
      </c>
      <c r="AS427" t="s">
        <v>75</v>
      </c>
      <c r="AT427" t="s">
        <v>71</v>
      </c>
      <c r="AU427">
        <v>1525</v>
      </c>
      <c r="AV427" t="s">
        <v>76</v>
      </c>
      <c r="AW427" s="3">
        <v>53100</v>
      </c>
      <c r="AX427" t="s">
        <v>798</v>
      </c>
      <c r="AY427" t="s">
        <v>804</v>
      </c>
      <c r="AZ427" t="s">
        <v>76</v>
      </c>
      <c r="BA427" t="s">
        <v>800</v>
      </c>
      <c r="BB427" t="s">
        <v>801</v>
      </c>
      <c r="BC427" t="s">
        <v>802</v>
      </c>
      <c r="BD427" s="3">
        <v>9.4915254237288138E-2</v>
      </c>
      <c r="BE427">
        <v>502.4</v>
      </c>
      <c r="BG427" s="2">
        <f t="shared" si="29"/>
        <v>53100</v>
      </c>
      <c r="BH427" t="str" cm="1">
        <f t="array" ref="BH427">_xlfn.IFS(Q427&lt;5,"0-5 Years",Q427&lt;10,"5-10 Years",Q427&lt;15,"10-15 Years",TRUE,"15+ Years")</f>
        <v>15+ Years</v>
      </c>
      <c r="BI427" t="str" cm="1">
        <f t="array" ref="BI427">_xlfn.IFS(AA427&gt;=540,"A",AA427&gt;=480,"B",AA427&gt;=420,"C",AA427&gt;=360,"D",TRUE,"F")</f>
        <v>C</v>
      </c>
      <c r="BJ427" t="str" cm="1">
        <f t="array" ref="BJ427">_xlfn.IFS(AU427&lt;0,"Separated",AU427&lt;=90,"High Risk",AU427&lt;=180,"Medium Risk",TRUE,"Retained")</f>
        <v>Retained</v>
      </c>
      <c r="BK427" t="str" cm="1">
        <f t="array" ref="BK427">_xlfn.IFS(V427=0,"No Combat",V427=1,"1 Tour",V427=2,"2 Tours",TRUE,"3+ Tours")</f>
        <v>No Combat</v>
      </c>
      <c r="BL427" t="str">
        <f t="shared" si="30"/>
        <v>Standard</v>
      </c>
      <c r="BM427" t="str">
        <f t="shared" si="31"/>
        <v>Not Ready</v>
      </c>
      <c r="BN427" s="3">
        <f t="shared" si="32"/>
        <v>9.4915254237288138E-2</v>
      </c>
      <c r="BO427">
        <f t="shared" si="33"/>
        <v>502.4</v>
      </c>
    </row>
    <row r="428" spans="1:67" x14ac:dyDescent="0.25">
      <c r="A428" t="s">
        <v>715</v>
      </c>
      <c r="B428" t="s">
        <v>205</v>
      </c>
      <c r="C428" t="s">
        <v>369</v>
      </c>
      <c r="D428" t="s">
        <v>122</v>
      </c>
      <c r="E428">
        <v>39</v>
      </c>
      <c r="F428" t="s">
        <v>80</v>
      </c>
      <c r="G428" t="s">
        <v>81</v>
      </c>
      <c r="H428" t="s">
        <v>82</v>
      </c>
      <c r="I428" t="s">
        <v>144</v>
      </c>
      <c r="J428" t="s">
        <v>145</v>
      </c>
      <c r="K428" t="s">
        <v>146</v>
      </c>
      <c r="L428" t="s">
        <v>86</v>
      </c>
      <c r="M428" t="s">
        <v>59</v>
      </c>
      <c r="N428" t="s">
        <v>265</v>
      </c>
      <c r="O428" t="s">
        <v>176</v>
      </c>
      <c r="P428" s="1">
        <v>40414</v>
      </c>
      <c r="Q428">
        <v>13.8</v>
      </c>
      <c r="R428" t="s">
        <v>208</v>
      </c>
      <c r="S428" t="s">
        <v>219</v>
      </c>
      <c r="T428" t="s">
        <v>220</v>
      </c>
      <c r="U428">
        <v>0</v>
      </c>
      <c r="V428">
        <v>0</v>
      </c>
      <c r="W428" s="2">
        <v>2504</v>
      </c>
      <c r="X428" s="2">
        <v>1840</v>
      </c>
      <c r="Y428" s="2">
        <v>422</v>
      </c>
      <c r="Z428" s="2">
        <v>4766</v>
      </c>
      <c r="AA428">
        <v>472</v>
      </c>
      <c r="AB428" t="s">
        <v>65</v>
      </c>
      <c r="AC428">
        <v>16.100000000000001</v>
      </c>
      <c r="AD428">
        <v>73</v>
      </c>
      <c r="AE428">
        <v>46</v>
      </c>
      <c r="AF428" t="s">
        <v>66</v>
      </c>
      <c r="AG428">
        <v>16</v>
      </c>
      <c r="AH428" t="s">
        <v>113</v>
      </c>
      <c r="AI428" t="s">
        <v>177</v>
      </c>
      <c r="AJ428" t="s">
        <v>69</v>
      </c>
      <c r="AK428" t="s">
        <v>70</v>
      </c>
      <c r="AL428" t="s">
        <v>70</v>
      </c>
      <c r="AM428" t="s">
        <v>70</v>
      </c>
      <c r="AN428" t="s">
        <v>115</v>
      </c>
      <c r="AO428" t="s">
        <v>97</v>
      </c>
      <c r="AP428" t="s">
        <v>287</v>
      </c>
      <c r="AQ428" t="s">
        <v>98</v>
      </c>
      <c r="AR428" s="1">
        <v>43257</v>
      </c>
      <c r="AS428" t="s">
        <v>198</v>
      </c>
      <c r="AT428" t="s">
        <v>71</v>
      </c>
      <c r="AU428">
        <v>1625</v>
      </c>
      <c r="AV428" t="s">
        <v>76</v>
      </c>
      <c r="AW428" s="3">
        <v>57192</v>
      </c>
      <c r="AX428" t="s">
        <v>805</v>
      </c>
      <c r="AY428" t="s">
        <v>804</v>
      </c>
      <c r="AZ428" t="s">
        <v>76</v>
      </c>
      <c r="BA428" t="s">
        <v>800</v>
      </c>
      <c r="BB428" t="s">
        <v>801</v>
      </c>
      <c r="BC428" t="s">
        <v>802</v>
      </c>
      <c r="BD428" s="3">
        <v>9.9034830046160302E-2</v>
      </c>
      <c r="BE428">
        <v>504.4</v>
      </c>
      <c r="BG428" s="2">
        <f t="shared" si="29"/>
        <v>57192</v>
      </c>
      <c r="BH428" t="str" cm="1">
        <f t="array" ref="BH428">_xlfn.IFS(Q428&lt;5,"0-5 Years",Q428&lt;10,"5-10 Years",Q428&lt;15,"10-15 Years",TRUE,"15+ Years")</f>
        <v>10-15 Years</v>
      </c>
      <c r="BI428" t="str" cm="1">
        <f t="array" ref="BI428">_xlfn.IFS(AA428&gt;=540,"A",AA428&gt;=480,"B",AA428&gt;=420,"C",AA428&gt;=360,"D",TRUE,"F")</f>
        <v>C</v>
      </c>
      <c r="BJ428" t="str" cm="1">
        <f t="array" ref="BJ428">_xlfn.IFS(AU428&lt;0,"Separated",AU428&lt;=90,"High Risk",AU428&lt;=180,"Medium Risk",TRUE,"Retained")</f>
        <v>Retained</v>
      </c>
      <c r="BK428" t="str" cm="1">
        <f t="array" ref="BK428">_xlfn.IFS(V428=0,"No Combat",V428=1,"1 Tour",V428=2,"2 Tours",TRUE,"3+ Tours")</f>
        <v>No Combat</v>
      </c>
      <c r="BL428" t="str">
        <f t="shared" si="30"/>
        <v>Standard</v>
      </c>
      <c r="BM428" t="str">
        <f t="shared" si="31"/>
        <v>Not Ready</v>
      </c>
      <c r="BN428" s="3">
        <f t="shared" si="32"/>
        <v>9.9034830046160302E-2</v>
      </c>
      <c r="BO428">
        <f t="shared" si="33"/>
        <v>504.4</v>
      </c>
    </row>
    <row r="429" spans="1:67" x14ac:dyDescent="0.25">
      <c r="A429" t="s">
        <v>716</v>
      </c>
      <c r="B429" t="s">
        <v>100</v>
      </c>
      <c r="C429" t="s">
        <v>501</v>
      </c>
      <c r="D429" t="s">
        <v>122</v>
      </c>
      <c r="E429">
        <v>39</v>
      </c>
      <c r="F429" t="s">
        <v>316</v>
      </c>
      <c r="G429" t="s">
        <v>81</v>
      </c>
      <c r="H429" t="s">
        <v>82</v>
      </c>
      <c r="I429" t="s">
        <v>225</v>
      </c>
      <c r="J429" t="s">
        <v>226</v>
      </c>
      <c r="K429" t="s">
        <v>105</v>
      </c>
      <c r="L429" t="s">
        <v>106</v>
      </c>
      <c r="M429" t="s">
        <v>127</v>
      </c>
      <c r="N429" t="s">
        <v>148</v>
      </c>
      <c r="O429" t="s">
        <v>89</v>
      </c>
      <c r="P429" s="1">
        <v>39315</v>
      </c>
      <c r="Q429">
        <v>16.8</v>
      </c>
      <c r="R429" t="s">
        <v>90</v>
      </c>
      <c r="S429" t="s">
        <v>196</v>
      </c>
      <c r="T429" t="s">
        <v>197</v>
      </c>
      <c r="U429">
        <v>0</v>
      </c>
      <c r="V429">
        <v>0</v>
      </c>
      <c r="W429" s="2">
        <v>2504</v>
      </c>
      <c r="X429" s="2">
        <v>1288</v>
      </c>
      <c r="Y429" s="2">
        <v>422</v>
      </c>
      <c r="Z429" s="2">
        <v>4214</v>
      </c>
      <c r="AA429">
        <v>505</v>
      </c>
      <c r="AB429" t="s">
        <v>65</v>
      </c>
      <c r="AC429">
        <v>17.399999999999999</v>
      </c>
      <c r="AD429">
        <v>65</v>
      </c>
      <c r="AE429">
        <v>68</v>
      </c>
      <c r="AF429" t="s">
        <v>132</v>
      </c>
      <c r="AG429">
        <v>38</v>
      </c>
      <c r="AH429" t="s">
        <v>94</v>
      </c>
      <c r="AI429" t="s">
        <v>114</v>
      </c>
      <c r="AJ429" t="s">
        <v>69</v>
      </c>
      <c r="AK429" t="s">
        <v>71</v>
      </c>
      <c r="AL429" t="s">
        <v>70</v>
      </c>
      <c r="AM429" t="s">
        <v>70</v>
      </c>
      <c r="AN429" t="s">
        <v>72</v>
      </c>
      <c r="AO429" t="s">
        <v>72</v>
      </c>
      <c r="AP429" t="s">
        <v>72</v>
      </c>
      <c r="AQ429" t="s">
        <v>74</v>
      </c>
      <c r="AR429" s="1">
        <v>41777</v>
      </c>
      <c r="AS429" t="s">
        <v>118</v>
      </c>
      <c r="AT429" t="s">
        <v>71</v>
      </c>
      <c r="AU429">
        <v>-96</v>
      </c>
      <c r="AV429" t="s">
        <v>179</v>
      </c>
      <c r="AW429" s="3">
        <v>50568</v>
      </c>
      <c r="AX429" t="s">
        <v>798</v>
      </c>
      <c r="AY429" t="s">
        <v>806</v>
      </c>
      <c r="AZ429" t="s">
        <v>810</v>
      </c>
      <c r="BA429" t="s">
        <v>800</v>
      </c>
      <c r="BB429" t="s">
        <v>814</v>
      </c>
      <c r="BC429" t="s">
        <v>802</v>
      </c>
      <c r="BD429" s="3">
        <v>0.11983863312766967</v>
      </c>
      <c r="BE429">
        <v>591.4</v>
      </c>
      <c r="BG429" s="2">
        <f t="shared" si="29"/>
        <v>50568</v>
      </c>
      <c r="BH429" t="str" cm="1">
        <f t="array" ref="BH429">_xlfn.IFS(Q429&lt;5,"0-5 Years",Q429&lt;10,"5-10 Years",Q429&lt;15,"10-15 Years",TRUE,"15+ Years")</f>
        <v>15+ Years</v>
      </c>
      <c r="BI429" t="str" cm="1">
        <f t="array" ref="BI429">_xlfn.IFS(AA429&gt;=540,"A",AA429&gt;=480,"B",AA429&gt;=420,"C",AA429&gt;=360,"D",TRUE,"F")</f>
        <v>B</v>
      </c>
      <c r="BJ429" t="str" cm="1">
        <f t="array" ref="BJ429">_xlfn.IFS(AU429&lt;0,"Separated",AU429&lt;=90,"High Risk",AU429&lt;=180,"Medium Risk",TRUE,"Retained")</f>
        <v>Separated</v>
      </c>
      <c r="BK429" t="str" cm="1">
        <f t="array" ref="BK429">_xlfn.IFS(V429=0,"No Combat",V429=1,"1 Tour",V429=2,"2 Tours",TRUE,"3+ Tours")</f>
        <v>No Combat</v>
      </c>
      <c r="BL429" t="str">
        <f t="shared" si="30"/>
        <v>High Performer</v>
      </c>
      <c r="BM429" t="str">
        <f t="shared" si="31"/>
        <v>Not Ready</v>
      </c>
      <c r="BN429" s="3">
        <f t="shared" si="32"/>
        <v>0.11983863312766967</v>
      </c>
      <c r="BO429">
        <f t="shared" si="33"/>
        <v>591.4</v>
      </c>
    </row>
    <row r="430" spans="1:67" x14ac:dyDescent="0.25">
      <c r="A430" t="s">
        <v>717</v>
      </c>
      <c r="B430" t="s">
        <v>346</v>
      </c>
      <c r="C430" t="s">
        <v>257</v>
      </c>
      <c r="D430" t="s">
        <v>51</v>
      </c>
      <c r="E430">
        <v>45</v>
      </c>
      <c r="F430" t="s">
        <v>325</v>
      </c>
      <c r="G430" t="s">
        <v>279</v>
      </c>
      <c r="H430" t="s">
        <v>280</v>
      </c>
      <c r="I430" t="s">
        <v>144</v>
      </c>
      <c r="J430" t="s">
        <v>145</v>
      </c>
      <c r="K430" t="s">
        <v>146</v>
      </c>
      <c r="L430" t="s">
        <v>86</v>
      </c>
      <c r="M430" t="s">
        <v>161</v>
      </c>
      <c r="N430" t="s">
        <v>128</v>
      </c>
      <c r="O430" t="s">
        <v>176</v>
      </c>
      <c r="P430" s="1">
        <v>41239</v>
      </c>
      <c r="Q430">
        <v>11.5</v>
      </c>
      <c r="R430" t="s">
        <v>129</v>
      </c>
      <c r="S430" t="s">
        <v>130</v>
      </c>
      <c r="T430" t="s">
        <v>131</v>
      </c>
      <c r="U430">
        <v>8</v>
      </c>
      <c r="V430">
        <v>1</v>
      </c>
      <c r="W430" s="2">
        <v>6618</v>
      </c>
      <c r="X430" s="2">
        <v>0</v>
      </c>
      <c r="Y430" s="2">
        <v>266</v>
      </c>
      <c r="Z430" s="2">
        <v>6884</v>
      </c>
      <c r="AA430">
        <v>424</v>
      </c>
      <c r="AB430" t="s">
        <v>65</v>
      </c>
      <c r="AC430">
        <v>15.3</v>
      </c>
      <c r="AD430">
        <v>64</v>
      </c>
      <c r="AE430">
        <v>70</v>
      </c>
      <c r="AF430" t="s">
        <v>93</v>
      </c>
      <c r="AG430">
        <v>22</v>
      </c>
      <c r="AH430" t="s">
        <v>113</v>
      </c>
      <c r="AI430" t="s">
        <v>68</v>
      </c>
      <c r="AJ430" t="s">
        <v>69</v>
      </c>
      <c r="AK430" t="s">
        <v>70</v>
      </c>
      <c r="AL430" t="s">
        <v>71</v>
      </c>
      <c r="AM430" t="s">
        <v>70</v>
      </c>
      <c r="AN430" t="s">
        <v>133</v>
      </c>
      <c r="AO430" t="s">
        <v>203</v>
      </c>
      <c r="AP430" t="s">
        <v>203</v>
      </c>
      <c r="AQ430" t="s">
        <v>117</v>
      </c>
      <c r="AR430" s="1">
        <v>42773</v>
      </c>
      <c r="AS430" t="s">
        <v>75</v>
      </c>
      <c r="AT430" t="s">
        <v>71</v>
      </c>
      <c r="AU430">
        <v>796</v>
      </c>
      <c r="AV430" t="s">
        <v>76</v>
      </c>
      <c r="AW430" s="3">
        <v>82608</v>
      </c>
      <c r="AX430" t="s">
        <v>805</v>
      </c>
      <c r="AY430" t="s">
        <v>804</v>
      </c>
      <c r="AZ430" t="s">
        <v>76</v>
      </c>
      <c r="BA430" t="s">
        <v>807</v>
      </c>
      <c r="BB430" t="s">
        <v>801</v>
      </c>
      <c r="BC430" t="s">
        <v>802</v>
      </c>
      <c r="BD430" s="3">
        <v>6.1592097617664147E-2</v>
      </c>
      <c r="BE430">
        <v>478.4</v>
      </c>
      <c r="BG430" s="2">
        <f t="shared" si="29"/>
        <v>82608</v>
      </c>
      <c r="BH430" t="str" cm="1">
        <f t="array" ref="BH430">_xlfn.IFS(Q430&lt;5,"0-5 Years",Q430&lt;10,"5-10 Years",Q430&lt;15,"10-15 Years",TRUE,"15+ Years")</f>
        <v>10-15 Years</v>
      </c>
      <c r="BI430" t="str" cm="1">
        <f t="array" ref="BI430">_xlfn.IFS(AA430&gt;=540,"A",AA430&gt;=480,"B",AA430&gt;=420,"C",AA430&gt;=360,"D",TRUE,"F")</f>
        <v>C</v>
      </c>
      <c r="BJ430" t="str" cm="1">
        <f t="array" ref="BJ430">_xlfn.IFS(AU430&lt;0,"Separated",AU430&lt;=90,"High Risk",AU430&lt;=180,"Medium Risk",TRUE,"Retained")</f>
        <v>Retained</v>
      </c>
      <c r="BK430" t="str" cm="1">
        <f t="array" ref="BK430">_xlfn.IFS(V430=0,"No Combat",V430=1,"1 Tour",V430=2,"2 Tours",TRUE,"3+ Tours")</f>
        <v>1 Tour</v>
      </c>
      <c r="BL430" t="str">
        <f t="shared" si="30"/>
        <v>Standard</v>
      </c>
      <c r="BM430" t="str">
        <f t="shared" si="31"/>
        <v>Not Ready</v>
      </c>
      <c r="BN430" s="3">
        <f t="shared" si="32"/>
        <v>6.1592097617664147E-2</v>
      </c>
      <c r="BO430">
        <f t="shared" si="33"/>
        <v>478.4</v>
      </c>
    </row>
    <row r="431" spans="1:67" x14ac:dyDescent="0.25">
      <c r="A431" t="s">
        <v>718</v>
      </c>
      <c r="B431" t="s">
        <v>259</v>
      </c>
      <c r="C431" t="s">
        <v>140</v>
      </c>
      <c r="D431" t="s">
        <v>51</v>
      </c>
      <c r="E431">
        <v>23</v>
      </c>
      <c r="F431" t="s">
        <v>291</v>
      </c>
      <c r="G431" t="s">
        <v>156</v>
      </c>
      <c r="H431" t="s">
        <v>157</v>
      </c>
      <c r="I431" t="s">
        <v>83</v>
      </c>
      <c r="J431" t="s">
        <v>84</v>
      </c>
      <c r="K431" t="s">
        <v>85</v>
      </c>
      <c r="L431" t="s">
        <v>201</v>
      </c>
      <c r="M431" t="s">
        <v>249</v>
      </c>
      <c r="N431" t="s">
        <v>265</v>
      </c>
      <c r="O431" t="s">
        <v>149</v>
      </c>
      <c r="P431" s="1">
        <v>44550</v>
      </c>
      <c r="Q431">
        <v>2.4</v>
      </c>
      <c r="R431" t="s">
        <v>208</v>
      </c>
      <c r="S431" t="s">
        <v>91</v>
      </c>
      <c r="T431" t="s">
        <v>92</v>
      </c>
      <c r="U431">
        <v>6</v>
      </c>
      <c r="V431">
        <v>1</v>
      </c>
      <c r="W431" s="2">
        <v>4836</v>
      </c>
      <c r="X431" s="2">
        <v>1342</v>
      </c>
      <c r="Y431" s="2">
        <v>266</v>
      </c>
      <c r="Z431" s="2">
        <v>6444</v>
      </c>
      <c r="AA431">
        <v>475</v>
      </c>
      <c r="AB431" t="s">
        <v>65</v>
      </c>
      <c r="AC431">
        <v>15.5</v>
      </c>
      <c r="AD431">
        <v>71</v>
      </c>
      <c r="AE431">
        <v>58</v>
      </c>
      <c r="AF431" t="s">
        <v>93</v>
      </c>
      <c r="AG431">
        <v>21</v>
      </c>
      <c r="AH431" t="s">
        <v>113</v>
      </c>
      <c r="AI431" t="s">
        <v>152</v>
      </c>
      <c r="AJ431" t="s">
        <v>96</v>
      </c>
      <c r="AK431" t="s">
        <v>70</v>
      </c>
      <c r="AL431" t="s">
        <v>70</v>
      </c>
      <c r="AM431" t="s">
        <v>70</v>
      </c>
      <c r="AN431" t="s">
        <v>72</v>
      </c>
      <c r="AO431" t="s">
        <v>221</v>
      </c>
      <c r="AP431" t="s">
        <v>72</v>
      </c>
      <c r="AQ431" t="s">
        <v>98</v>
      </c>
      <c r="AR431" s="1">
        <v>44382</v>
      </c>
      <c r="AS431" t="s">
        <v>137</v>
      </c>
      <c r="AT431" t="s">
        <v>71</v>
      </c>
      <c r="AU431">
        <v>1157</v>
      </c>
      <c r="AV431" t="s">
        <v>76</v>
      </c>
      <c r="AW431" s="3">
        <v>77328</v>
      </c>
      <c r="AX431" t="s">
        <v>803</v>
      </c>
      <c r="AY431" t="s">
        <v>804</v>
      </c>
      <c r="AZ431" t="s">
        <v>76</v>
      </c>
      <c r="BA431" t="s">
        <v>807</v>
      </c>
      <c r="BB431" t="s">
        <v>801</v>
      </c>
      <c r="BC431" t="s">
        <v>802</v>
      </c>
      <c r="BD431" s="3">
        <v>7.3711980136561148E-2</v>
      </c>
      <c r="BE431">
        <v>517.4</v>
      </c>
      <c r="BG431" s="2">
        <f t="shared" si="29"/>
        <v>77328</v>
      </c>
      <c r="BH431" t="str" cm="1">
        <f t="array" ref="BH431">_xlfn.IFS(Q431&lt;5,"0-5 Years",Q431&lt;10,"5-10 Years",Q431&lt;15,"10-15 Years",TRUE,"15+ Years")</f>
        <v>0-5 Years</v>
      </c>
      <c r="BI431" t="str" cm="1">
        <f t="array" ref="BI431">_xlfn.IFS(AA431&gt;=540,"A",AA431&gt;=480,"B",AA431&gt;=420,"C",AA431&gt;=360,"D",TRUE,"F")</f>
        <v>C</v>
      </c>
      <c r="BJ431" t="str" cm="1">
        <f t="array" ref="BJ431">_xlfn.IFS(AU431&lt;0,"Separated",AU431&lt;=90,"High Risk",AU431&lt;=180,"Medium Risk",TRUE,"Retained")</f>
        <v>Retained</v>
      </c>
      <c r="BK431" t="str" cm="1">
        <f t="array" ref="BK431">_xlfn.IFS(V431=0,"No Combat",V431=1,"1 Tour",V431=2,"2 Tours",TRUE,"3+ Tours")</f>
        <v>1 Tour</v>
      </c>
      <c r="BL431" t="str">
        <f t="shared" si="30"/>
        <v>Standard</v>
      </c>
      <c r="BM431" t="str">
        <f t="shared" si="31"/>
        <v>Not Ready</v>
      </c>
      <c r="BN431" s="3">
        <f t="shared" si="32"/>
        <v>7.3711980136561148E-2</v>
      </c>
      <c r="BO431">
        <f t="shared" si="33"/>
        <v>517.4</v>
      </c>
    </row>
    <row r="432" spans="1:67" x14ac:dyDescent="0.25">
      <c r="A432" t="s">
        <v>719</v>
      </c>
      <c r="B432" t="s">
        <v>267</v>
      </c>
      <c r="C432" t="s">
        <v>233</v>
      </c>
      <c r="D432" t="s">
        <v>51</v>
      </c>
      <c r="E432">
        <v>38</v>
      </c>
      <c r="F432" t="s">
        <v>211</v>
      </c>
      <c r="G432" t="s">
        <v>301</v>
      </c>
      <c r="H432" t="s">
        <v>302</v>
      </c>
      <c r="I432" t="s">
        <v>253</v>
      </c>
      <c r="J432" t="s">
        <v>254</v>
      </c>
      <c r="K432" t="s">
        <v>255</v>
      </c>
      <c r="L432" t="s">
        <v>58</v>
      </c>
      <c r="M432" t="s">
        <v>212</v>
      </c>
      <c r="N432" t="s">
        <v>60</v>
      </c>
      <c r="O432" t="s">
        <v>176</v>
      </c>
      <c r="P432" s="1">
        <v>43378</v>
      </c>
      <c r="Q432">
        <v>5.7</v>
      </c>
      <c r="R432" t="s">
        <v>90</v>
      </c>
      <c r="S432" t="s">
        <v>63</v>
      </c>
      <c r="T432" t="s">
        <v>64</v>
      </c>
      <c r="U432">
        <v>0</v>
      </c>
      <c r="V432">
        <v>0</v>
      </c>
      <c r="W432" s="2">
        <v>4188</v>
      </c>
      <c r="X432" s="2">
        <v>968</v>
      </c>
      <c r="Y432" s="2">
        <v>266</v>
      </c>
      <c r="Z432" s="2">
        <v>5422</v>
      </c>
      <c r="AA432">
        <v>415</v>
      </c>
      <c r="AB432" t="s">
        <v>65</v>
      </c>
      <c r="AC432">
        <v>21</v>
      </c>
      <c r="AD432">
        <v>48</v>
      </c>
      <c r="AE432">
        <v>32</v>
      </c>
      <c r="AF432" t="s">
        <v>93</v>
      </c>
      <c r="AG432">
        <v>37</v>
      </c>
      <c r="AH432" t="s">
        <v>94</v>
      </c>
      <c r="AI432" t="s">
        <v>114</v>
      </c>
      <c r="AJ432" t="s">
        <v>188</v>
      </c>
      <c r="AK432" t="s">
        <v>70</v>
      </c>
      <c r="AL432" t="s">
        <v>71</v>
      </c>
      <c r="AM432" t="s">
        <v>70</v>
      </c>
      <c r="AN432" t="s">
        <v>72</v>
      </c>
      <c r="AO432" t="s">
        <v>134</v>
      </c>
      <c r="AP432" t="s">
        <v>72</v>
      </c>
      <c r="AQ432" t="s">
        <v>98</v>
      </c>
      <c r="AR432" s="1">
        <v>43186</v>
      </c>
      <c r="AS432" t="s">
        <v>137</v>
      </c>
      <c r="AT432" t="s">
        <v>71</v>
      </c>
      <c r="AU432">
        <v>1479</v>
      </c>
      <c r="AV432" t="s">
        <v>76</v>
      </c>
      <c r="AW432" s="3">
        <v>65064</v>
      </c>
      <c r="AX432" t="s">
        <v>808</v>
      </c>
      <c r="AY432" t="s">
        <v>809</v>
      </c>
      <c r="AZ432" t="s">
        <v>76</v>
      </c>
      <c r="BA432" t="s">
        <v>800</v>
      </c>
      <c r="BB432" t="s">
        <v>801</v>
      </c>
      <c r="BC432" t="s">
        <v>802</v>
      </c>
      <c r="BD432" s="3">
        <v>7.6540022132054589E-2</v>
      </c>
      <c r="BE432">
        <v>499.4</v>
      </c>
      <c r="BG432" s="2">
        <f t="shared" si="29"/>
        <v>65064</v>
      </c>
      <c r="BH432" t="str" cm="1">
        <f t="array" ref="BH432">_xlfn.IFS(Q432&lt;5,"0-5 Years",Q432&lt;10,"5-10 Years",Q432&lt;15,"10-15 Years",TRUE,"15+ Years")</f>
        <v>5-10 Years</v>
      </c>
      <c r="BI432" t="str" cm="1">
        <f t="array" ref="BI432">_xlfn.IFS(AA432&gt;=540,"A",AA432&gt;=480,"B",AA432&gt;=420,"C",AA432&gt;=360,"D",TRUE,"F")</f>
        <v>D</v>
      </c>
      <c r="BJ432" t="str" cm="1">
        <f t="array" ref="BJ432">_xlfn.IFS(AU432&lt;0,"Separated",AU432&lt;=90,"High Risk",AU432&lt;=180,"Medium Risk",TRUE,"Retained")</f>
        <v>Retained</v>
      </c>
      <c r="BK432" t="str" cm="1">
        <f t="array" ref="BK432">_xlfn.IFS(V432=0,"No Combat",V432=1,"1 Tour",V432=2,"2 Tours",TRUE,"3+ Tours")</f>
        <v>No Combat</v>
      </c>
      <c r="BL432" t="str">
        <f t="shared" si="30"/>
        <v>Standard</v>
      </c>
      <c r="BM432" t="str">
        <f t="shared" si="31"/>
        <v>Not Ready</v>
      </c>
      <c r="BN432" s="3">
        <f t="shared" si="32"/>
        <v>7.6540022132054589E-2</v>
      </c>
      <c r="BO432">
        <f t="shared" si="33"/>
        <v>499.4</v>
      </c>
    </row>
    <row r="433" spans="1:67" x14ac:dyDescent="0.25">
      <c r="A433" t="s">
        <v>720</v>
      </c>
      <c r="B433" t="s">
        <v>245</v>
      </c>
      <c r="C433" t="s">
        <v>369</v>
      </c>
      <c r="D433" t="s">
        <v>122</v>
      </c>
      <c r="E433">
        <v>28</v>
      </c>
      <c r="F433" t="s">
        <v>322</v>
      </c>
      <c r="G433" t="s">
        <v>169</v>
      </c>
      <c r="H433" t="s">
        <v>170</v>
      </c>
      <c r="I433" t="s">
        <v>253</v>
      </c>
      <c r="J433" t="s">
        <v>254</v>
      </c>
      <c r="K433" t="s">
        <v>255</v>
      </c>
      <c r="L433" t="s">
        <v>58</v>
      </c>
      <c r="M433" t="s">
        <v>147</v>
      </c>
      <c r="N433" t="s">
        <v>148</v>
      </c>
      <c r="O433" t="s">
        <v>109</v>
      </c>
      <c r="P433" s="1">
        <v>43491</v>
      </c>
      <c r="Q433">
        <v>5.3</v>
      </c>
      <c r="R433" t="s">
        <v>208</v>
      </c>
      <c r="S433" t="s">
        <v>63</v>
      </c>
      <c r="T433" t="s">
        <v>64</v>
      </c>
      <c r="U433">
        <v>0</v>
      </c>
      <c r="V433">
        <v>0</v>
      </c>
      <c r="W433" s="2">
        <v>3294</v>
      </c>
      <c r="X433" s="2">
        <v>1592</v>
      </c>
      <c r="Y433" s="2">
        <v>422</v>
      </c>
      <c r="Z433" s="2">
        <v>5308</v>
      </c>
      <c r="AA433">
        <v>424</v>
      </c>
      <c r="AB433" t="s">
        <v>65</v>
      </c>
      <c r="AC433">
        <v>18.5</v>
      </c>
      <c r="AD433">
        <v>82</v>
      </c>
      <c r="AE433">
        <v>53</v>
      </c>
      <c r="AF433" t="s">
        <v>132</v>
      </c>
      <c r="AG433">
        <v>27</v>
      </c>
      <c r="AH433" t="s">
        <v>113</v>
      </c>
      <c r="AI433" t="s">
        <v>152</v>
      </c>
      <c r="AJ433" t="s">
        <v>96</v>
      </c>
      <c r="AK433" t="s">
        <v>71</v>
      </c>
      <c r="AL433" t="s">
        <v>70</v>
      </c>
      <c r="AM433" t="s">
        <v>70</v>
      </c>
      <c r="AN433" t="s">
        <v>72</v>
      </c>
      <c r="AO433" t="s">
        <v>221</v>
      </c>
      <c r="AP433" t="s">
        <v>73</v>
      </c>
      <c r="AQ433" t="s">
        <v>117</v>
      </c>
      <c r="AR433" s="1">
        <v>45544</v>
      </c>
      <c r="AS433" t="s">
        <v>118</v>
      </c>
      <c r="AT433" t="s">
        <v>71</v>
      </c>
      <c r="AU433">
        <v>1448</v>
      </c>
      <c r="AV433" t="s">
        <v>76</v>
      </c>
      <c r="AW433" s="3">
        <v>63696</v>
      </c>
      <c r="AX433" t="s">
        <v>808</v>
      </c>
      <c r="AY433" t="s">
        <v>804</v>
      </c>
      <c r="AZ433" t="s">
        <v>76</v>
      </c>
      <c r="BA433" t="s">
        <v>800</v>
      </c>
      <c r="BB433" t="s">
        <v>801</v>
      </c>
      <c r="BC433" t="s">
        <v>802</v>
      </c>
      <c r="BD433" s="3">
        <v>7.9879427279577989E-2</v>
      </c>
      <c r="BE433">
        <v>488.4</v>
      </c>
      <c r="BG433" s="2">
        <f t="shared" si="29"/>
        <v>63696</v>
      </c>
      <c r="BH433" t="str" cm="1">
        <f t="array" ref="BH433">_xlfn.IFS(Q433&lt;5,"0-5 Years",Q433&lt;10,"5-10 Years",Q433&lt;15,"10-15 Years",TRUE,"15+ Years")</f>
        <v>5-10 Years</v>
      </c>
      <c r="BI433" t="str" cm="1">
        <f t="array" ref="BI433">_xlfn.IFS(AA433&gt;=540,"A",AA433&gt;=480,"B",AA433&gt;=420,"C",AA433&gt;=360,"D",TRUE,"F")</f>
        <v>C</v>
      </c>
      <c r="BJ433" t="str" cm="1">
        <f t="array" ref="BJ433">_xlfn.IFS(AU433&lt;0,"Separated",AU433&lt;=90,"High Risk",AU433&lt;=180,"Medium Risk",TRUE,"Retained")</f>
        <v>Retained</v>
      </c>
      <c r="BK433" t="str" cm="1">
        <f t="array" ref="BK433">_xlfn.IFS(V433=0,"No Combat",V433=1,"1 Tour",V433=2,"2 Tours",TRUE,"3+ Tours")</f>
        <v>No Combat</v>
      </c>
      <c r="BL433" t="str">
        <f t="shared" si="30"/>
        <v>Standard</v>
      </c>
      <c r="BM433" t="str">
        <f t="shared" si="31"/>
        <v>Not Ready</v>
      </c>
      <c r="BN433" s="3">
        <f t="shared" si="32"/>
        <v>7.9879427279577989E-2</v>
      </c>
      <c r="BO433">
        <f t="shared" si="33"/>
        <v>488.4</v>
      </c>
    </row>
    <row r="434" spans="1:67" x14ac:dyDescent="0.25">
      <c r="A434" t="s">
        <v>721</v>
      </c>
      <c r="B434" t="s">
        <v>100</v>
      </c>
      <c r="C434" t="s">
        <v>140</v>
      </c>
      <c r="D434" t="s">
        <v>51</v>
      </c>
      <c r="E434">
        <v>20</v>
      </c>
      <c r="F434" t="s">
        <v>248</v>
      </c>
      <c r="G434" t="s">
        <v>53</v>
      </c>
      <c r="H434" t="s">
        <v>54</v>
      </c>
      <c r="I434" t="s">
        <v>260</v>
      </c>
      <c r="J434" t="s">
        <v>261</v>
      </c>
      <c r="K434" t="s">
        <v>173</v>
      </c>
      <c r="L434" t="s">
        <v>86</v>
      </c>
      <c r="M434" t="s">
        <v>59</v>
      </c>
      <c r="N434" t="s">
        <v>265</v>
      </c>
      <c r="O434" t="s">
        <v>61</v>
      </c>
      <c r="P434" s="1">
        <v>40187</v>
      </c>
      <c r="Q434">
        <v>14.4</v>
      </c>
      <c r="R434" t="s">
        <v>208</v>
      </c>
      <c r="S434" t="s">
        <v>91</v>
      </c>
      <c r="T434" t="s">
        <v>92</v>
      </c>
      <c r="U434">
        <v>8</v>
      </c>
      <c r="V434">
        <v>1</v>
      </c>
      <c r="W434" s="2">
        <v>4739</v>
      </c>
      <c r="X434" s="2">
        <v>0</v>
      </c>
      <c r="Y434" s="2">
        <v>422</v>
      </c>
      <c r="Z434" s="2">
        <v>5161</v>
      </c>
      <c r="AA434">
        <v>592</v>
      </c>
      <c r="AB434" t="s">
        <v>65</v>
      </c>
      <c r="AC434">
        <v>16.399999999999999</v>
      </c>
      <c r="AD434">
        <v>48</v>
      </c>
      <c r="AE434">
        <v>61</v>
      </c>
      <c r="AF434" t="s">
        <v>132</v>
      </c>
      <c r="AG434">
        <v>18</v>
      </c>
      <c r="AH434" t="s">
        <v>113</v>
      </c>
      <c r="AI434" t="s">
        <v>177</v>
      </c>
      <c r="AJ434" t="s">
        <v>72</v>
      </c>
      <c r="AK434" t="s">
        <v>70</v>
      </c>
      <c r="AL434" t="s">
        <v>70</v>
      </c>
      <c r="AM434" t="s">
        <v>70</v>
      </c>
      <c r="AN434" t="s">
        <v>133</v>
      </c>
      <c r="AO434" t="s">
        <v>178</v>
      </c>
      <c r="AP434" t="s">
        <v>72</v>
      </c>
      <c r="AQ434" t="s">
        <v>74</v>
      </c>
      <c r="AR434" s="1">
        <v>40404</v>
      </c>
      <c r="AS434" t="s">
        <v>75</v>
      </c>
      <c r="AT434" t="s">
        <v>71</v>
      </c>
      <c r="AU434">
        <v>1510</v>
      </c>
      <c r="AV434" t="s">
        <v>76</v>
      </c>
      <c r="AW434" s="3">
        <v>61932</v>
      </c>
      <c r="AX434" t="s">
        <v>805</v>
      </c>
      <c r="AY434" t="s">
        <v>799</v>
      </c>
      <c r="AZ434" t="s">
        <v>76</v>
      </c>
      <c r="BA434" t="s">
        <v>807</v>
      </c>
      <c r="BB434" t="s">
        <v>801</v>
      </c>
      <c r="BC434" t="s">
        <v>802</v>
      </c>
      <c r="BD434" s="3">
        <v>0.11470645223793838</v>
      </c>
      <c r="BE434">
        <v>628.4</v>
      </c>
      <c r="BG434" s="2">
        <f t="shared" si="29"/>
        <v>61932</v>
      </c>
      <c r="BH434" t="str" cm="1">
        <f t="array" ref="BH434">_xlfn.IFS(Q434&lt;5,"0-5 Years",Q434&lt;10,"5-10 Years",Q434&lt;15,"10-15 Years",TRUE,"15+ Years")</f>
        <v>10-15 Years</v>
      </c>
      <c r="BI434" t="str" cm="1">
        <f t="array" ref="BI434">_xlfn.IFS(AA434&gt;=540,"A",AA434&gt;=480,"B",AA434&gt;=420,"C",AA434&gt;=360,"D",TRUE,"F")</f>
        <v>A</v>
      </c>
      <c r="BJ434" t="str" cm="1">
        <f t="array" ref="BJ434">_xlfn.IFS(AU434&lt;0,"Separated",AU434&lt;=90,"High Risk",AU434&lt;=180,"Medium Risk",TRUE,"Retained")</f>
        <v>Retained</v>
      </c>
      <c r="BK434" t="str" cm="1">
        <f t="array" ref="BK434">_xlfn.IFS(V434=0,"No Combat",V434=1,"1 Tour",V434=2,"2 Tours",TRUE,"3+ Tours")</f>
        <v>1 Tour</v>
      </c>
      <c r="BL434" t="str">
        <f t="shared" si="30"/>
        <v>Standard</v>
      </c>
      <c r="BM434" t="str">
        <f t="shared" si="31"/>
        <v>Not Ready</v>
      </c>
      <c r="BN434" s="3">
        <f t="shared" si="32"/>
        <v>0.11470645223793838</v>
      </c>
      <c r="BO434">
        <f t="shared" si="33"/>
        <v>628.4</v>
      </c>
    </row>
    <row r="435" spans="1:67" x14ac:dyDescent="0.25">
      <c r="A435" t="s">
        <v>722</v>
      </c>
      <c r="B435" t="s">
        <v>377</v>
      </c>
      <c r="C435" t="s">
        <v>396</v>
      </c>
      <c r="D435" t="s">
        <v>122</v>
      </c>
      <c r="E435">
        <v>36</v>
      </c>
      <c r="F435" t="s">
        <v>311</v>
      </c>
      <c r="G435" t="s">
        <v>156</v>
      </c>
      <c r="H435" t="s">
        <v>157</v>
      </c>
      <c r="I435" t="s">
        <v>55</v>
      </c>
      <c r="J435" t="s">
        <v>56</v>
      </c>
      <c r="K435" t="s">
        <v>57</v>
      </c>
      <c r="L435" t="s">
        <v>106</v>
      </c>
      <c r="M435" t="s">
        <v>249</v>
      </c>
      <c r="N435" t="s">
        <v>88</v>
      </c>
      <c r="O435" t="s">
        <v>61</v>
      </c>
      <c r="P435" s="1">
        <v>44064</v>
      </c>
      <c r="Q435">
        <v>3.8</v>
      </c>
      <c r="R435" t="s">
        <v>90</v>
      </c>
      <c r="S435" t="s">
        <v>219</v>
      </c>
      <c r="T435" t="s">
        <v>220</v>
      </c>
      <c r="U435">
        <v>0</v>
      </c>
      <c r="V435">
        <v>0</v>
      </c>
      <c r="W435" s="2">
        <v>4836</v>
      </c>
      <c r="X435" s="2">
        <v>1423</v>
      </c>
      <c r="Y435" s="2">
        <v>266</v>
      </c>
      <c r="Z435" s="2">
        <v>6525</v>
      </c>
      <c r="AA435">
        <v>498</v>
      </c>
      <c r="AB435" t="s">
        <v>65</v>
      </c>
      <c r="AC435">
        <v>14.5</v>
      </c>
      <c r="AD435">
        <v>71</v>
      </c>
      <c r="AE435">
        <v>62</v>
      </c>
      <c r="AF435" t="s">
        <v>93</v>
      </c>
      <c r="AG435">
        <v>40</v>
      </c>
      <c r="AH435" t="s">
        <v>94</v>
      </c>
      <c r="AI435" t="s">
        <v>177</v>
      </c>
      <c r="AJ435" t="s">
        <v>72</v>
      </c>
      <c r="AK435" t="s">
        <v>71</v>
      </c>
      <c r="AL435" t="s">
        <v>70</v>
      </c>
      <c r="AM435" t="s">
        <v>70</v>
      </c>
      <c r="AN435" t="s">
        <v>133</v>
      </c>
      <c r="AO435" t="s">
        <v>203</v>
      </c>
      <c r="AP435" t="s">
        <v>116</v>
      </c>
      <c r="AQ435" t="s">
        <v>117</v>
      </c>
      <c r="AR435" s="1">
        <v>44161</v>
      </c>
      <c r="AS435" t="s">
        <v>137</v>
      </c>
      <c r="AT435" t="s">
        <v>71</v>
      </c>
      <c r="AU435">
        <v>297</v>
      </c>
      <c r="AV435" t="s">
        <v>76</v>
      </c>
      <c r="AW435" s="3">
        <v>78300</v>
      </c>
      <c r="AX435" t="s">
        <v>803</v>
      </c>
      <c r="AY435" t="s">
        <v>806</v>
      </c>
      <c r="AZ435" t="s">
        <v>76</v>
      </c>
      <c r="BA435" t="s">
        <v>800</v>
      </c>
      <c r="BB435" t="s">
        <v>801</v>
      </c>
      <c r="BC435" t="s">
        <v>802</v>
      </c>
      <c r="BD435" s="3">
        <v>7.6321839080459766E-2</v>
      </c>
      <c r="BE435">
        <v>588.4</v>
      </c>
      <c r="BG435" s="2">
        <f t="shared" si="29"/>
        <v>78300</v>
      </c>
      <c r="BH435" t="str" cm="1">
        <f t="array" ref="BH435">_xlfn.IFS(Q435&lt;5,"0-5 Years",Q435&lt;10,"5-10 Years",Q435&lt;15,"10-15 Years",TRUE,"15+ Years")</f>
        <v>0-5 Years</v>
      </c>
      <c r="BI435" t="str" cm="1">
        <f t="array" ref="BI435">_xlfn.IFS(AA435&gt;=540,"A",AA435&gt;=480,"B",AA435&gt;=420,"C",AA435&gt;=360,"D",TRUE,"F")</f>
        <v>B</v>
      </c>
      <c r="BJ435" t="str" cm="1">
        <f t="array" ref="BJ435">_xlfn.IFS(AU435&lt;0,"Separated",AU435&lt;=90,"High Risk",AU435&lt;=180,"Medium Risk",TRUE,"Retained")</f>
        <v>Retained</v>
      </c>
      <c r="BK435" t="str" cm="1">
        <f t="array" ref="BK435">_xlfn.IFS(V435=0,"No Combat",V435=1,"1 Tour",V435=2,"2 Tours",TRUE,"3+ Tours")</f>
        <v>No Combat</v>
      </c>
      <c r="BL435" t="str">
        <f t="shared" si="30"/>
        <v>Standard</v>
      </c>
      <c r="BM435" t="str">
        <f t="shared" si="31"/>
        <v>Not Ready</v>
      </c>
      <c r="BN435" s="3">
        <f t="shared" si="32"/>
        <v>7.6321839080459766E-2</v>
      </c>
      <c r="BO435">
        <f t="shared" si="33"/>
        <v>588.4</v>
      </c>
    </row>
    <row r="436" spans="1:67" x14ac:dyDescent="0.25">
      <c r="A436" t="s">
        <v>723</v>
      </c>
      <c r="B436" t="s">
        <v>181</v>
      </c>
      <c r="C436" t="s">
        <v>264</v>
      </c>
      <c r="D436" t="s">
        <v>51</v>
      </c>
      <c r="E436">
        <v>23</v>
      </c>
      <c r="F436" t="s">
        <v>80</v>
      </c>
      <c r="G436" t="s">
        <v>234</v>
      </c>
      <c r="H436" t="s">
        <v>235</v>
      </c>
      <c r="I436" t="s">
        <v>158</v>
      </c>
      <c r="J436" t="s">
        <v>159</v>
      </c>
      <c r="K436" t="s">
        <v>160</v>
      </c>
      <c r="L436" t="s">
        <v>126</v>
      </c>
      <c r="M436" t="s">
        <v>59</v>
      </c>
      <c r="N436" t="s">
        <v>60</v>
      </c>
      <c r="O436" t="s">
        <v>176</v>
      </c>
      <c r="P436" s="1">
        <v>39082</v>
      </c>
      <c r="Q436">
        <v>17.399999999999999</v>
      </c>
      <c r="R436" t="s">
        <v>62</v>
      </c>
      <c r="S436" t="s">
        <v>163</v>
      </c>
      <c r="T436" t="s">
        <v>164</v>
      </c>
      <c r="U436">
        <v>12</v>
      </c>
      <c r="V436">
        <v>2</v>
      </c>
      <c r="W436" s="2">
        <v>1917</v>
      </c>
      <c r="X436" s="2">
        <v>1975</v>
      </c>
      <c r="Y436" s="2">
        <v>422</v>
      </c>
      <c r="Z436" s="2">
        <v>4314</v>
      </c>
      <c r="AA436">
        <v>532</v>
      </c>
      <c r="AB436" t="s">
        <v>65</v>
      </c>
      <c r="AC436">
        <v>19.3</v>
      </c>
      <c r="AD436">
        <v>44</v>
      </c>
      <c r="AE436">
        <v>74</v>
      </c>
      <c r="AF436" t="s">
        <v>93</v>
      </c>
      <c r="AG436">
        <v>26</v>
      </c>
      <c r="AH436" t="s">
        <v>113</v>
      </c>
      <c r="AI436" t="s">
        <v>95</v>
      </c>
      <c r="AJ436" t="s">
        <v>69</v>
      </c>
      <c r="AK436" t="s">
        <v>70</v>
      </c>
      <c r="AL436" t="s">
        <v>70</v>
      </c>
      <c r="AM436" t="s">
        <v>71</v>
      </c>
      <c r="AN436" t="s">
        <v>72</v>
      </c>
      <c r="AO436" t="s">
        <v>178</v>
      </c>
      <c r="AP436" t="s">
        <v>72</v>
      </c>
      <c r="AQ436" t="s">
        <v>117</v>
      </c>
      <c r="AR436" s="1">
        <v>44020</v>
      </c>
      <c r="AS436" t="s">
        <v>118</v>
      </c>
      <c r="AT436" t="s">
        <v>71</v>
      </c>
      <c r="AU436">
        <v>-166</v>
      </c>
      <c r="AV436" t="s">
        <v>179</v>
      </c>
      <c r="AW436" s="3">
        <v>51768</v>
      </c>
      <c r="AX436" t="s">
        <v>798</v>
      </c>
      <c r="AY436" t="s">
        <v>806</v>
      </c>
      <c r="AZ436" t="s">
        <v>810</v>
      </c>
      <c r="BA436" t="s">
        <v>811</v>
      </c>
      <c r="BB436" t="s">
        <v>801</v>
      </c>
      <c r="BC436" t="s">
        <v>802</v>
      </c>
      <c r="BD436" s="3">
        <v>0.12331942512749189</v>
      </c>
      <c r="BE436">
        <v>604.4</v>
      </c>
      <c r="BG436" s="2">
        <f t="shared" si="29"/>
        <v>51768</v>
      </c>
      <c r="BH436" t="str" cm="1">
        <f t="array" ref="BH436">_xlfn.IFS(Q436&lt;5,"0-5 Years",Q436&lt;10,"5-10 Years",Q436&lt;15,"10-15 Years",TRUE,"15+ Years")</f>
        <v>15+ Years</v>
      </c>
      <c r="BI436" t="str" cm="1">
        <f t="array" ref="BI436">_xlfn.IFS(AA436&gt;=540,"A",AA436&gt;=480,"B",AA436&gt;=420,"C",AA436&gt;=360,"D",TRUE,"F")</f>
        <v>B</v>
      </c>
      <c r="BJ436" t="str" cm="1">
        <f t="array" ref="BJ436">_xlfn.IFS(AU436&lt;0,"Separated",AU436&lt;=90,"High Risk",AU436&lt;=180,"Medium Risk",TRUE,"Retained")</f>
        <v>Separated</v>
      </c>
      <c r="BK436" t="str" cm="1">
        <f t="array" ref="BK436">_xlfn.IFS(V436=0,"No Combat",V436=1,"1 Tour",V436=2,"2 Tours",TRUE,"3+ Tours")</f>
        <v>2 Tours</v>
      </c>
      <c r="BL436" t="str">
        <f t="shared" si="30"/>
        <v>Standard</v>
      </c>
      <c r="BM436" t="str">
        <f t="shared" si="31"/>
        <v>Not Ready</v>
      </c>
      <c r="BN436" s="3">
        <f t="shared" si="32"/>
        <v>0.12331942512749189</v>
      </c>
      <c r="BO436">
        <f t="shared" si="33"/>
        <v>604.4</v>
      </c>
    </row>
    <row r="437" spans="1:67" x14ac:dyDescent="0.25">
      <c r="A437" t="s">
        <v>724</v>
      </c>
      <c r="B437" t="s">
        <v>277</v>
      </c>
      <c r="C437" t="s">
        <v>200</v>
      </c>
      <c r="D437" t="s">
        <v>51</v>
      </c>
      <c r="E437">
        <v>33</v>
      </c>
      <c r="F437" t="s">
        <v>123</v>
      </c>
      <c r="G437" t="s">
        <v>242</v>
      </c>
      <c r="H437" t="s">
        <v>54</v>
      </c>
      <c r="I437" t="s">
        <v>268</v>
      </c>
      <c r="J437" t="s">
        <v>269</v>
      </c>
      <c r="K437" t="s">
        <v>173</v>
      </c>
      <c r="L437" t="s">
        <v>201</v>
      </c>
      <c r="M437" t="s">
        <v>296</v>
      </c>
      <c r="N437" t="s">
        <v>148</v>
      </c>
      <c r="O437" t="s">
        <v>89</v>
      </c>
      <c r="P437" s="1">
        <v>43945</v>
      </c>
      <c r="Q437">
        <v>4.0999999999999996</v>
      </c>
      <c r="R437" t="s">
        <v>90</v>
      </c>
      <c r="S437" t="s">
        <v>110</v>
      </c>
      <c r="T437" t="s">
        <v>111</v>
      </c>
      <c r="U437">
        <v>3</v>
      </c>
      <c r="V437">
        <v>0</v>
      </c>
      <c r="W437" s="2">
        <v>4739</v>
      </c>
      <c r="X437" s="2">
        <v>0</v>
      </c>
      <c r="Y437" s="2">
        <v>422</v>
      </c>
      <c r="Z437" s="2">
        <v>5161</v>
      </c>
      <c r="AA437">
        <v>292</v>
      </c>
      <c r="AB437" t="s">
        <v>151</v>
      </c>
      <c r="AC437">
        <v>20.7</v>
      </c>
      <c r="AD437">
        <v>53</v>
      </c>
      <c r="AE437">
        <v>30</v>
      </c>
      <c r="AF437" t="s">
        <v>112</v>
      </c>
      <c r="AG437">
        <v>28</v>
      </c>
      <c r="AH437" t="s">
        <v>113</v>
      </c>
      <c r="AI437" t="s">
        <v>152</v>
      </c>
      <c r="AJ437" t="s">
        <v>72</v>
      </c>
      <c r="AK437" t="s">
        <v>70</v>
      </c>
      <c r="AL437" t="s">
        <v>71</v>
      </c>
      <c r="AM437" t="s">
        <v>70</v>
      </c>
      <c r="AN437" t="s">
        <v>270</v>
      </c>
      <c r="AO437" t="s">
        <v>134</v>
      </c>
      <c r="AP437" t="s">
        <v>72</v>
      </c>
      <c r="AQ437" t="s">
        <v>117</v>
      </c>
      <c r="AR437" s="1">
        <v>45617</v>
      </c>
      <c r="AS437" t="s">
        <v>118</v>
      </c>
      <c r="AT437" t="s">
        <v>71</v>
      </c>
      <c r="AU437">
        <v>133</v>
      </c>
      <c r="AV437" t="s">
        <v>179</v>
      </c>
      <c r="AW437" s="3">
        <v>61932</v>
      </c>
      <c r="AX437" t="s">
        <v>803</v>
      </c>
      <c r="AY437" t="s">
        <v>122</v>
      </c>
      <c r="AZ437" t="s">
        <v>815</v>
      </c>
      <c r="BA437" t="s">
        <v>800</v>
      </c>
      <c r="BB437" t="s">
        <v>801</v>
      </c>
      <c r="BC437" t="s">
        <v>802</v>
      </c>
      <c r="BD437" s="3">
        <v>5.6578182522766904E-2</v>
      </c>
      <c r="BE437">
        <v>358.4</v>
      </c>
      <c r="BG437" s="2">
        <f t="shared" si="29"/>
        <v>61932</v>
      </c>
      <c r="BH437" t="str" cm="1">
        <f t="array" ref="BH437">_xlfn.IFS(Q437&lt;5,"0-5 Years",Q437&lt;10,"5-10 Years",Q437&lt;15,"10-15 Years",TRUE,"15+ Years")</f>
        <v>0-5 Years</v>
      </c>
      <c r="BI437" t="str" cm="1">
        <f t="array" ref="BI437">_xlfn.IFS(AA437&gt;=540,"A",AA437&gt;=480,"B",AA437&gt;=420,"C",AA437&gt;=360,"D",TRUE,"F")</f>
        <v>F</v>
      </c>
      <c r="BJ437" t="str" cm="1">
        <f t="array" ref="BJ437">_xlfn.IFS(AU437&lt;0,"Separated",AU437&lt;=90,"High Risk",AU437&lt;=180,"Medium Risk",TRUE,"Retained")</f>
        <v>Medium Risk</v>
      </c>
      <c r="BK437" t="str" cm="1">
        <f t="array" ref="BK437">_xlfn.IFS(V437=0,"No Combat",V437=1,"1 Tour",V437=2,"2 Tours",TRUE,"3+ Tours")</f>
        <v>No Combat</v>
      </c>
      <c r="BL437" t="str">
        <f t="shared" si="30"/>
        <v>Standard</v>
      </c>
      <c r="BM437" t="str">
        <f t="shared" si="31"/>
        <v>Not Ready</v>
      </c>
      <c r="BN437" s="3">
        <f t="shared" si="32"/>
        <v>5.6578182522766904E-2</v>
      </c>
      <c r="BO437">
        <f t="shared" si="33"/>
        <v>358.4</v>
      </c>
    </row>
    <row r="438" spans="1:67" x14ac:dyDescent="0.25">
      <c r="A438" t="s">
        <v>725</v>
      </c>
      <c r="B438" t="s">
        <v>229</v>
      </c>
      <c r="C438" t="s">
        <v>264</v>
      </c>
      <c r="D438" t="s">
        <v>51</v>
      </c>
      <c r="E438">
        <v>44</v>
      </c>
      <c r="F438" t="s">
        <v>291</v>
      </c>
      <c r="G438" t="s">
        <v>101</v>
      </c>
      <c r="H438" t="s">
        <v>102</v>
      </c>
      <c r="I438" t="s">
        <v>103</v>
      </c>
      <c r="J438" t="s">
        <v>104</v>
      </c>
      <c r="K438" t="s">
        <v>105</v>
      </c>
      <c r="L438" t="s">
        <v>58</v>
      </c>
      <c r="M438" t="s">
        <v>249</v>
      </c>
      <c r="N438" t="s">
        <v>60</v>
      </c>
      <c r="O438" t="s">
        <v>61</v>
      </c>
      <c r="P438" s="1">
        <v>38670</v>
      </c>
      <c r="Q438">
        <v>18.5</v>
      </c>
      <c r="R438" t="s">
        <v>208</v>
      </c>
      <c r="S438" t="s">
        <v>63</v>
      </c>
      <c r="T438" t="s">
        <v>64</v>
      </c>
      <c r="U438">
        <v>0</v>
      </c>
      <c r="V438">
        <v>0</v>
      </c>
      <c r="W438" s="2">
        <v>2980</v>
      </c>
      <c r="X438" s="2">
        <v>1046</v>
      </c>
      <c r="Y438" s="2">
        <v>422</v>
      </c>
      <c r="Z438" s="2">
        <v>4448</v>
      </c>
      <c r="AA438">
        <v>382</v>
      </c>
      <c r="AB438" t="s">
        <v>65</v>
      </c>
      <c r="AC438">
        <v>20.399999999999999</v>
      </c>
      <c r="AD438">
        <v>26</v>
      </c>
      <c r="AE438">
        <v>52</v>
      </c>
      <c r="AF438" t="s">
        <v>93</v>
      </c>
      <c r="AG438">
        <v>19</v>
      </c>
      <c r="AH438" t="s">
        <v>113</v>
      </c>
      <c r="AI438" t="s">
        <v>95</v>
      </c>
      <c r="AJ438" t="s">
        <v>96</v>
      </c>
      <c r="AK438" t="s">
        <v>70</v>
      </c>
      <c r="AL438" t="s">
        <v>70</v>
      </c>
      <c r="AM438" t="s">
        <v>70</v>
      </c>
      <c r="AN438" t="s">
        <v>270</v>
      </c>
      <c r="AO438" t="s">
        <v>287</v>
      </c>
      <c r="AP438" t="s">
        <v>72</v>
      </c>
      <c r="AQ438" t="s">
        <v>98</v>
      </c>
      <c r="AR438" s="1">
        <v>41124</v>
      </c>
      <c r="AS438" t="s">
        <v>137</v>
      </c>
      <c r="AT438" t="s">
        <v>71</v>
      </c>
      <c r="AU438">
        <v>508</v>
      </c>
      <c r="AV438" t="s">
        <v>76</v>
      </c>
      <c r="AW438" s="3">
        <v>53376</v>
      </c>
      <c r="AX438" t="s">
        <v>798</v>
      </c>
      <c r="AY438" t="s">
        <v>809</v>
      </c>
      <c r="AZ438" t="s">
        <v>76</v>
      </c>
      <c r="BA438" t="s">
        <v>800</v>
      </c>
      <c r="BB438" t="s">
        <v>801</v>
      </c>
      <c r="BC438" t="s">
        <v>802</v>
      </c>
      <c r="BD438" s="3">
        <v>8.588129496402877E-2</v>
      </c>
      <c r="BE438">
        <v>420.4</v>
      </c>
      <c r="BG438" s="2">
        <f t="shared" si="29"/>
        <v>53376</v>
      </c>
      <c r="BH438" t="str" cm="1">
        <f t="array" ref="BH438">_xlfn.IFS(Q438&lt;5,"0-5 Years",Q438&lt;10,"5-10 Years",Q438&lt;15,"10-15 Years",TRUE,"15+ Years")</f>
        <v>15+ Years</v>
      </c>
      <c r="BI438" t="str" cm="1">
        <f t="array" ref="BI438">_xlfn.IFS(AA438&gt;=540,"A",AA438&gt;=480,"B",AA438&gt;=420,"C",AA438&gt;=360,"D",TRUE,"F")</f>
        <v>D</v>
      </c>
      <c r="BJ438" t="str" cm="1">
        <f t="array" ref="BJ438">_xlfn.IFS(AU438&lt;0,"Separated",AU438&lt;=90,"High Risk",AU438&lt;=180,"Medium Risk",TRUE,"Retained")</f>
        <v>Retained</v>
      </c>
      <c r="BK438" t="str" cm="1">
        <f t="array" ref="BK438">_xlfn.IFS(V438=0,"No Combat",V438=1,"1 Tour",V438=2,"2 Tours",TRUE,"3+ Tours")</f>
        <v>No Combat</v>
      </c>
      <c r="BL438" t="str">
        <f t="shared" si="30"/>
        <v>Standard</v>
      </c>
      <c r="BM438" t="str">
        <f t="shared" si="31"/>
        <v>Not Ready</v>
      </c>
      <c r="BN438" s="3">
        <f t="shared" si="32"/>
        <v>8.588129496402877E-2</v>
      </c>
      <c r="BO438">
        <f t="shared" si="33"/>
        <v>420.4</v>
      </c>
    </row>
    <row r="439" spans="1:67" x14ac:dyDescent="0.25">
      <c r="A439" t="s">
        <v>726</v>
      </c>
      <c r="B439" t="s">
        <v>120</v>
      </c>
      <c r="C439" t="s">
        <v>233</v>
      </c>
      <c r="D439" t="s">
        <v>51</v>
      </c>
      <c r="E439">
        <v>30</v>
      </c>
      <c r="F439" t="s">
        <v>52</v>
      </c>
      <c r="G439" t="s">
        <v>285</v>
      </c>
      <c r="H439" t="s">
        <v>286</v>
      </c>
      <c r="I439" t="s">
        <v>55</v>
      </c>
      <c r="J439" t="s">
        <v>56</v>
      </c>
      <c r="K439" t="s">
        <v>57</v>
      </c>
      <c r="L439" t="s">
        <v>126</v>
      </c>
      <c r="M439" t="s">
        <v>296</v>
      </c>
      <c r="N439" t="s">
        <v>88</v>
      </c>
      <c r="O439" t="s">
        <v>89</v>
      </c>
      <c r="P439" s="1">
        <v>42288</v>
      </c>
      <c r="Q439">
        <v>8.6</v>
      </c>
      <c r="R439" t="s">
        <v>62</v>
      </c>
      <c r="S439" t="s">
        <v>196</v>
      </c>
      <c r="T439" t="s">
        <v>197</v>
      </c>
      <c r="U439">
        <v>0</v>
      </c>
      <c r="V439">
        <v>0</v>
      </c>
      <c r="W439" s="2">
        <v>7668</v>
      </c>
      <c r="X439" s="2">
        <v>0</v>
      </c>
      <c r="Y439" s="2">
        <v>266</v>
      </c>
      <c r="Z439" s="2">
        <v>7934</v>
      </c>
      <c r="AA439">
        <v>454</v>
      </c>
      <c r="AB439" t="s">
        <v>65</v>
      </c>
      <c r="AC439">
        <v>19.7</v>
      </c>
      <c r="AD439">
        <v>25</v>
      </c>
      <c r="AE439">
        <v>72</v>
      </c>
      <c r="AF439" t="s">
        <v>132</v>
      </c>
      <c r="AG439">
        <v>40</v>
      </c>
      <c r="AH439" t="s">
        <v>94</v>
      </c>
      <c r="AI439" t="s">
        <v>95</v>
      </c>
      <c r="AJ439" t="s">
        <v>69</v>
      </c>
      <c r="AK439" t="s">
        <v>70</v>
      </c>
      <c r="AL439" t="s">
        <v>70</v>
      </c>
      <c r="AM439" t="s">
        <v>70</v>
      </c>
      <c r="AN439" t="s">
        <v>231</v>
      </c>
      <c r="AO439" t="s">
        <v>203</v>
      </c>
      <c r="AP439" t="s">
        <v>134</v>
      </c>
      <c r="AQ439" t="s">
        <v>117</v>
      </c>
      <c r="AR439" s="1">
        <v>42432</v>
      </c>
      <c r="AS439" t="s">
        <v>137</v>
      </c>
      <c r="AT439" t="s">
        <v>71</v>
      </c>
      <c r="AU439">
        <v>816</v>
      </c>
      <c r="AV439" t="s">
        <v>76</v>
      </c>
      <c r="AW439" s="3">
        <v>95208</v>
      </c>
      <c r="AX439" t="s">
        <v>808</v>
      </c>
      <c r="AY439" t="s">
        <v>804</v>
      </c>
      <c r="AZ439" t="s">
        <v>76</v>
      </c>
      <c r="BA439" t="s">
        <v>800</v>
      </c>
      <c r="BB439" t="s">
        <v>801</v>
      </c>
      <c r="BC439" t="s">
        <v>802</v>
      </c>
      <c r="BD439" s="3">
        <v>5.7222082177968238E-2</v>
      </c>
      <c r="BE439">
        <v>534.4</v>
      </c>
      <c r="BG439" s="2">
        <f t="shared" si="29"/>
        <v>95208</v>
      </c>
      <c r="BH439" t="str" cm="1">
        <f t="array" ref="BH439">_xlfn.IFS(Q439&lt;5,"0-5 Years",Q439&lt;10,"5-10 Years",Q439&lt;15,"10-15 Years",TRUE,"15+ Years")</f>
        <v>5-10 Years</v>
      </c>
      <c r="BI439" t="str" cm="1">
        <f t="array" ref="BI439">_xlfn.IFS(AA439&gt;=540,"A",AA439&gt;=480,"B",AA439&gt;=420,"C",AA439&gt;=360,"D",TRUE,"F")</f>
        <v>C</v>
      </c>
      <c r="BJ439" t="str" cm="1">
        <f t="array" ref="BJ439">_xlfn.IFS(AU439&lt;0,"Separated",AU439&lt;=90,"High Risk",AU439&lt;=180,"Medium Risk",TRUE,"Retained")</f>
        <v>Retained</v>
      </c>
      <c r="BK439" t="str" cm="1">
        <f t="array" ref="BK439">_xlfn.IFS(V439=0,"No Combat",V439=1,"1 Tour",V439=2,"2 Tours",TRUE,"3+ Tours")</f>
        <v>No Combat</v>
      </c>
      <c r="BL439" t="str">
        <f t="shared" si="30"/>
        <v>Standard</v>
      </c>
      <c r="BM439" t="str">
        <f t="shared" si="31"/>
        <v>Not Ready</v>
      </c>
      <c r="BN439" s="3">
        <f t="shared" si="32"/>
        <v>5.7222082177968238E-2</v>
      </c>
      <c r="BO439">
        <f t="shared" si="33"/>
        <v>534.4</v>
      </c>
    </row>
    <row r="440" spans="1:67" x14ac:dyDescent="0.25">
      <c r="A440" t="s">
        <v>727</v>
      </c>
      <c r="B440" t="s">
        <v>78</v>
      </c>
      <c r="C440" t="s">
        <v>330</v>
      </c>
      <c r="D440" t="s">
        <v>122</v>
      </c>
      <c r="E440">
        <v>35</v>
      </c>
      <c r="F440" t="s">
        <v>214</v>
      </c>
      <c r="G440" t="s">
        <v>142</v>
      </c>
      <c r="H440" t="s">
        <v>143</v>
      </c>
      <c r="I440" t="s">
        <v>185</v>
      </c>
      <c r="J440" t="s">
        <v>186</v>
      </c>
      <c r="K440" t="s">
        <v>187</v>
      </c>
      <c r="L440" t="s">
        <v>86</v>
      </c>
      <c r="M440" t="s">
        <v>175</v>
      </c>
      <c r="N440" t="s">
        <v>265</v>
      </c>
      <c r="O440" t="s">
        <v>89</v>
      </c>
      <c r="P440" s="1">
        <v>42674</v>
      </c>
      <c r="Q440">
        <v>7.6</v>
      </c>
      <c r="R440" t="s">
        <v>150</v>
      </c>
      <c r="S440" t="s">
        <v>196</v>
      </c>
      <c r="T440" t="s">
        <v>197</v>
      </c>
      <c r="U440">
        <v>0</v>
      </c>
      <c r="V440">
        <v>0</v>
      </c>
      <c r="W440" s="2">
        <v>5473</v>
      </c>
      <c r="X440" s="2">
        <v>0</v>
      </c>
      <c r="Y440" s="2">
        <v>422</v>
      </c>
      <c r="Z440" s="2">
        <v>5895</v>
      </c>
      <c r="AA440">
        <v>582</v>
      </c>
      <c r="AB440" t="s">
        <v>65</v>
      </c>
      <c r="AC440">
        <v>20.5</v>
      </c>
      <c r="AD440">
        <v>39</v>
      </c>
      <c r="AE440">
        <v>67</v>
      </c>
      <c r="AF440" t="s">
        <v>93</v>
      </c>
      <c r="AG440">
        <v>36</v>
      </c>
      <c r="AH440" t="s">
        <v>94</v>
      </c>
      <c r="AI440" t="s">
        <v>95</v>
      </c>
      <c r="AJ440" t="s">
        <v>96</v>
      </c>
      <c r="AK440" t="s">
        <v>70</v>
      </c>
      <c r="AL440" t="s">
        <v>71</v>
      </c>
      <c r="AM440" t="s">
        <v>70</v>
      </c>
      <c r="AN440" t="s">
        <v>133</v>
      </c>
      <c r="AO440" t="s">
        <v>221</v>
      </c>
      <c r="AP440" t="s">
        <v>203</v>
      </c>
      <c r="AQ440" t="s">
        <v>136</v>
      </c>
      <c r="AR440" s="1">
        <v>45233</v>
      </c>
      <c r="AS440" t="s">
        <v>118</v>
      </c>
      <c r="AT440" t="s">
        <v>71</v>
      </c>
      <c r="AU440">
        <v>-317</v>
      </c>
      <c r="AV440" t="s">
        <v>179</v>
      </c>
      <c r="AW440" s="3">
        <v>70740</v>
      </c>
      <c r="AX440" t="s">
        <v>808</v>
      </c>
      <c r="AY440" t="s">
        <v>799</v>
      </c>
      <c r="AZ440" t="s">
        <v>810</v>
      </c>
      <c r="BA440" t="s">
        <v>800</v>
      </c>
      <c r="BB440" t="s">
        <v>801</v>
      </c>
      <c r="BC440" t="s">
        <v>802</v>
      </c>
      <c r="BD440" s="3">
        <v>9.8727735368956737E-2</v>
      </c>
      <c r="BE440">
        <v>664.4</v>
      </c>
      <c r="BG440" s="2">
        <f t="shared" si="29"/>
        <v>70740</v>
      </c>
      <c r="BH440" t="str" cm="1">
        <f t="array" ref="BH440">_xlfn.IFS(Q440&lt;5,"0-5 Years",Q440&lt;10,"5-10 Years",Q440&lt;15,"10-15 Years",TRUE,"15+ Years")</f>
        <v>5-10 Years</v>
      </c>
      <c r="BI440" t="str" cm="1">
        <f t="array" ref="BI440">_xlfn.IFS(AA440&gt;=540,"A",AA440&gt;=480,"B",AA440&gt;=420,"C",AA440&gt;=360,"D",TRUE,"F")</f>
        <v>A</v>
      </c>
      <c r="BJ440" t="str" cm="1">
        <f t="array" ref="BJ440">_xlfn.IFS(AU440&lt;0,"Separated",AU440&lt;=90,"High Risk",AU440&lt;=180,"Medium Risk",TRUE,"Retained")</f>
        <v>Separated</v>
      </c>
      <c r="BK440" t="str" cm="1">
        <f t="array" ref="BK440">_xlfn.IFS(V440=0,"No Combat",V440=1,"1 Tour",V440=2,"2 Tours",TRUE,"3+ Tours")</f>
        <v>No Combat</v>
      </c>
      <c r="BL440" t="str">
        <f t="shared" si="30"/>
        <v>Standard</v>
      </c>
      <c r="BM440" t="str">
        <f t="shared" si="31"/>
        <v>Not Ready</v>
      </c>
      <c r="BN440" s="3">
        <f t="shared" si="32"/>
        <v>9.8727735368956737E-2</v>
      </c>
      <c r="BO440">
        <f t="shared" si="33"/>
        <v>664.4</v>
      </c>
    </row>
    <row r="441" spans="1:67" x14ac:dyDescent="0.25">
      <c r="A441" t="s">
        <v>728</v>
      </c>
      <c r="B441" t="s">
        <v>229</v>
      </c>
      <c r="C441" t="s">
        <v>140</v>
      </c>
      <c r="D441" t="s">
        <v>51</v>
      </c>
      <c r="E441">
        <v>22</v>
      </c>
      <c r="F441" t="s">
        <v>192</v>
      </c>
      <c r="G441" t="s">
        <v>101</v>
      </c>
      <c r="H441" t="s">
        <v>102</v>
      </c>
      <c r="I441" t="s">
        <v>236</v>
      </c>
      <c r="J441" t="s">
        <v>237</v>
      </c>
      <c r="K441" t="s">
        <v>238</v>
      </c>
      <c r="L441" t="s">
        <v>58</v>
      </c>
      <c r="M441" t="s">
        <v>59</v>
      </c>
      <c r="N441" t="s">
        <v>88</v>
      </c>
      <c r="O441" t="s">
        <v>89</v>
      </c>
      <c r="P441" s="1">
        <v>44202</v>
      </c>
      <c r="Q441">
        <v>3.4</v>
      </c>
      <c r="R441" t="s">
        <v>75</v>
      </c>
      <c r="S441" t="s">
        <v>130</v>
      </c>
      <c r="T441" t="s">
        <v>131</v>
      </c>
      <c r="U441">
        <v>15</v>
      </c>
      <c r="V441">
        <v>2</v>
      </c>
      <c r="W441" s="2">
        <v>2980</v>
      </c>
      <c r="X441" s="2">
        <v>0</v>
      </c>
      <c r="Y441" s="2">
        <v>422</v>
      </c>
      <c r="Z441" s="2">
        <v>3402</v>
      </c>
      <c r="AA441">
        <v>349</v>
      </c>
      <c r="AB441" t="s">
        <v>151</v>
      </c>
      <c r="AC441">
        <v>12.9</v>
      </c>
      <c r="AD441">
        <v>44</v>
      </c>
      <c r="AE441">
        <v>43</v>
      </c>
      <c r="AF441" t="s">
        <v>112</v>
      </c>
      <c r="AG441">
        <v>16</v>
      </c>
      <c r="AH441" t="s">
        <v>113</v>
      </c>
      <c r="AI441" t="s">
        <v>152</v>
      </c>
      <c r="AJ441" t="s">
        <v>188</v>
      </c>
      <c r="AK441" t="s">
        <v>70</v>
      </c>
      <c r="AL441" t="s">
        <v>70</v>
      </c>
      <c r="AM441" t="s">
        <v>71</v>
      </c>
      <c r="AN441" t="s">
        <v>243</v>
      </c>
      <c r="AO441" t="s">
        <v>73</v>
      </c>
      <c r="AP441" t="s">
        <v>221</v>
      </c>
      <c r="AQ441" t="s">
        <v>98</v>
      </c>
      <c r="AR441" s="1">
        <v>45062</v>
      </c>
      <c r="AS441" t="s">
        <v>118</v>
      </c>
      <c r="AT441" t="s">
        <v>71</v>
      </c>
      <c r="AU441">
        <v>768</v>
      </c>
      <c r="AV441" t="s">
        <v>76</v>
      </c>
      <c r="AW441" s="3">
        <v>40824</v>
      </c>
      <c r="AX441" t="s">
        <v>803</v>
      </c>
      <c r="AY441" t="s">
        <v>122</v>
      </c>
      <c r="AZ441" t="s">
        <v>76</v>
      </c>
      <c r="BA441" t="s">
        <v>811</v>
      </c>
      <c r="BB441" t="s">
        <v>801</v>
      </c>
      <c r="BC441" t="s">
        <v>802</v>
      </c>
      <c r="BD441" s="3">
        <v>0.10258671369782481</v>
      </c>
      <c r="BE441">
        <v>401.4</v>
      </c>
      <c r="BG441" s="2">
        <f t="shared" si="29"/>
        <v>40824</v>
      </c>
      <c r="BH441" t="str" cm="1">
        <f t="array" ref="BH441">_xlfn.IFS(Q441&lt;5,"0-5 Years",Q441&lt;10,"5-10 Years",Q441&lt;15,"10-15 Years",TRUE,"15+ Years")</f>
        <v>0-5 Years</v>
      </c>
      <c r="BI441" t="str" cm="1">
        <f t="array" ref="BI441">_xlfn.IFS(AA441&gt;=540,"A",AA441&gt;=480,"B",AA441&gt;=420,"C",AA441&gt;=360,"D",TRUE,"F")</f>
        <v>F</v>
      </c>
      <c r="BJ441" t="str" cm="1">
        <f t="array" ref="BJ441">_xlfn.IFS(AU441&lt;0,"Separated",AU441&lt;=90,"High Risk",AU441&lt;=180,"Medium Risk",TRUE,"Retained")</f>
        <v>Retained</v>
      </c>
      <c r="BK441" t="str" cm="1">
        <f t="array" ref="BK441">_xlfn.IFS(V441=0,"No Combat",V441=1,"1 Tour",V441=2,"2 Tours",TRUE,"3+ Tours")</f>
        <v>2 Tours</v>
      </c>
      <c r="BL441" t="str">
        <f t="shared" si="30"/>
        <v>Standard</v>
      </c>
      <c r="BM441" t="str">
        <f t="shared" si="31"/>
        <v>Not Ready</v>
      </c>
      <c r="BN441" s="3">
        <f t="shared" si="32"/>
        <v>0.10258671369782481</v>
      </c>
      <c r="BO441">
        <f t="shared" si="33"/>
        <v>401.4</v>
      </c>
    </row>
    <row r="442" spans="1:67" x14ac:dyDescent="0.25">
      <c r="A442" t="s">
        <v>729</v>
      </c>
      <c r="B442" t="s">
        <v>166</v>
      </c>
      <c r="C442" t="s">
        <v>272</v>
      </c>
      <c r="D442" t="s">
        <v>51</v>
      </c>
      <c r="E442">
        <v>35</v>
      </c>
      <c r="F442" t="s">
        <v>382</v>
      </c>
      <c r="G442" t="s">
        <v>234</v>
      </c>
      <c r="H442" t="s">
        <v>235</v>
      </c>
      <c r="I442" t="s">
        <v>253</v>
      </c>
      <c r="J442" t="s">
        <v>254</v>
      </c>
      <c r="K442" t="s">
        <v>255</v>
      </c>
      <c r="L442" t="s">
        <v>126</v>
      </c>
      <c r="M442" t="s">
        <v>212</v>
      </c>
      <c r="N442" t="s">
        <v>88</v>
      </c>
      <c r="O442" t="s">
        <v>149</v>
      </c>
      <c r="P442" s="1">
        <v>44736</v>
      </c>
      <c r="Q442">
        <v>1.9</v>
      </c>
      <c r="R442" t="s">
        <v>150</v>
      </c>
      <c r="S442" t="s">
        <v>91</v>
      </c>
      <c r="T442" t="s">
        <v>92</v>
      </c>
      <c r="U442">
        <v>8</v>
      </c>
      <c r="V442">
        <v>1</v>
      </c>
      <c r="W442" s="2">
        <v>1917</v>
      </c>
      <c r="X442" s="2">
        <v>0</v>
      </c>
      <c r="Y442" s="2">
        <v>422</v>
      </c>
      <c r="Z442" s="2">
        <v>2339</v>
      </c>
      <c r="AA442">
        <v>519</v>
      </c>
      <c r="AB442" t="s">
        <v>65</v>
      </c>
      <c r="AC442">
        <v>17.8</v>
      </c>
      <c r="AD442">
        <v>45</v>
      </c>
      <c r="AE442">
        <v>32</v>
      </c>
      <c r="AF442" t="s">
        <v>93</v>
      </c>
      <c r="AG442">
        <v>37</v>
      </c>
      <c r="AH442" t="s">
        <v>94</v>
      </c>
      <c r="AI442" t="s">
        <v>114</v>
      </c>
      <c r="AJ442" t="s">
        <v>188</v>
      </c>
      <c r="AK442" t="s">
        <v>70</v>
      </c>
      <c r="AL442" t="s">
        <v>71</v>
      </c>
      <c r="AM442" t="s">
        <v>70</v>
      </c>
      <c r="AN442" t="s">
        <v>133</v>
      </c>
      <c r="AO442" t="s">
        <v>72</v>
      </c>
      <c r="AP442" t="s">
        <v>72</v>
      </c>
      <c r="AQ442" t="s">
        <v>136</v>
      </c>
      <c r="AR442" s="1">
        <v>45377</v>
      </c>
      <c r="AS442" t="s">
        <v>75</v>
      </c>
      <c r="AT442" t="s">
        <v>70</v>
      </c>
      <c r="AU442">
        <v>666</v>
      </c>
      <c r="AV442" t="s">
        <v>76</v>
      </c>
      <c r="AW442" s="3">
        <v>28068</v>
      </c>
      <c r="AX442" t="s">
        <v>803</v>
      </c>
      <c r="AY442" t="s">
        <v>806</v>
      </c>
      <c r="AZ442" t="s">
        <v>76</v>
      </c>
      <c r="BA442" t="s">
        <v>807</v>
      </c>
      <c r="BB442" t="s">
        <v>801</v>
      </c>
      <c r="BC442" t="s">
        <v>802</v>
      </c>
      <c r="BD442" s="3">
        <v>0.22188969645147499</v>
      </c>
      <c r="BE442">
        <v>603.4</v>
      </c>
      <c r="BG442" s="2">
        <f t="shared" si="29"/>
        <v>28068</v>
      </c>
      <c r="BH442" t="str" cm="1">
        <f t="array" ref="BH442">_xlfn.IFS(Q442&lt;5,"0-5 Years",Q442&lt;10,"5-10 Years",Q442&lt;15,"10-15 Years",TRUE,"15+ Years")</f>
        <v>0-5 Years</v>
      </c>
      <c r="BI442" t="str" cm="1">
        <f t="array" ref="BI442">_xlfn.IFS(AA442&gt;=540,"A",AA442&gt;=480,"B",AA442&gt;=420,"C",AA442&gt;=360,"D",TRUE,"F")</f>
        <v>B</v>
      </c>
      <c r="BJ442" t="str" cm="1">
        <f t="array" ref="BJ442">_xlfn.IFS(AU442&lt;0,"Separated",AU442&lt;=90,"High Risk",AU442&lt;=180,"Medium Risk",TRUE,"Retained")</f>
        <v>Retained</v>
      </c>
      <c r="BK442" t="str" cm="1">
        <f t="array" ref="BK442">_xlfn.IFS(V442=0,"No Combat",V442=1,"1 Tour",V442=2,"2 Tours",TRUE,"3+ Tours")</f>
        <v>1 Tour</v>
      </c>
      <c r="BL442" t="str">
        <f t="shared" si="30"/>
        <v>Standard</v>
      </c>
      <c r="BM442" t="str">
        <f t="shared" si="31"/>
        <v>Not Ready</v>
      </c>
      <c r="BN442" s="3">
        <f t="shared" si="32"/>
        <v>0.22188969645147499</v>
      </c>
      <c r="BO442">
        <f t="shared" si="33"/>
        <v>603.4</v>
      </c>
    </row>
    <row r="443" spans="1:67" x14ac:dyDescent="0.25">
      <c r="A443" t="s">
        <v>730</v>
      </c>
      <c r="B443" t="s">
        <v>251</v>
      </c>
      <c r="C443" t="s">
        <v>252</v>
      </c>
      <c r="D443" t="s">
        <v>51</v>
      </c>
      <c r="E443">
        <v>37</v>
      </c>
      <c r="F443" t="s">
        <v>248</v>
      </c>
      <c r="G443" t="s">
        <v>242</v>
      </c>
      <c r="H443" t="s">
        <v>54</v>
      </c>
      <c r="I443" t="s">
        <v>171</v>
      </c>
      <c r="J443" t="s">
        <v>172</v>
      </c>
      <c r="K443" t="s">
        <v>173</v>
      </c>
      <c r="L443" t="s">
        <v>174</v>
      </c>
      <c r="M443" t="s">
        <v>212</v>
      </c>
      <c r="N443" t="s">
        <v>128</v>
      </c>
      <c r="O443" t="s">
        <v>149</v>
      </c>
      <c r="P443" s="1">
        <v>39061</v>
      </c>
      <c r="Q443">
        <v>17.5</v>
      </c>
      <c r="R443" t="s">
        <v>62</v>
      </c>
      <c r="S443" t="s">
        <v>63</v>
      </c>
      <c r="T443" t="s">
        <v>64</v>
      </c>
      <c r="U443">
        <v>0</v>
      </c>
      <c r="V443">
        <v>0</v>
      </c>
      <c r="W443" s="2">
        <v>4739</v>
      </c>
      <c r="X443" s="2">
        <v>0</v>
      </c>
      <c r="Y443" s="2">
        <v>422</v>
      </c>
      <c r="Z443" s="2">
        <v>5161</v>
      </c>
      <c r="AA443">
        <v>535</v>
      </c>
      <c r="AB443" t="s">
        <v>65</v>
      </c>
      <c r="AC443">
        <v>13.6</v>
      </c>
      <c r="AD443">
        <v>22</v>
      </c>
      <c r="AE443">
        <v>60</v>
      </c>
      <c r="AF443" t="s">
        <v>66</v>
      </c>
      <c r="AG443">
        <v>19</v>
      </c>
      <c r="AH443" t="s">
        <v>113</v>
      </c>
      <c r="AI443" t="s">
        <v>95</v>
      </c>
      <c r="AJ443" t="s">
        <v>72</v>
      </c>
      <c r="AK443" t="s">
        <v>71</v>
      </c>
      <c r="AL443" t="s">
        <v>71</v>
      </c>
      <c r="AM443" t="s">
        <v>70</v>
      </c>
      <c r="AN443" t="s">
        <v>270</v>
      </c>
      <c r="AO443" t="s">
        <v>73</v>
      </c>
      <c r="AP443" t="s">
        <v>72</v>
      </c>
      <c r="AQ443" t="s">
        <v>74</v>
      </c>
      <c r="AR443" s="1">
        <v>44148</v>
      </c>
      <c r="AS443" t="s">
        <v>118</v>
      </c>
      <c r="AT443" t="s">
        <v>71</v>
      </c>
      <c r="AU443">
        <v>1562</v>
      </c>
      <c r="AV443" t="s">
        <v>76</v>
      </c>
      <c r="AW443" s="3">
        <v>61932</v>
      </c>
      <c r="AX443" t="s">
        <v>798</v>
      </c>
      <c r="AY443" t="s">
        <v>806</v>
      </c>
      <c r="AZ443" t="s">
        <v>76</v>
      </c>
      <c r="BA443" t="s">
        <v>800</v>
      </c>
      <c r="BB443" t="s">
        <v>801</v>
      </c>
      <c r="BC443" t="s">
        <v>802</v>
      </c>
      <c r="BD443" s="3">
        <v>0.1036620809920558</v>
      </c>
      <c r="BE443">
        <v>593.4</v>
      </c>
      <c r="BG443" s="2">
        <f t="shared" si="29"/>
        <v>61932</v>
      </c>
      <c r="BH443" t="str" cm="1">
        <f t="array" ref="BH443">_xlfn.IFS(Q443&lt;5,"0-5 Years",Q443&lt;10,"5-10 Years",Q443&lt;15,"10-15 Years",TRUE,"15+ Years")</f>
        <v>15+ Years</v>
      </c>
      <c r="BI443" t="str" cm="1">
        <f t="array" ref="BI443">_xlfn.IFS(AA443&gt;=540,"A",AA443&gt;=480,"B",AA443&gt;=420,"C",AA443&gt;=360,"D",TRUE,"F")</f>
        <v>B</v>
      </c>
      <c r="BJ443" t="str" cm="1">
        <f t="array" ref="BJ443">_xlfn.IFS(AU443&lt;0,"Separated",AU443&lt;=90,"High Risk",AU443&lt;=180,"Medium Risk",TRUE,"Retained")</f>
        <v>Retained</v>
      </c>
      <c r="BK443" t="str" cm="1">
        <f t="array" ref="BK443">_xlfn.IFS(V443=0,"No Combat",V443=1,"1 Tour",V443=2,"2 Tours",TRUE,"3+ Tours")</f>
        <v>No Combat</v>
      </c>
      <c r="BL443" t="str">
        <f t="shared" si="30"/>
        <v>Standard</v>
      </c>
      <c r="BM443" t="str">
        <f t="shared" si="31"/>
        <v>Not Ready</v>
      </c>
      <c r="BN443" s="3">
        <f t="shared" si="32"/>
        <v>0.1036620809920558</v>
      </c>
      <c r="BO443">
        <f t="shared" si="33"/>
        <v>593.4</v>
      </c>
    </row>
    <row r="444" spans="1:67" x14ac:dyDescent="0.25">
      <c r="A444" t="s">
        <v>731</v>
      </c>
      <c r="B444" t="s">
        <v>267</v>
      </c>
      <c r="C444" t="s">
        <v>155</v>
      </c>
      <c r="D444" t="s">
        <v>51</v>
      </c>
      <c r="E444">
        <v>34</v>
      </c>
      <c r="F444" t="s">
        <v>224</v>
      </c>
      <c r="G444" t="s">
        <v>298</v>
      </c>
      <c r="H444" t="s">
        <v>299</v>
      </c>
      <c r="I444" t="s">
        <v>225</v>
      </c>
      <c r="J444" t="s">
        <v>226</v>
      </c>
      <c r="K444" t="s">
        <v>105</v>
      </c>
      <c r="L444" t="s">
        <v>174</v>
      </c>
      <c r="M444" t="s">
        <v>275</v>
      </c>
      <c r="N444" t="s">
        <v>88</v>
      </c>
      <c r="O444" t="s">
        <v>176</v>
      </c>
      <c r="P444" s="1">
        <v>39790</v>
      </c>
      <c r="Q444">
        <v>15.5</v>
      </c>
      <c r="R444" t="s">
        <v>150</v>
      </c>
      <c r="S444" t="s">
        <v>110</v>
      </c>
      <c r="T444" t="s">
        <v>111</v>
      </c>
      <c r="U444">
        <v>14</v>
      </c>
      <c r="V444">
        <v>2</v>
      </c>
      <c r="W444" s="2">
        <v>2149</v>
      </c>
      <c r="X444" s="2">
        <v>0</v>
      </c>
      <c r="Y444" s="2">
        <v>422</v>
      </c>
      <c r="Z444" s="2">
        <v>2571</v>
      </c>
      <c r="AA444">
        <v>548</v>
      </c>
      <c r="AB444" t="s">
        <v>65</v>
      </c>
      <c r="AC444">
        <v>15.8</v>
      </c>
      <c r="AD444">
        <v>29</v>
      </c>
      <c r="AE444">
        <v>48</v>
      </c>
      <c r="AF444" t="s">
        <v>66</v>
      </c>
      <c r="AG444">
        <v>23</v>
      </c>
      <c r="AH444" t="s">
        <v>113</v>
      </c>
      <c r="AI444" t="s">
        <v>152</v>
      </c>
      <c r="AJ444" t="s">
        <v>69</v>
      </c>
      <c r="AK444" t="s">
        <v>71</v>
      </c>
      <c r="AL444" t="s">
        <v>71</v>
      </c>
      <c r="AM444" t="s">
        <v>70</v>
      </c>
      <c r="AN444" t="s">
        <v>72</v>
      </c>
      <c r="AO444" t="s">
        <v>178</v>
      </c>
      <c r="AP444" t="s">
        <v>221</v>
      </c>
      <c r="AQ444" t="s">
        <v>74</v>
      </c>
      <c r="AR444" s="1">
        <v>42049</v>
      </c>
      <c r="AS444" t="s">
        <v>118</v>
      </c>
      <c r="AT444" t="s">
        <v>71</v>
      </c>
      <c r="AU444">
        <v>-268</v>
      </c>
      <c r="AV444" t="s">
        <v>179</v>
      </c>
      <c r="AW444" s="3">
        <v>30852</v>
      </c>
      <c r="AX444" t="s">
        <v>798</v>
      </c>
      <c r="AY444" t="s">
        <v>799</v>
      </c>
      <c r="AZ444" t="s">
        <v>810</v>
      </c>
      <c r="BA444" t="s">
        <v>811</v>
      </c>
      <c r="BB444" t="s">
        <v>801</v>
      </c>
      <c r="BC444" t="s">
        <v>802</v>
      </c>
      <c r="BD444" s="3">
        <v>0.2131466355503695</v>
      </c>
      <c r="BE444">
        <v>614.4</v>
      </c>
      <c r="BG444" s="2">
        <f t="shared" si="29"/>
        <v>30852</v>
      </c>
      <c r="BH444" t="str" cm="1">
        <f t="array" ref="BH444">_xlfn.IFS(Q444&lt;5,"0-5 Years",Q444&lt;10,"5-10 Years",Q444&lt;15,"10-15 Years",TRUE,"15+ Years")</f>
        <v>15+ Years</v>
      </c>
      <c r="BI444" t="str" cm="1">
        <f t="array" ref="BI444">_xlfn.IFS(AA444&gt;=540,"A",AA444&gt;=480,"B",AA444&gt;=420,"C",AA444&gt;=360,"D",TRUE,"F")</f>
        <v>A</v>
      </c>
      <c r="BJ444" t="str" cm="1">
        <f t="array" ref="BJ444">_xlfn.IFS(AU444&lt;0,"Separated",AU444&lt;=90,"High Risk",AU444&lt;=180,"Medium Risk",TRUE,"Retained")</f>
        <v>Separated</v>
      </c>
      <c r="BK444" t="str" cm="1">
        <f t="array" ref="BK444">_xlfn.IFS(V444=0,"No Combat",V444=1,"1 Tour",V444=2,"2 Tours",TRUE,"3+ Tours")</f>
        <v>2 Tours</v>
      </c>
      <c r="BL444" t="str">
        <f t="shared" si="30"/>
        <v>Standard</v>
      </c>
      <c r="BM444" t="str">
        <f t="shared" si="31"/>
        <v>Not Ready</v>
      </c>
      <c r="BN444" s="3">
        <f t="shared" si="32"/>
        <v>0.2131466355503695</v>
      </c>
      <c r="BO444">
        <f t="shared" si="33"/>
        <v>614.4</v>
      </c>
    </row>
    <row r="445" spans="1:67" x14ac:dyDescent="0.25">
      <c r="A445" t="s">
        <v>732</v>
      </c>
      <c r="B445" t="s">
        <v>166</v>
      </c>
      <c r="C445" t="s">
        <v>79</v>
      </c>
      <c r="D445" t="s">
        <v>51</v>
      </c>
      <c r="E445">
        <v>36</v>
      </c>
      <c r="F445" t="s">
        <v>291</v>
      </c>
      <c r="G445" t="s">
        <v>234</v>
      </c>
      <c r="H445" t="s">
        <v>235</v>
      </c>
      <c r="I445" t="s">
        <v>225</v>
      </c>
      <c r="J445" t="s">
        <v>226</v>
      </c>
      <c r="K445" t="s">
        <v>105</v>
      </c>
      <c r="L445" t="s">
        <v>106</v>
      </c>
      <c r="M445" t="s">
        <v>275</v>
      </c>
      <c r="N445" t="s">
        <v>265</v>
      </c>
      <c r="O445" t="s">
        <v>176</v>
      </c>
      <c r="P445" s="1">
        <v>41387</v>
      </c>
      <c r="Q445">
        <v>11.1</v>
      </c>
      <c r="R445" t="s">
        <v>90</v>
      </c>
      <c r="S445" t="s">
        <v>163</v>
      </c>
      <c r="T445" t="s">
        <v>164</v>
      </c>
      <c r="U445">
        <v>4</v>
      </c>
      <c r="V445">
        <v>0</v>
      </c>
      <c r="W445" s="2">
        <v>1917</v>
      </c>
      <c r="X445" s="2">
        <v>0</v>
      </c>
      <c r="Y445" s="2">
        <v>422</v>
      </c>
      <c r="Z445" s="2">
        <v>2339</v>
      </c>
      <c r="AA445">
        <v>319</v>
      </c>
      <c r="AB445" t="s">
        <v>151</v>
      </c>
      <c r="AC445">
        <v>12.6</v>
      </c>
      <c r="AD445">
        <v>20</v>
      </c>
      <c r="AE445">
        <v>66</v>
      </c>
      <c r="AF445" t="s">
        <v>132</v>
      </c>
      <c r="AG445">
        <v>40</v>
      </c>
      <c r="AH445" t="s">
        <v>94</v>
      </c>
      <c r="AI445" t="s">
        <v>68</v>
      </c>
      <c r="AJ445" t="s">
        <v>72</v>
      </c>
      <c r="AK445" t="s">
        <v>71</v>
      </c>
      <c r="AL445" t="s">
        <v>71</v>
      </c>
      <c r="AM445" t="s">
        <v>70</v>
      </c>
      <c r="AN445" t="s">
        <v>133</v>
      </c>
      <c r="AO445" t="s">
        <v>116</v>
      </c>
      <c r="AP445" t="s">
        <v>72</v>
      </c>
      <c r="AQ445" t="s">
        <v>98</v>
      </c>
      <c r="AR445" s="1">
        <v>43221</v>
      </c>
      <c r="AS445" t="s">
        <v>198</v>
      </c>
      <c r="AT445" t="s">
        <v>71</v>
      </c>
      <c r="AU445">
        <v>1509</v>
      </c>
      <c r="AV445" t="s">
        <v>76</v>
      </c>
      <c r="AW445" s="3">
        <v>28068</v>
      </c>
      <c r="AX445" t="s">
        <v>805</v>
      </c>
      <c r="AY445" t="s">
        <v>122</v>
      </c>
      <c r="AZ445" t="s">
        <v>76</v>
      </c>
      <c r="BA445" t="s">
        <v>800</v>
      </c>
      <c r="BB445" t="s">
        <v>801</v>
      </c>
      <c r="BC445" t="s">
        <v>802</v>
      </c>
      <c r="BD445" s="3">
        <v>0.13638306968790082</v>
      </c>
      <c r="BE445">
        <v>419.4</v>
      </c>
      <c r="BG445" s="2">
        <f t="shared" si="29"/>
        <v>28068</v>
      </c>
      <c r="BH445" t="str" cm="1">
        <f t="array" ref="BH445">_xlfn.IFS(Q445&lt;5,"0-5 Years",Q445&lt;10,"5-10 Years",Q445&lt;15,"10-15 Years",TRUE,"15+ Years")</f>
        <v>10-15 Years</v>
      </c>
      <c r="BI445" t="str" cm="1">
        <f t="array" ref="BI445">_xlfn.IFS(AA445&gt;=540,"A",AA445&gt;=480,"B",AA445&gt;=420,"C",AA445&gt;=360,"D",TRUE,"F")</f>
        <v>F</v>
      </c>
      <c r="BJ445" t="str" cm="1">
        <f t="array" ref="BJ445">_xlfn.IFS(AU445&lt;0,"Separated",AU445&lt;=90,"High Risk",AU445&lt;=180,"Medium Risk",TRUE,"Retained")</f>
        <v>Retained</v>
      </c>
      <c r="BK445" t="str" cm="1">
        <f t="array" ref="BK445">_xlfn.IFS(V445=0,"No Combat",V445=1,"1 Tour",V445=2,"2 Tours",TRUE,"3+ Tours")</f>
        <v>No Combat</v>
      </c>
      <c r="BL445" t="str">
        <f t="shared" si="30"/>
        <v>Standard</v>
      </c>
      <c r="BM445" t="str">
        <f t="shared" si="31"/>
        <v>Not Ready</v>
      </c>
      <c r="BN445" s="3">
        <f t="shared" si="32"/>
        <v>0.13638306968790082</v>
      </c>
      <c r="BO445">
        <f t="shared" si="33"/>
        <v>419.4</v>
      </c>
    </row>
    <row r="446" spans="1:67" x14ac:dyDescent="0.25">
      <c r="A446" t="s">
        <v>733</v>
      </c>
      <c r="B446" t="s">
        <v>139</v>
      </c>
      <c r="C446" t="s">
        <v>332</v>
      </c>
      <c r="D446" t="s">
        <v>51</v>
      </c>
      <c r="E446">
        <v>45</v>
      </c>
      <c r="F446" t="s">
        <v>322</v>
      </c>
      <c r="G446" t="s">
        <v>279</v>
      </c>
      <c r="H446" t="s">
        <v>280</v>
      </c>
      <c r="I446" t="s">
        <v>185</v>
      </c>
      <c r="J446" t="s">
        <v>186</v>
      </c>
      <c r="K446" t="s">
        <v>187</v>
      </c>
      <c r="L446" t="s">
        <v>58</v>
      </c>
      <c r="M446" t="s">
        <v>249</v>
      </c>
      <c r="N446" t="s">
        <v>148</v>
      </c>
      <c r="O446" t="s">
        <v>176</v>
      </c>
      <c r="P446" s="1">
        <v>40186</v>
      </c>
      <c r="Q446">
        <v>14.4</v>
      </c>
      <c r="R446" t="s">
        <v>62</v>
      </c>
      <c r="S446" t="s">
        <v>130</v>
      </c>
      <c r="T446" t="s">
        <v>131</v>
      </c>
      <c r="U446">
        <v>9</v>
      </c>
      <c r="V446">
        <v>1</v>
      </c>
      <c r="W446" s="2">
        <v>6618</v>
      </c>
      <c r="X446" s="2">
        <v>0</v>
      </c>
      <c r="Y446" s="2">
        <v>266</v>
      </c>
      <c r="Z446" s="2">
        <v>6884</v>
      </c>
      <c r="AA446">
        <v>372</v>
      </c>
      <c r="AB446" t="s">
        <v>65</v>
      </c>
      <c r="AC446">
        <v>20.7</v>
      </c>
      <c r="AD446">
        <v>44</v>
      </c>
      <c r="AE446">
        <v>46</v>
      </c>
      <c r="AF446" t="s">
        <v>112</v>
      </c>
      <c r="AG446">
        <v>39</v>
      </c>
      <c r="AH446" t="s">
        <v>94</v>
      </c>
      <c r="AI446" t="s">
        <v>95</v>
      </c>
      <c r="AJ446" t="s">
        <v>72</v>
      </c>
      <c r="AK446" t="s">
        <v>70</v>
      </c>
      <c r="AL446" t="s">
        <v>70</v>
      </c>
      <c r="AM446" t="s">
        <v>70</v>
      </c>
      <c r="AN446" t="s">
        <v>243</v>
      </c>
      <c r="AO446" t="s">
        <v>135</v>
      </c>
      <c r="AP446" t="s">
        <v>72</v>
      </c>
      <c r="AQ446" t="s">
        <v>117</v>
      </c>
      <c r="AR446" s="1">
        <v>41883</v>
      </c>
      <c r="AS446" t="s">
        <v>118</v>
      </c>
      <c r="AT446" t="s">
        <v>71</v>
      </c>
      <c r="AU446">
        <v>1162</v>
      </c>
      <c r="AV446" t="s">
        <v>76</v>
      </c>
      <c r="AW446" s="3">
        <v>82608</v>
      </c>
      <c r="AX446" t="s">
        <v>805</v>
      </c>
      <c r="AY446" t="s">
        <v>809</v>
      </c>
      <c r="AZ446" t="s">
        <v>76</v>
      </c>
      <c r="BA446" t="s">
        <v>807</v>
      </c>
      <c r="BB446" t="s">
        <v>801</v>
      </c>
      <c r="BC446" t="s">
        <v>802</v>
      </c>
      <c r="BD446" s="3">
        <v>5.4038349796629866E-2</v>
      </c>
      <c r="BE446">
        <v>450.4</v>
      </c>
      <c r="BG446" s="2">
        <f t="shared" si="29"/>
        <v>82608</v>
      </c>
      <c r="BH446" t="str" cm="1">
        <f t="array" ref="BH446">_xlfn.IFS(Q446&lt;5,"0-5 Years",Q446&lt;10,"5-10 Years",Q446&lt;15,"10-15 Years",TRUE,"15+ Years")</f>
        <v>10-15 Years</v>
      </c>
      <c r="BI446" t="str" cm="1">
        <f t="array" ref="BI446">_xlfn.IFS(AA446&gt;=540,"A",AA446&gt;=480,"B",AA446&gt;=420,"C",AA446&gt;=360,"D",TRUE,"F")</f>
        <v>D</v>
      </c>
      <c r="BJ446" t="str" cm="1">
        <f t="array" ref="BJ446">_xlfn.IFS(AU446&lt;0,"Separated",AU446&lt;=90,"High Risk",AU446&lt;=180,"Medium Risk",TRUE,"Retained")</f>
        <v>Retained</v>
      </c>
      <c r="BK446" t="str" cm="1">
        <f t="array" ref="BK446">_xlfn.IFS(V446=0,"No Combat",V446=1,"1 Tour",V446=2,"2 Tours",TRUE,"3+ Tours")</f>
        <v>1 Tour</v>
      </c>
      <c r="BL446" t="str">
        <f t="shared" si="30"/>
        <v>Standard</v>
      </c>
      <c r="BM446" t="str">
        <f t="shared" si="31"/>
        <v>Not Ready</v>
      </c>
      <c r="BN446" s="3">
        <f t="shared" si="32"/>
        <v>5.4038349796629866E-2</v>
      </c>
      <c r="BO446">
        <f t="shared" si="33"/>
        <v>450.4</v>
      </c>
    </row>
    <row r="447" spans="1:67" x14ac:dyDescent="0.25">
      <c r="A447" t="s">
        <v>734</v>
      </c>
      <c r="B447" t="s">
        <v>229</v>
      </c>
      <c r="C447" t="s">
        <v>369</v>
      </c>
      <c r="D447" t="s">
        <v>122</v>
      </c>
      <c r="E447">
        <v>24</v>
      </c>
      <c r="F447" t="s">
        <v>291</v>
      </c>
      <c r="G447" t="s">
        <v>279</v>
      </c>
      <c r="H447" t="s">
        <v>280</v>
      </c>
      <c r="I447" t="s">
        <v>185</v>
      </c>
      <c r="J447" t="s">
        <v>186</v>
      </c>
      <c r="K447" t="s">
        <v>187</v>
      </c>
      <c r="L447" t="s">
        <v>126</v>
      </c>
      <c r="M447" t="s">
        <v>249</v>
      </c>
      <c r="N447" t="s">
        <v>88</v>
      </c>
      <c r="O447" t="s">
        <v>176</v>
      </c>
      <c r="P447" s="1">
        <v>41023</v>
      </c>
      <c r="Q447">
        <v>12.1</v>
      </c>
      <c r="R447" t="s">
        <v>75</v>
      </c>
      <c r="S447" t="s">
        <v>219</v>
      </c>
      <c r="T447" t="s">
        <v>220</v>
      </c>
      <c r="U447">
        <v>0</v>
      </c>
      <c r="V447">
        <v>0</v>
      </c>
      <c r="W447" s="2">
        <v>6618</v>
      </c>
      <c r="X447" s="2">
        <v>0</v>
      </c>
      <c r="Y447" s="2">
        <v>266</v>
      </c>
      <c r="Z447" s="2">
        <v>6884</v>
      </c>
      <c r="AA447">
        <v>401</v>
      </c>
      <c r="AB447" t="s">
        <v>65</v>
      </c>
      <c r="AC447">
        <v>18.600000000000001</v>
      </c>
      <c r="AD447">
        <v>33</v>
      </c>
      <c r="AE447">
        <v>45</v>
      </c>
      <c r="AF447" t="s">
        <v>93</v>
      </c>
      <c r="AG447">
        <v>34</v>
      </c>
      <c r="AH447" t="s">
        <v>67</v>
      </c>
      <c r="AI447" t="s">
        <v>114</v>
      </c>
      <c r="AJ447" t="s">
        <v>69</v>
      </c>
      <c r="AK447" t="s">
        <v>70</v>
      </c>
      <c r="AL447" t="s">
        <v>70</v>
      </c>
      <c r="AM447" t="s">
        <v>70</v>
      </c>
      <c r="AN447" t="s">
        <v>72</v>
      </c>
      <c r="AO447" t="s">
        <v>73</v>
      </c>
      <c r="AP447" t="s">
        <v>72</v>
      </c>
      <c r="AQ447" t="s">
        <v>117</v>
      </c>
      <c r="AR447" s="1">
        <v>44614</v>
      </c>
      <c r="AS447" t="s">
        <v>198</v>
      </c>
      <c r="AT447" t="s">
        <v>71</v>
      </c>
      <c r="AU447">
        <v>730</v>
      </c>
      <c r="AV447" t="s">
        <v>76</v>
      </c>
      <c r="AW447" s="3">
        <v>82608</v>
      </c>
      <c r="AX447" t="s">
        <v>805</v>
      </c>
      <c r="AY447" t="s">
        <v>809</v>
      </c>
      <c r="AZ447" t="s">
        <v>76</v>
      </c>
      <c r="BA447" t="s">
        <v>800</v>
      </c>
      <c r="BB447" t="s">
        <v>801</v>
      </c>
      <c r="BC447" t="s">
        <v>802</v>
      </c>
      <c r="BD447" s="3">
        <v>5.8251016850668219E-2</v>
      </c>
      <c r="BE447">
        <v>469.4</v>
      </c>
      <c r="BG447" s="2">
        <f t="shared" si="29"/>
        <v>82608</v>
      </c>
      <c r="BH447" t="str" cm="1">
        <f t="array" ref="BH447">_xlfn.IFS(Q447&lt;5,"0-5 Years",Q447&lt;10,"5-10 Years",Q447&lt;15,"10-15 Years",TRUE,"15+ Years")</f>
        <v>10-15 Years</v>
      </c>
      <c r="BI447" t="str" cm="1">
        <f t="array" ref="BI447">_xlfn.IFS(AA447&gt;=540,"A",AA447&gt;=480,"B",AA447&gt;=420,"C",AA447&gt;=360,"D",TRUE,"F")</f>
        <v>D</v>
      </c>
      <c r="BJ447" t="str" cm="1">
        <f t="array" ref="BJ447">_xlfn.IFS(AU447&lt;0,"Separated",AU447&lt;=90,"High Risk",AU447&lt;=180,"Medium Risk",TRUE,"Retained")</f>
        <v>Retained</v>
      </c>
      <c r="BK447" t="str" cm="1">
        <f t="array" ref="BK447">_xlfn.IFS(V447=0,"No Combat",V447=1,"1 Tour",V447=2,"2 Tours",TRUE,"3+ Tours")</f>
        <v>No Combat</v>
      </c>
      <c r="BL447" t="str">
        <f t="shared" si="30"/>
        <v>Standard</v>
      </c>
      <c r="BM447" t="str">
        <f t="shared" si="31"/>
        <v>Not Ready</v>
      </c>
      <c r="BN447" s="3">
        <f t="shared" si="32"/>
        <v>5.8251016850668219E-2</v>
      </c>
      <c r="BO447">
        <f t="shared" si="33"/>
        <v>469.4</v>
      </c>
    </row>
    <row r="448" spans="1:67" x14ac:dyDescent="0.25">
      <c r="A448" t="s">
        <v>735</v>
      </c>
      <c r="B448" t="s">
        <v>263</v>
      </c>
      <c r="C448" t="s">
        <v>501</v>
      </c>
      <c r="D448" t="s">
        <v>122</v>
      </c>
      <c r="E448">
        <v>32</v>
      </c>
      <c r="F448" t="s">
        <v>322</v>
      </c>
      <c r="G448" t="s">
        <v>169</v>
      </c>
      <c r="H448" t="s">
        <v>170</v>
      </c>
      <c r="I448" t="s">
        <v>83</v>
      </c>
      <c r="J448" t="s">
        <v>84</v>
      </c>
      <c r="K448" t="s">
        <v>85</v>
      </c>
      <c r="L448" t="s">
        <v>201</v>
      </c>
      <c r="M448" t="s">
        <v>275</v>
      </c>
      <c r="N448" t="s">
        <v>265</v>
      </c>
      <c r="O448" t="s">
        <v>109</v>
      </c>
      <c r="P448" s="1">
        <v>42592</v>
      </c>
      <c r="Q448">
        <v>7.8</v>
      </c>
      <c r="R448" t="s">
        <v>208</v>
      </c>
      <c r="S448" t="s">
        <v>91</v>
      </c>
      <c r="T448" t="s">
        <v>92</v>
      </c>
      <c r="U448">
        <v>5</v>
      </c>
      <c r="V448">
        <v>0</v>
      </c>
      <c r="W448" s="2">
        <v>3294</v>
      </c>
      <c r="X448" s="2">
        <v>0</v>
      </c>
      <c r="Y448" s="2">
        <v>422</v>
      </c>
      <c r="Z448" s="2">
        <v>3716</v>
      </c>
      <c r="AA448">
        <v>378</v>
      </c>
      <c r="AB448" t="s">
        <v>65</v>
      </c>
      <c r="AC448">
        <v>18.399999999999999</v>
      </c>
      <c r="AD448">
        <v>44</v>
      </c>
      <c r="AE448">
        <v>66</v>
      </c>
      <c r="AF448" t="s">
        <v>112</v>
      </c>
      <c r="AG448">
        <v>39</v>
      </c>
      <c r="AH448" t="s">
        <v>94</v>
      </c>
      <c r="AI448" t="s">
        <v>114</v>
      </c>
      <c r="AJ448" t="s">
        <v>188</v>
      </c>
      <c r="AK448" t="s">
        <v>70</v>
      </c>
      <c r="AL448" t="s">
        <v>70</v>
      </c>
      <c r="AM448" t="s">
        <v>70</v>
      </c>
      <c r="AN448" t="s">
        <v>72</v>
      </c>
      <c r="AO448" t="s">
        <v>72</v>
      </c>
      <c r="AP448" t="s">
        <v>178</v>
      </c>
      <c r="AQ448" t="s">
        <v>74</v>
      </c>
      <c r="AR448" s="1">
        <v>45496</v>
      </c>
      <c r="AS448" t="s">
        <v>198</v>
      </c>
      <c r="AT448" t="s">
        <v>71</v>
      </c>
      <c r="AU448">
        <v>1673</v>
      </c>
      <c r="AV448" t="s">
        <v>76</v>
      </c>
      <c r="AW448" s="3">
        <v>44592</v>
      </c>
      <c r="AX448" t="s">
        <v>808</v>
      </c>
      <c r="AY448" t="s">
        <v>809</v>
      </c>
      <c r="AZ448" t="s">
        <v>76</v>
      </c>
      <c r="BA448" t="s">
        <v>800</v>
      </c>
      <c r="BB448" t="s">
        <v>801</v>
      </c>
      <c r="BC448" t="s">
        <v>812</v>
      </c>
      <c r="BD448" s="3">
        <v>0.10172228202368137</v>
      </c>
      <c r="BE448">
        <v>456.4</v>
      </c>
      <c r="BG448" s="2">
        <f t="shared" si="29"/>
        <v>44592</v>
      </c>
      <c r="BH448" t="str" cm="1">
        <f t="array" ref="BH448">_xlfn.IFS(Q448&lt;5,"0-5 Years",Q448&lt;10,"5-10 Years",Q448&lt;15,"10-15 Years",TRUE,"15+ Years")</f>
        <v>5-10 Years</v>
      </c>
      <c r="BI448" t="str" cm="1">
        <f t="array" ref="BI448">_xlfn.IFS(AA448&gt;=540,"A",AA448&gt;=480,"B",AA448&gt;=420,"C",AA448&gt;=360,"D",TRUE,"F")</f>
        <v>D</v>
      </c>
      <c r="BJ448" t="str" cm="1">
        <f t="array" ref="BJ448">_xlfn.IFS(AU448&lt;0,"Separated",AU448&lt;=90,"High Risk",AU448&lt;=180,"Medium Risk",TRUE,"Retained")</f>
        <v>Retained</v>
      </c>
      <c r="BK448" t="str" cm="1">
        <f t="array" ref="BK448">_xlfn.IFS(V448=0,"No Combat",V448=1,"1 Tour",V448=2,"2 Tours",TRUE,"3+ Tours")</f>
        <v>No Combat</v>
      </c>
      <c r="BL448" t="str">
        <f t="shared" si="30"/>
        <v>Standard</v>
      </c>
      <c r="BM448" t="str">
        <f t="shared" si="31"/>
        <v>Promotion Ready</v>
      </c>
      <c r="BN448" s="3">
        <f t="shared" si="32"/>
        <v>0.10172228202368137</v>
      </c>
      <c r="BO448">
        <f t="shared" si="33"/>
        <v>456.4</v>
      </c>
    </row>
    <row r="449" spans="1:67" x14ac:dyDescent="0.25">
      <c r="A449" t="s">
        <v>736</v>
      </c>
      <c r="B449" t="s">
        <v>259</v>
      </c>
      <c r="C449" t="s">
        <v>140</v>
      </c>
      <c r="D449" t="s">
        <v>51</v>
      </c>
      <c r="E449">
        <v>21</v>
      </c>
      <c r="F449" t="s">
        <v>168</v>
      </c>
      <c r="G449" t="s">
        <v>193</v>
      </c>
      <c r="H449" t="s">
        <v>194</v>
      </c>
      <c r="I449" t="s">
        <v>268</v>
      </c>
      <c r="J449" t="s">
        <v>269</v>
      </c>
      <c r="K449" t="s">
        <v>173</v>
      </c>
      <c r="L449" t="s">
        <v>174</v>
      </c>
      <c r="M449" t="s">
        <v>296</v>
      </c>
      <c r="N449" t="s">
        <v>88</v>
      </c>
      <c r="O449" t="s">
        <v>89</v>
      </c>
      <c r="P449" s="1">
        <v>40919</v>
      </c>
      <c r="Q449">
        <v>12.4</v>
      </c>
      <c r="R449" t="s">
        <v>150</v>
      </c>
      <c r="S449" t="s">
        <v>110</v>
      </c>
      <c r="T449" t="s">
        <v>111</v>
      </c>
      <c r="U449">
        <v>6</v>
      </c>
      <c r="V449">
        <v>1</v>
      </c>
      <c r="W449" s="2">
        <v>2259</v>
      </c>
      <c r="X449" s="2">
        <v>0</v>
      </c>
      <c r="Y449" s="2">
        <v>422</v>
      </c>
      <c r="Z449" s="2">
        <v>2681</v>
      </c>
      <c r="AA449">
        <v>451</v>
      </c>
      <c r="AB449" t="s">
        <v>65</v>
      </c>
      <c r="AC449">
        <v>15.1</v>
      </c>
      <c r="AD449">
        <v>24</v>
      </c>
      <c r="AE449">
        <v>53</v>
      </c>
      <c r="AF449" t="s">
        <v>132</v>
      </c>
      <c r="AG449">
        <v>31</v>
      </c>
      <c r="AH449" t="s">
        <v>67</v>
      </c>
      <c r="AI449" t="s">
        <v>152</v>
      </c>
      <c r="AJ449" t="s">
        <v>188</v>
      </c>
      <c r="AK449" t="s">
        <v>70</v>
      </c>
      <c r="AL449" t="s">
        <v>71</v>
      </c>
      <c r="AM449" t="s">
        <v>70</v>
      </c>
      <c r="AN449" t="s">
        <v>72</v>
      </c>
      <c r="AO449" t="s">
        <v>221</v>
      </c>
      <c r="AP449" t="s">
        <v>134</v>
      </c>
      <c r="AQ449" t="s">
        <v>117</v>
      </c>
      <c r="AR449" s="1">
        <v>45433</v>
      </c>
      <c r="AS449" t="s">
        <v>198</v>
      </c>
      <c r="AT449" t="s">
        <v>71</v>
      </c>
      <c r="AU449">
        <v>1423</v>
      </c>
      <c r="AV449" t="s">
        <v>76</v>
      </c>
      <c r="AW449" s="3">
        <v>32172</v>
      </c>
      <c r="AX449" t="s">
        <v>805</v>
      </c>
      <c r="AY449" t="s">
        <v>804</v>
      </c>
      <c r="AZ449" t="s">
        <v>76</v>
      </c>
      <c r="BA449" t="s">
        <v>807</v>
      </c>
      <c r="BB449" t="s">
        <v>801</v>
      </c>
      <c r="BC449" t="s">
        <v>802</v>
      </c>
      <c r="BD449" s="3">
        <v>0.16822081312942933</v>
      </c>
      <c r="BE449">
        <v>523.4</v>
      </c>
      <c r="BG449" s="2">
        <f t="shared" si="29"/>
        <v>32172</v>
      </c>
      <c r="BH449" t="str" cm="1">
        <f t="array" ref="BH449">_xlfn.IFS(Q449&lt;5,"0-5 Years",Q449&lt;10,"5-10 Years",Q449&lt;15,"10-15 Years",TRUE,"15+ Years")</f>
        <v>10-15 Years</v>
      </c>
      <c r="BI449" t="str" cm="1">
        <f t="array" ref="BI449">_xlfn.IFS(AA449&gt;=540,"A",AA449&gt;=480,"B",AA449&gt;=420,"C",AA449&gt;=360,"D",TRUE,"F")</f>
        <v>C</v>
      </c>
      <c r="BJ449" t="str" cm="1">
        <f t="array" ref="BJ449">_xlfn.IFS(AU449&lt;0,"Separated",AU449&lt;=90,"High Risk",AU449&lt;=180,"Medium Risk",TRUE,"Retained")</f>
        <v>Retained</v>
      </c>
      <c r="BK449" t="str" cm="1">
        <f t="array" ref="BK449">_xlfn.IFS(V449=0,"No Combat",V449=1,"1 Tour",V449=2,"2 Tours",TRUE,"3+ Tours")</f>
        <v>1 Tour</v>
      </c>
      <c r="BL449" t="str">
        <f t="shared" si="30"/>
        <v>Standard</v>
      </c>
      <c r="BM449" t="str">
        <f t="shared" si="31"/>
        <v>Not Ready</v>
      </c>
      <c r="BN449" s="3">
        <f t="shared" si="32"/>
        <v>0.16822081312942933</v>
      </c>
      <c r="BO449">
        <f t="shared" si="33"/>
        <v>523.4</v>
      </c>
    </row>
    <row r="450" spans="1:67" x14ac:dyDescent="0.25">
      <c r="A450" t="s">
        <v>737</v>
      </c>
      <c r="B450" t="s">
        <v>277</v>
      </c>
      <c r="C450" t="s">
        <v>182</v>
      </c>
      <c r="D450" t="s">
        <v>51</v>
      </c>
      <c r="E450">
        <v>20</v>
      </c>
      <c r="F450" t="s">
        <v>123</v>
      </c>
      <c r="G450" t="s">
        <v>124</v>
      </c>
      <c r="H450" t="s">
        <v>125</v>
      </c>
      <c r="I450" t="s">
        <v>236</v>
      </c>
      <c r="J450" t="s">
        <v>237</v>
      </c>
      <c r="K450" t="s">
        <v>238</v>
      </c>
      <c r="L450" t="s">
        <v>126</v>
      </c>
      <c r="M450" t="s">
        <v>127</v>
      </c>
      <c r="N450" t="s">
        <v>128</v>
      </c>
      <c r="O450" t="s">
        <v>89</v>
      </c>
      <c r="P450" s="1">
        <v>39463</v>
      </c>
      <c r="Q450">
        <v>16.399999999999999</v>
      </c>
      <c r="R450" t="s">
        <v>75</v>
      </c>
      <c r="S450" t="s">
        <v>91</v>
      </c>
      <c r="T450" t="s">
        <v>92</v>
      </c>
      <c r="U450">
        <v>15</v>
      </c>
      <c r="V450">
        <v>2</v>
      </c>
      <c r="W450" s="2">
        <v>2730</v>
      </c>
      <c r="X450" s="2">
        <v>1576</v>
      </c>
      <c r="Y450" s="2">
        <v>422</v>
      </c>
      <c r="Z450" s="2">
        <v>4728</v>
      </c>
      <c r="AA450">
        <v>475</v>
      </c>
      <c r="AB450" t="s">
        <v>65</v>
      </c>
      <c r="AC450">
        <v>13.9</v>
      </c>
      <c r="AD450">
        <v>21</v>
      </c>
      <c r="AE450">
        <v>67</v>
      </c>
      <c r="AF450" t="s">
        <v>132</v>
      </c>
      <c r="AG450">
        <v>34</v>
      </c>
      <c r="AH450" t="s">
        <v>67</v>
      </c>
      <c r="AI450" t="s">
        <v>114</v>
      </c>
      <c r="AJ450" t="s">
        <v>96</v>
      </c>
      <c r="AK450" t="s">
        <v>70</v>
      </c>
      <c r="AL450" t="s">
        <v>71</v>
      </c>
      <c r="AM450" t="s">
        <v>70</v>
      </c>
      <c r="AN450" t="s">
        <v>202</v>
      </c>
      <c r="AO450" t="s">
        <v>116</v>
      </c>
      <c r="AP450" t="s">
        <v>72</v>
      </c>
      <c r="AQ450" t="s">
        <v>136</v>
      </c>
      <c r="AR450" s="1">
        <v>40357</v>
      </c>
      <c r="AS450" t="s">
        <v>75</v>
      </c>
      <c r="AT450" t="s">
        <v>71</v>
      </c>
      <c r="AU450">
        <v>307</v>
      </c>
      <c r="AV450" t="s">
        <v>76</v>
      </c>
      <c r="AW450" s="3">
        <v>56736</v>
      </c>
      <c r="AX450" t="s">
        <v>798</v>
      </c>
      <c r="AY450" t="s">
        <v>804</v>
      </c>
      <c r="AZ450" t="s">
        <v>76</v>
      </c>
      <c r="BA450" t="s">
        <v>811</v>
      </c>
      <c r="BB450" t="s">
        <v>801</v>
      </c>
      <c r="BC450" t="s">
        <v>802</v>
      </c>
      <c r="BD450" s="3">
        <v>0.10046531302876481</v>
      </c>
      <c r="BE450">
        <v>553.4</v>
      </c>
      <c r="BG450" s="2">
        <f t="shared" si="29"/>
        <v>56736</v>
      </c>
      <c r="BH450" t="str" cm="1">
        <f t="array" ref="BH450">_xlfn.IFS(Q450&lt;5,"0-5 Years",Q450&lt;10,"5-10 Years",Q450&lt;15,"10-15 Years",TRUE,"15+ Years")</f>
        <v>15+ Years</v>
      </c>
      <c r="BI450" t="str" cm="1">
        <f t="array" ref="BI450">_xlfn.IFS(AA450&gt;=540,"A",AA450&gt;=480,"B",AA450&gt;=420,"C",AA450&gt;=360,"D",TRUE,"F")</f>
        <v>C</v>
      </c>
      <c r="BJ450" t="str" cm="1">
        <f t="array" ref="BJ450">_xlfn.IFS(AU450&lt;0,"Separated",AU450&lt;=90,"High Risk",AU450&lt;=180,"Medium Risk",TRUE,"Retained")</f>
        <v>Retained</v>
      </c>
      <c r="BK450" t="str" cm="1">
        <f t="array" ref="BK450">_xlfn.IFS(V450=0,"No Combat",V450=1,"1 Tour",V450=2,"2 Tours",TRUE,"3+ Tours")</f>
        <v>2 Tours</v>
      </c>
      <c r="BL450" t="str">
        <f t="shared" si="30"/>
        <v>Standard</v>
      </c>
      <c r="BM450" t="str">
        <f t="shared" si="31"/>
        <v>Not Ready</v>
      </c>
      <c r="BN450" s="3">
        <f t="shared" si="32"/>
        <v>0.10046531302876481</v>
      </c>
      <c r="BO450">
        <f t="shared" si="33"/>
        <v>553.4</v>
      </c>
    </row>
    <row r="451" spans="1:67" x14ac:dyDescent="0.25">
      <c r="A451" t="s">
        <v>738</v>
      </c>
      <c r="B451" t="s">
        <v>259</v>
      </c>
      <c r="C451" t="s">
        <v>252</v>
      </c>
      <c r="D451" t="s">
        <v>51</v>
      </c>
      <c r="E451">
        <v>28</v>
      </c>
      <c r="F451" t="s">
        <v>214</v>
      </c>
      <c r="G451" t="s">
        <v>301</v>
      </c>
      <c r="H451" t="s">
        <v>302</v>
      </c>
      <c r="I451" t="s">
        <v>225</v>
      </c>
      <c r="J451" t="s">
        <v>226</v>
      </c>
      <c r="K451" t="s">
        <v>105</v>
      </c>
      <c r="L451" t="s">
        <v>126</v>
      </c>
      <c r="M451" t="s">
        <v>296</v>
      </c>
      <c r="N451" t="s">
        <v>148</v>
      </c>
      <c r="O451" t="s">
        <v>61</v>
      </c>
      <c r="P451" s="1">
        <v>41775</v>
      </c>
      <c r="Q451">
        <v>10</v>
      </c>
      <c r="R451" t="s">
        <v>129</v>
      </c>
      <c r="S451" t="s">
        <v>130</v>
      </c>
      <c r="T451" t="s">
        <v>131</v>
      </c>
      <c r="U451">
        <v>11</v>
      </c>
      <c r="V451">
        <v>1</v>
      </c>
      <c r="W451" s="2">
        <v>4188</v>
      </c>
      <c r="X451" s="2">
        <v>0</v>
      </c>
      <c r="Y451" s="2">
        <v>266</v>
      </c>
      <c r="Z451" s="2">
        <v>4454</v>
      </c>
      <c r="AA451">
        <v>302</v>
      </c>
      <c r="AB451" t="s">
        <v>151</v>
      </c>
      <c r="AC451">
        <v>16.899999999999999</v>
      </c>
      <c r="AD451">
        <v>82</v>
      </c>
      <c r="AE451">
        <v>63</v>
      </c>
      <c r="AF451" t="s">
        <v>132</v>
      </c>
      <c r="AG451">
        <v>26</v>
      </c>
      <c r="AH451" t="s">
        <v>113</v>
      </c>
      <c r="AI451" t="s">
        <v>68</v>
      </c>
      <c r="AJ451" t="s">
        <v>96</v>
      </c>
      <c r="AK451" t="s">
        <v>70</v>
      </c>
      <c r="AL451" t="s">
        <v>70</v>
      </c>
      <c r="AM451" t="s">
        <v>70</v>
      </c>
      <c r="AN451" t="s">
        <v>243</v>
      </c>
      <c r="AO451" t="s">
        <v>178</v>
      </c>
      <c r="AP451" t="s">
        <v>72</v>
      </c>
      <c r="AQ451" t="s">
        <v>98</v>
      </c>
      <c r="AR451" s="1">
        <v>43898</v>
      </c>
      <c r="AS451" t="s">
        <v>198</v>
      </c>
      <c r="AT451" t="s">
        <v>71</v>
      </c>
      <c r="AU451">
        <v>-372</v>
      </c>
      <c r="AV451" t="s">
        <v>179</v>
      </c>
      <c r="AW451" s="3">
        <v>53448</v>
      </c>
      <c r="AX451" t="s">
        <v>805</v>
      </c>
      <c r="AY451" t="s">
        <v>122</v>
      </c>
      <c r="AZ451" t="s">
        <v>810</v>
      </c>
      <c r="BA451" t="s">
        <v>807</v>
      </c>
      <c r="BB451" t="s">
        <v>801</v>
      </c>
      <c r="BC451" t="s">
        <v>802</v>
      </c>
      <c r="BD451" s="3">
        <v>6.7804220925011233E-2</v>
      </c>
      <c r="BE451">
        <v>354.4</v>
      </c>
      <c r="BG451" s="2">
        <f t="shared" ref="BG451:BG501" si="34">Z451*12</f>
        <v>53448</v>
      </c>
      <c r="BH451" t="str" cm="1">
        <f t="array" ref="BH451">_xlfn.IFS(Q451&lt;5,"0-5 Years",Q451&lt;10,"5-10 Years",Q451&lt;15,"10-15 Years",TRUE,"15+ Years")</f>
        <v>10-15 Years</v>
      </c>
      <c r="BI451" t="str" cm="1">
        <f t="array" ref="BI451">_xlfn.IFS(AA451&gt;=540,"A",AA451&gt;=480,"B",AA451&gt;=420,"C",AA451&gt;=360,"D",TRUE,"F")</f>
        <v>F</v>
      </c>
      <c r="BJ451" t="str" cm="1">
        <f t="array" ref="BJ451">_xlfn.IFS(AU451&lt;0,"Separated",AU451&lt;=90,"High Risk",AU451&lt;=180,"Medium Risk",TRUE,"Retained")</f>
        <v>Separated</v>
      </c>
      <c r="BK451" t="str" cm="1">
        <f t="array" ref="BK451">_xlfn.IFS(V451=0,"No Combat",V451=1,"1 Tour",V451=2,"2 Tours",TRUE,"3+ Tours")</f>
        <v>1 Tour</v>
      </c>
      <c r="BL451" t="str">
        <f t="shared" ref="BL451:BL501" si="35">IF(AND(AA451&gt;=500,AG451&gt;=35,AQ451="Outstanding"),"High Performer","Standard")</f>
        <v>Standard</v>
      </c>
      <c r="BM451" t="str">
        <f t="shared" ref="BM451:BM501" si="36">IF(AND(OR(G451="SGT",G451="SSG",G451="SFC"),AQ451="Outstanding"),"Promotion Ready","Not Ready")</f>
        <v>Not Ready</v>
      </c>
      <c r="BN451" s="3">
        <f t="shared" ref="BN451:BN501" si="37">AA451/Z451</f>
        <v>6.7804220925011233E-2</v>
      </c>
      <c r="BO451">
        <f t="shared" ref="BO451:BO501" si="38">(AA451+0.4)+(AG451*10*0.2)+(IF(AK451="YES",100,0)*0.1)+(IF(AL451="YES",100,0)*0.1)+(IF(AM451="YES",100,0)*0.2)</f>
        <v>354.4</v>
      </c>
    </row>
    <row r="452" spans="1:67" x14ac:dyDescent="0.25">
      <c r="A452" t="s">
        <v>739</v>
      </c>
      <c r="B452" t="s">
        <v>251</v>
      </c>
      <c r="C452" t="s">
        <v>50</v>
      </c>
      <c r="D452" t="s">
        <v>51</v>
      </c>
      <c r="E452">
        <v>26</v>
      </c>
      <c r="F452" t="s">
        <v>325</v>
      </c>
      <c r="G452" t="s">
        <v>234</v>
      </c>
      <c r="H452" t="s">
        <v>235</v>
      </c>
      <c r="I452" t="s">
        <v>217</v>
      </c>
      <c r="J452" t="s">
        <v>218</v>
      </c>
      <c r="K452" t="s">
        <v>146</v>
      </c>
      <c r="L452" t="s">
        <v>126</v>
      </c>
      <c r="M452" t="s">
        <v>107</v>
      </c>
      <c r="N452" t="s">
        <v>162</v>
      </c>
      <c r="O452" t="s">
        <v>109</v>
      </c>
      <c r="P452" s="1">
        <v>41534</v>
      </c>
      <c r="Q452">
        <v>10.7</v>
      </c>
      <c r="R452" t="s">
        <v>129</v>
      </c>
      <c r="S452" t="s">
        <v>163</v>
      </c>
      <c r="T452" t="s">
        <v>164</v>
      </c>
      <c r="U452">
        <v>8</v>
      </c>
      <c r="V452">
        <v>1</v>
      </c>
      <c r="W452" s="2">
        <v>1917</v>
      </c>
      <c r="X452" s="2">
        <v>1568</v>
      </c>
      <c r="Y452" s="2">
        <v>422</v>
      </c>
      <c r="Z452" s="2">
        <v>3907</v>
      </c>
      <c r="AA452">
        <v>507</v>
      </c>
      <c r="AB452" t="s">
        <v>65</v>
      </c>
      <c r="AC452">
        <v>15.6</v>
      </c>
      <c r="AD452">
        <v>52</v>
      </c>
      <c r="AE452">
        <v>80</v>
      </c>
      <c r="AF452" t="s">
        <v>132</v>
      </c>
      <c r="AG452">
        <v>38</v>
      </c>
      <c r="AH452" t="s">
        <v>94</v>
      </c>
      <c r="AI452" t="s">
        <v>95</v>
      </c>
      <c r="AJ452" t="s">
        <v>96</v>
      </c>
      <c r="AK452" t="s">
        <v>70</v>
      </c>
      <c r="AL452" t="s">
        <v>70</v>
      </c>
      <c r="AM452" t="s">
        <v>70</v>
      </c>
      <c r="AN452" t="s">
        <v>243</v>
      </c>
      <c r="AO452" t="s">
        <v>221</v>
      </c>
      <c r="AP452" t="s">
        <v>72</v>
      </c>
      <c r="AQ452" t="s">
        <v>117</v>
      </c>
      <c r="AR452" s="1">
        <v>45443</v>
      </c>
      <c r="AS452" t="s">
        <v>137</v>
      </c>
      <c r="AT452" t="s">
        <v>71</v>
      </c>
      <c r="AU452">
        <v>-36</v>
      </c>
      <c r="AV452" t="s">
        <v>179</v>
      </c>
      <c r="AW452" s="3">
        <v>46884</v>
      </c>
      <c r="AX452" t="s">
        <v>805</v>
      </c>
      <c r="AY452" t="s">
        <v>806</v>
      </c>
      <c r="AZ452" t="s">
        <v>810</v>
      </c>
      <c r="BA452" t="s">
        <v>807</v>
      </c>
      <c r="BB452" t="s">
        <v>801</v>
      </c>
      <c r="BC452" t="s">
        <v>802</v>
      </c>
      <c r="BD452" s="3">
        <v>0.12976708471973381</v>
      </c>
      <c r="BE452">
        <v>583.4</v>
      </c>
      <c r="BG452" s="2">
        <f t="shared" si="34"/>
        <v>46884</v>
      </c>
      <c r="BH452" t="str" cm="1">
        <f t="array" ref="BH452">_xlfn.IFS(Q452&lt;5,"0-5 Years",Q452&lt;10,"5-10 Years",Q452&lt;15,"10-15 Years",TRUE,"15+ Years")</f>
        <v>10-15 Years</v>
      </c>
      <c r="BI452" t="str" cm="1">
        <f t="array" ref="BI452">_xlfn.IFS(AA452&gt;=540,"A",AA452&gt;=480,"B",AA452&gt;=420,"C",AA452&gt;=360,"D",TRUE,"F")</f>
        <v>B</v>
      </c>
      <c r="BJ452" t="str" cm="1">
        <f t="array" ref="BJ452">_xlfn.IFS(AU452&lt;0,"Separated",AU452&lt;=90,"High Risk",AU452&lt;=180,"Medium Risk",TRUE,"Retained")</f>
        <v>Separated</v>
      </c>
      <c r="BK452" t="str" cm="1">
        <f t="array" ref="BK452">_xlfn.IFS(V452=0,"No Combat",V452=1,"1 Tour",V452=2,"2 Tours",TRUE,"3+ Tours")</f>
        <v>1 Tour</v>
      </c>
      <c r="BL452" t="str">
        <f t="shared" si="35"/>
        <v>Standard</v>
      </c>
      <c r="BM452" t="str">
        <f t="shared" si="36"/>
        <v>Not Ready</v>
      </c>
      <c r="BN452" s="3">
        <f t="shared" si="37"/>
        <v>0.12976708471973381</v>
      </c>
      <c r="BO452">
        <f t="shared" si="38"/>
        <v>583.4</v>
      </c>
    </row>
    <row r="453" spans="1:67" x14ac:dyDescent="0.25">
      <c r="A453" t="s">
        <v>740</v>
      </c>
      <c r="B453" t="s">
        <v>277</v>
      </c>
      <c r="C453" t="s">
        <v>233</v>
      </c>
      <c r="D453" t="s">
        <v>51</v>
      </c>
      <c r="E453">
        <v>19</v>
      </c>
      <c r="F453" t="s">
        <v>192</v>
      </c>
      <c r="G453" t="s">
        <v>53</v>
      </c>
      <c r="H453" t="s">
        <v>54</v>
      </c>
      <c r="I453" t="s">
        <v>171</v>
      </c>
      <c r="J453" t="s">
        <v>172</v>
      </c>
      <c r="K453" t="s">
        <v>173</v>
      </c>
      <c r="L453" t="s">
        <v>58</v>
      </c>
      <c r="M453" t="s">
        <v>161</v>
      </c>
      <c r="N453" t="s">
        <v>60</v>
      </c>
      <c r="O453" t="s">
        <v>149</v>
      </c>
      <c r="P453" s="1">
        <v>43038</v>
      </c>
      <c r="Q453">
        <v>6.6</v>
      </c>
      <c r="R453" t="s">
        <v>129</v>
      </c>
      <c r="S453" t="s">
        <v>196</v>
      </c>
      <c r="T453" t="s">
        <v>197</v>
      </c>
      <c r="U453">
        <v>0</v>
      </c>
      <c r="V453">
        <v>0</v>
      </c>
      <c r="W453" s="2">
        <v>4739</v>
      </c>
      <c r="X453" s="2">
        <v>0</v>
      </c>
      <c r="Y453" s="2">
        <v>422</v>
      </c>
      <c r="Z453" s="2">
        <v>5161</v>
      </c>
      <c r="AA453">
        <v>296</v>
      </c>
      <c r="AB453" t="s">
        <v>151</v>
      </c>
      <c r="AC453">
        <v>19.8</v>
      </c>
      <c r="AD453">
        <v>20</v>
      </c>
      <c r="AE453">
        <v>76</v>
      </c>
      <c r="AF453" t="s">
        <v>112</v>
      </c>
      <c r="AG453">
        <v>35</v>
      </c>
      <c r="AH453" t="s">
        <v>67</v>
      </c>
      <c r="AI453" t="s">
        <v>114</v>
      </c>
      <c r="AJ453" t="s">
        <v>96</v>
      </c>
      <c r="AK453" t="s">
        <v>71</v>
      </c>
      <c r="AL453" t="s">
        <v>70</v>
      </c>
      <c r="AM453" t="s">
        <v>71</v>
      </c>
      <c r="AN453" t="s">
        <v>72</v>
      </c>
      <c r="AO453" t="s">
        <v>97</v>
      </c>
      <c r="AP453" t="s">
        <v>72</v>
      </c>
      <c r="AQ453" t="s">
        <v>74</v>
      </c>
      <c r="AR453" s="1">
        <v>43111</v>
      </c>
      <c r="AS453" t="s">
        <v>137</v>
      </c>
      <c r="AT453" t="s">
        <v>71</v>
      </c>
      <c r="AU453">
        <v>-485</v>
      </c>
      <c r="AV453" t="s">
        <v>179</v>
      </c>
      <c r="AW453" s="3">
        <v>61932</v>
      </c>
      <c r="AX453" t="s">
        <v>808</v>
      </c>
      <c r="AY453" t="s">
        <v>122</v>
      </c>
      <c r="AZ453" t="s">
        <v>810</v>
      </c>
      <c r="BA453" t="s">
        <v>800</v>
      </c>
      <c r="BB453" t="s">
        <v>801</v>
      </c>
      <c r="BC453" t="s">
        <v>802</v>
      </c>
      <c r="BD453" s="3">
        <v>5.7353226118969189E-2</v>
      </c>
      <c r="BE453">
        <v>396.4</v>
      </c>
      <c r="BG453" s="2">
        <f t="shared" si="34"/>
        <v>61932</v>
      </c>
      <c r="BH453" t="str" cm="1">
        <f t="array" ref="BH453">_xlfn.IFS(Q453&lt;5,"0-5 Years",Q453&lt;10,"5-10 Years",Q453&lt;15,"10-15 Years",TRUE,"15+ Years")</f>
        <v>5-10 Years</v>
      </c>
      <c r="BI453" t="str" cm="1">
        <f t="array" ref="BI453">_xlfn.IFS(AA453&gt;=540,"A",AA453&gt;=480,"B",AA453&gt;=420,"C",AA453&gt;=360,"D",TRUE,"F")</f>
        <v>F</v>
      </c>
      <c r="BJ453" t="str" cm="1">
        <f t="array" ref="BJ453">_xlfn.IFS(AU453&lt;0,"Separated",AU453&lt;=90,"High Risk",AU453&lt;=180,"Medium Risk",TRUE,"Retained")</f>
        <v>Separated</v>
      </c>
      <c r="BK453" t="str" cm="1">
        <f t="array" ref="BK453">_xlfn.IFS(V453=0,"No Combat",V453=1,"1 Tour",V453=2,"2 Tours",TRUE,"3+ Tours")</f>
        <v>No Combat</v>
      </c>
      <c r="BL453" t="str">
        <f t="shared" si="35"/>
        <v>Standard</v>
      </c>
      <c r="BM453" t="str">
        <f t="shared" si="36"/>
        <v>Not Ready</v>
      </c>
      <c r="BN453" s="3">
        <f t="shared" si="37"/>
        <v>5.7353226118969189E-2</v>
      </c>
      <c r="BO453">
        <f t="shared" si="38"/>
        <v>396.4</v>
      </c>
    </row>
    <row r="454" spans="1:67" x14ac:dyDescent="0.25">
      <c r="A454" t="s">
        <v>741</v>
      </c>
      <c r="B454" t="s">
        <v>210</v>
      </c>
      <c r="C454" t="s">
        <v>394</v>
      </c>
      <c r="D454" t="s">
        <v>122</v>
      </c>
      <c r="E454">
        <v>24</v>
      </c>
      <c r="F454" t="s">
        <v>80</v>
      </c>
      <c r="G454" t="s">
        <v>53</v>
      </c>
      <c r="H454" t="s">
        <v>54</v>
      </c>
      <c r="I454" t="s">
        <v>55</v>
      </c>
      <c r="J454" t="s">
        <v>56</v>
      </c>
      <c r="K454" t="s">
        <v>57</v>
      </c>
      <c r="L454" t="s">
        <v>174</v>
      </c>
      <c r="M454" t="s">
        <v>59</v>
      </c>
      <c r="N454" t="s">
        <v>60</v>
      </c>
      <c r="O454" t="s">
        <v>109</v>
      </c>
      <c r="P454" s="1">
        <v>40977</v>
      </c>
      <c r="Q454">
        <v>12.2</v>
      </c>
      <c r="R454" t="s">
        <v>75</v>
      </c>
      <c r="S454" t="s">
        <v>219</v>
      </c>
      <c r="T454" t="s">
        <v>220</v>
      </c>
      <c r="U454">
        <v>0</v>
      </c>
      <c r="V454">
        <v>0</v>
      </c>
      <c r="W454" s="2">
        <v>4739</v>
      </c>
      <c r="X454" s="2">
        <v>0</v>
      </c>
      <c r="Y454" s="2">
        <v>422</v>
      </c>
      <c r="Z454" s="2">
        <v>5161</v>
      </c>
      <c r="AA454">
        <v>543</v>
      </c>
      <c r="AB454" t="s">
        <v>65</v>
      </c>
      <c r="AC454">
        <v>16.5</v>
      </c>
      <c r="AD454">
        <v>32</v>
      </c>
      <c r="AE454">
        <v>75</v>
      </c>
      <c r="AF454" t="s">
        <v>93</v>
      </c>
      <c r="AG454">
        <v>31</v>
      </c>
      <c r="AH454" t="s">
        <v>67</v>
      </c>
      <c r="AI454" t="s">
        <v>114</v>
      </c>
      <c r="AJ454" t="s">
        <v>188</v>
      </c>
      <c r="AK454" t="s">
        <v>71</v>
      </c>
      <c r="AL454" t="s">
        <v>71</v>
      </c>
      <c r="AM454" t="s">
        <v>70</v>
      </c>
      <c r="AN454" t="s">
        <v>133</v>
      </c>
      <c r="AO454" t="s">
        <v>134</v>
      </c>
      <c r="AP454" t="s">
        <v>116</v>
      </c>
      <c r="AQ454" t="s">
        <v>136</v>
      </c>
      <c r="AR454" s="1">
        <v>41529</v>
      </c>
      <c r="AS454" t="s">
        <v>118</v>
      </c>
      <c r="AT454" t="s">
        <v>71</v>
      </c>
      <c r="AU454">
        <v>270</v>
      </c>
      <c r="AV454" t="s">
        <v>76</v>
      </c>
      <c r="AW454" s="3">
        <v>61932</v>
      </c>
      <c r="AX454" t="s">
        <v>805</v>
      </c>
      <c r="AY454" t="s">
        <v>799</v>
      </c>
      <c r="AZ454" t="s">
        <v>76</v>
      </c>
      <c r="BA454" t="s">
        <v>800</v>
      </c>
      <c r="BB454" t="s">
        <v>801</v>
      </c>
      <c r="BC454" t="s">
        <v>802</v>
      </c>
      <c r="BD454" s="3">
        <v>0.10521216818446037</v>
      </c>
      <c r="BE454">
        <v>625.4</v>
      </c>
      <c r="BG454" s="2">
        <f t="shared" si="34"/>
        <v>61932</v>
      </c>
      <c r="BH454" t="str" cm="1">
        <f t="array" ref="BH454">_xlfn.IFS(Q454&lt;5,"0-5 Years",Q454&lt;10,"5-10 Years",Q454&lt;15,"10-15 Years",TRUE,"15+ Years")</f>
        <v>10-15 Years</v>
      </c>
      <c r="BI454" t="str" cm="1">
        <f t="array" ref="BI454">_xlfn.IFS(AA454&gt;=540,"A",AA454&gt;=480,"B",AA454&gt;=420,"C",AA454&gt;=360,"D",TRUE,"F")</f>
        <v>A</v>
      </c>
      <c r="BJ454" t="str" cm="1">
        <f t="array" ref="BJ454">_xlfn.IFS(AU454&lt;0,"Separated",AU454&lt;=90,"High Risk",AU454&lt;=180,"Medium Risk",TRUE,"Retained")</f>
        <v>Retained</v>
      </c>
      <c r="BK454" t="str" cm="1">
        <f t="array" ref="BK454">_xlfn.IFS(V454=0,"No Combat",V454=1,"1 Tour",V454=2,"2 Tours",TRUE,"3+ Tours")</f>
        <v>No Combat</v>
      </c>
      <c r="BL454" t="str">
        <f t="shared" si="35"/>
        <v>Standard</v>
      </c>
      <c r="BM454" t="str">
        <f t="shared" si="36"/>
        <v>Not Ready</v>
      </c>
      <c r="BN454" s="3">
        <f t="shared" si="37"/>
        <v>0.10521216818446037</v>
      </c>
      <c r="BO454">
        <f t="shared" si="38"/>
        <v>625.4</v>
      </c>
    </row>
    <row r="455" spans="1:67" x14ac:dyDescent="0.25">
      <c r="A455" t="s">
        <v>742</v>
      </c>
      <c r="B455" t="s">
        <v>120</v>
      </c>
      <c r="C455" t="s">
        <v>360</v>
      </c>
      <c r="D455" t="s">
        <v>51</v>
      </c>
      <c r="E455">
        <v>41</v>
      </c>
      <c r="F455" t="s">
        <v>214</v>
      </c>
      <c r="G455" t="s">
        <v>101</v>
      </c>
      <c r="H455" t="s">
        <v>102</v>
      </c>
      <c r="I455" t="s">
        <v>253</v>
      </c>
      <c r="J455" t="s">
        <v>254</v>
      </c>
      <c r="K455" t="s">
        <v>255</v>
      </c>
      <c r="L455" t="s">
        <v>106</v>
      </c>
      <c r="M455" t="s">
        <v>87</v>
      </c>
      <c r="N455" t="s">
        <v>88</v>
      </c>
      <c r="O455" t="s">
        <v>61</v>
      </c>
      <c r="P455" s="1">
        <v>41730</v>
      </c>
      <c r="Q455">
        <v>10.199999999999999</v>
      </c>
      <c r="R455" t="s">
        <v>150</v>
      </c>
      <c r="S455" t="s">
        <v>63</v>
      </c>
      <c r="T455" t="s">
        <v>64</v>
      </c>
      <c r="U455">
        <v>0</v>
      </c>
      <c r="V455">
        <v>0</v>
      </c>
      <c r="W455" s="2">
        <v>2980</v>
      </c>
      <c r="X455" s="2">
        <v>2111</v>
      </c>
      <c r="Y455" s="2">
        <v>422</v>
      </c>
      <c r="Z455" s="2">
        <v>5513</v>
      </c>
      <c r="AA455">
        <v>413</v>
      </c>
      <c r="AB455" t="s">
        <v>65</v>
      </c>
      <c r="AC455">
        <v>14.4</v>
      </c>
      <c r="AD455">
        <v>36</v>
      </c>
      <c r="AE455">
        <v>52</v>
      </c>
      <c r="AF455" t="s">
        <v>66</v>
      </c>
      <c r="AG455">
        <v>36</v>
      </c>
      <c r="AH455" t="s">
        <v>94</v>
      </c>
      <c r="AI455" t="s">
        <v>152</v>
      </c>
      <c r="AJ455" t="s">
        <v>72</v>
      </c>
      <c r="AK455" t="s">
        <v>71</v>
      </c>
      <c r="AL455" t="s">
        <v>70</v>
      </c>
      <c r="AM455" t="s">
        <v>70</v>
      </c>
      <c r="AN455" t="s">
        <v>72</v>
      </c>
      <c r="AO455" t="s">
        <v>72</v>
      </c>
      <c r="AP455" t="s">
        <v>72</v>
      </c>
      <c r="AQ455" t="s">
        <v>98</v>
      </c>
      <c r="AR455" s="1">
        <v>44771</v>
      </c>
      <c r="AS455" t="s">
        <v>198</v>
      </c>
      <c r="AT455" t="s">
        <v>71</v>
      </c>
      <c r="AU455">
        <v>1326</v>
      </c>
      <c r="AV455" t="s">
        <v>76</v>
      </c>
      <c r="AW455" s="3">
        <v>66156</v>
      </c>
      <c r="AX455" t="s">
        <v>805</v>
      </c>
      <c r="AY455" t="s">
        <v>809</v>
      </c>
      <c r="AZ455" t="s">
        <v>76</v>
      </c>
      <c r="BA455" t="s">
        <v>800</v>
      </c>
      <c r="BB455" t="s">
        <v>801</v>
      </c>
      <c r="BC455" t="s">
        <v>802</v>
      </c>
      <c r="BD455" s="3">
        <v>7.4913840014511152E-2</v>
      </c>
      <c r="BE455">
        <v>495.4</v>
      </c>
      <c r="BG455" s="2">
        <f t="shared" si="34"/>
        <v>66156</v>
      </c>
      <c r="BH455" t="str" cm="1">
        <f t="array" ref="BH455">_xlfn.IFS(Q455&lt;5,"0-5 Years",Q455&lt;10,"5-10 Years",Q455&lt;15,"10-15 Years",TRUE,"15+ Years")</f>
        <v>10-15 Years</v>
      </c>
      <c r="BI455" t="str" cm="1">
        <f t="array" ref="BI455">_xlfn.IFS(AA455&gt;=540,"A",AA455&gt;=480,"B",AA455&gt;=420,"C",AA455&gt;=360,"D",TRUE,"F")</f>
        <v>D</v>
      </c>
      <c r="BJ455" t="str" cm="1">
        <f t="array" ref="BJ455">_xlfn.IFS(AU455&lt;0,"Separated",AU455&lt;=90,"High Risk",AU455&lt;=180,"Medium Risk",TRUE,"Retained")</f>
        <v>Retained</v>
      </c>
      <c r="BK455" t="str" cm="1">
        <f t="array" ref="BK455">_xlfn.IFS(V455=0,"No Combat",V455=1,"1 Tour",V455=2,"2 Tours",TRUE,"3+ Tours")</f>
        <v>No Combat</v>
      </c>
      <c r="BL455" t="str">
        <f t="shared" si="35"/>
        <v>Standard</v>
      </c>
      <c r="BM455" t="str">
        <f t="shared" si="36"/>
        <v>Not Ready</v>
      </c>
      <c r="BN455" s="3">
        <f t="shared" si="37"/>
        <v>7.4913840014511152E-2</v>
      </c>
      <c r="BO455">
        <f t="shared" si="38"/>
        <v>495.4</v>
      </c>
    </row>
    <row r="456" spans="1:67" x14ac:dyDescent="0.25">
      <c r="A456" t="s">
        <v>743</v>
      </c>
      <c r="B456" t="s">
        <v>267</v>
      </c>
      <c r="C456" t="s">
        <v>79</v>
      </c>
      <c r="D456" t="s">
        <v>51</v>
      </c>
      <c r="E456">
        <v>31</v>
      </c>
      <c r="F456" t="s">
        <v>278</v>
      </c>
      <c r="G456" t="s">
        <v>301</v>
      </c>
      <c r="H456" t="s">
        <v>302</v>
      </c>
      <c r="I456" t="s">
        <v>260</v>
      </c>
      <c r="J456" t="s">
        <v>261</v>
      </c>
      <c r="K456" t="s">
        <v>173</v>
      </c>
      <c r="L456" t="s">
        <v>106</v>
      </c>
      <c r="M456" t="s">
        <v>87</v>
      </c>
      <c r="N456" t="s">
        <v>265</v>
      </c>
      <c r="O456" t="s">
        <v>89</v>
      </c>
      <c r="P456" s="1">
        <v>43015</v>
      </c>
      <c r="Q456">
        <v>6.7</v>
      </c>
      <c r="R456" t="s">
        <v>62</v>
      </c>
      <c r="S456" t="s">
        <v>110</v>
      </c>
      <c r="T456" t="s">
        <v>111</v>
      </c>
      <c r="U456">
        <v>10</v>
      </c>
      <c r="V456">
        <v>1</v>
      </c>
      <c r="W456" s="2">
        <v>4188</v>
      </c>
      <c r="X456" s="2">
        <v>1723</v>
      </c>
      <c r="Y456" s="2">
        <v>266</v>
      </c>
      <c r="Z456" s="2">
        <v>6177</v>
      </c>
      <c r="AA456">
        <v>545</v>
      </c>
      <c r="AB456" t="s">
        <v>65</v>
      </c>
      <c r="AC456">
        <v>18.8</v>
      </c>
      <c r="AD456">
        <v>50</v>
      </c>
      <c r="AE456">
        <v>53</v>
      </c>
      <c r="AF456" t="s">
        <v>112</v>
      </c>
      <c r="AG456">
        <v>40</v>
      </c>
      <c r="AH456" t="s">
        <v>94</v>
      </c>
      <c r="AI456" t="s">
        <v>95</v>
      </c>
      <c r="AJ456" t="s">
        <v>188</v>
      </c>
      <c r="AK456" t="s">
        <v>71</v>
      </c>
      <c r="AL456" t="s">
        <v>70</v>
      </c>
      <c r="AM456" t="s">
        <v>70</v>
      </c>
      <c r="AN456" t="s">
        <v>231</v>
      </c>
      <c r="AO456" t="s">
        <v>287</v>
      </c>
      <c r="AP456" t="s">
        <v>72</v>
      </c>
      <c r="AQ456" t="s">
        <v>98</v>
      </c>
      <c r="AR456" s="1">
        <v>44635</v>
      </c>
      <c r="AS456" t="s">
        <v>75</v>
      </c>
      <c r="AT456" t="s">
        <v>71</v>
      </c>
      <c r="AU456">
        <v>1402</v>
      </c>
      <c r="AV456" t="s">
        <v>76</v>
      </c>
      <c r="AW456" s="3">
        <v>74124</v>
      </c>
      <c r="AX456" t="s">
        <v>808</v>
      </c>
      <c r="AY456" t="s">
        <v>799</v>
      </c>
      <c r="AZ456" t="s">
        <v>76</v>
      </c>
      <c r="BA456" t="s">
        <v>807</v>
      </c>
      <c r="BB456" t="s">
        <v>801</v>
      </c>
      <c r="BC456" t="s">
        <v>802</v>
      </c>
      <c r="BD456" s="3">
        <v>8.8230532621013436E-2</v>
      </c>
      <c r="BE456">
        <v>635.4</v>
      </c>
      <c r="BG456" s="2">
        <f t="shared" si="34"/>
        <v>74124</v>
      </c>
      <c r="BH456" t="str" cm="1">
        <f t="array" ref="BH456">_xlfn.IFS(Q456&lt;5,"0-5 Years",Q456&lt;10,"5-10 Years",Q456&lt;15,"10-15 Years",TRUE,"15+ Years")</f>
        <v>5-10 Years</v>
      </c>
      <c r="BI456" t="str" cm="1">
        <f t="array" ref="BI456">_xlfn.IFS(AA456&gt;=540,"A",AA456&gt;=480,"B",AA456&gt;=420,"C",AA456&gt;=360,"D",TRUE,"F")</f>
        <v>A</v>
      </c>
      <c r="BJ456" t="str" cm="1">
        <f t="array" ref="BJ456">_xlfn.IFS(AU456&lt;0,"Separated",AU456&lt;=90,"High Risk",AU456&lt;=180,"Medium Risk",TRUE,"Retained")</f>
        <v>Retained</v>
      </c>
      <c r="BK456" t="str" cm="1">
        <f t="array" ref="BK456">_xlfn.IFS(V456=0,"No Combat",V456=1,"1 Tour",V456=2,"2 Tours",TRUE,"3+ Tours")</f>
        <v>1 Tour</v>
      </c>
      <c r="BL456" t="str">
        <f t="shared" si="35"/>
        <v>Standard</v>
      </c>
      <c r="BM456" t="str">
        <f t="shared" si="36"/>
        <v>Not Ready</v>
      </c>
      <c r="BN456" s="3">
        <f t="shared" si="37"/>
        <v>8.8230532621013436E-2</v>
      </c>
      <c r="BO456">
        <f t="shared" si="38"/>
        <v>635.4</v>
      </c>
    </row>
    <row r="457" spans="1:67" x14ac:dyDescent="0.25">
      <c r="A457" t="s">
        <v>744</v>
      </c>
      <c r="B457" t="s">
        <v>377</v>
      </c>
      <c r="C457" t="s">
        <v>334</v>
      </c>
      <c r="D457" t="s">
        <v>122</v>
      </c>
      <c r="E457">
        <v>24</v>
      </c>
      <c r="F457" t="s">
        <v>316</v>
      </c>
      <c r="G457" t="s">
        <v>156</v>
      </c>
      <c r="H457" t="s">
        <v>157</v>
      </c>
      <c r="I457" t="s">
        <v>253</v>
      </c>
      <c r="J457" t="s">
        <v>254</v>
      </c>
      <c r="K457" t="s">
        <v>255</v>
      </c>
      <c r="L457" t="s">
        <v>174</v>
      </c>
      <c r="M457" t="s">
        <v>275</v>
      </c>
      <c r="N457" t="s">
        <v>128</v>
      </c>
      <c r="O457" t="s">
        <v>176</v>
      </c>
      <c r="P457" s="1">
        <v>41477</v>
      </c>
      <c r="Q457">
        <v>10.9</v>
      </c>
      <c r="R457" t="s">
        <v>75</v>
      </c>
      <c r="S457" t="s">
        <v>196</v>
      </c>
      <c r="T457" t="s">
        <v>197</v>
      </c>
      <c r="U457">
        <v>0</v>
      </c>
      <c r="V457">
        <v>0</v>
      </c>
      <c r="W457" s="2">
        <v>4836</v>
      </c>
      <c r="X457" s="2">
        <v>0</v>
      </c>
      <c r="Y457" s="2">
        <v>266</v>
      </c>
      <c r="Z457" s="2">
        <v>5102</v>
      </c>
      <c r="AA457">
        <v>378</v>
      </c>
      <c r="AB457" t="s">
        <v>65</v>
      </c>
      <c r="AC457">
        <v>15.9</v>
      </c>
      <c r="AD457">
        <v>20</v>
      </c>
      <c r="AE457">
        <v>57</v>
      </c>
      <c r="AF457" t="s">
        <v>93</v>
      </c>
      <c r="AG457">
        <v>34</v>
      </c>
      <c r="AH457" t="s">
        <v>67</v>
      </c>
      <c r="AI457" t="s">
        <v>95</v>
      </c>
      <c r="AJ457" t="s">
        <v>69</v>
      </c>
      <c r="AK457" t="s">
        <v>70</v>
      </c>
      <c r="AL457" t="s">
        <v>70</v>
      </c>
      <c r="AM457" t="s">
        <v>70</v>
      </c>
      <c r="AN457" t="s">
        <v>72</v>
      </c>
      <c r="AO457" t="s">
        <v>178</v>
      </c>
      <c r="AP457" t="s">
        <v>72</v>
      </c>
      <c r="AQ457" t="s">
        <v>136</v>
      </c>
      <c r="AR457" s="1">
        <v>43549</v>
      </c>
      <c r="AS457" t="s">
        <v>198</v>
      </c>
      <c r="AT457" t="s">
        <v>71</v>
      </c>
      <c r="AU457">
        <v>432</v>
      </c>
      <c r="AV457" t="s">
        <v>76</v>
      </c>
      <c r="AW457" s="3">
        <v>61224</v>
      </c>
      <c r="AX457" t="s">
        <v>805</v>
      </c>
      <c r="AY457" t="s">
        <v>809</v>
      </c>
      <c r="AZ457" t="s">
        <v>76</v>
      </c>
      <c r="BA457" t="s">
        <v>800</v>
      </c>
      <c r="BB457" t="s">
        <v>801</v>
      </c>
      <c r="BC457" t="s">
        <v>802</v>
      </c>
      <c r="BD457" s="3">
        <v>7.4088592708741671E-2</v>
      </c>
      <c r="BE457">
        <v>446.4</v>
      </c>
      <c r="BG457" s="2">
        <f t="shared" si="34"/>
        <v>61224</v>
      </c>
      <c r="BH457" t="str" cm="1">
        <f t="array" ref="BH457">_xlfn.IFS(Q457&lt;5,"0-5 Years",Q457&lt;10,"5-10 Years",Q457&lt;15,"10-15 Years",TRUE,"15+ Years")</f>
        <v>10-15 Years</v>
      </c>
      <c r="BI457" t="str" cm="1">
        <f t="array" ref="BI457">_xlfn.IFS(AA457&gt;=540,"A",AA457&gt;=480,"B",AA457&gt;=420,"C",AA457&gt;=360,"D",TRUE,"F")</f>
        <v>D</v>
      </c>
      <c r="BJ457" t="str" cm="1">
        <f t="array" ref="BJ457">_xlfn.IFS(AU457&lt;0,"Separated",AU457&lt;=90,"High Risk",AU457&lt;=180,"Medium Risk",TRUE,"Retained")</f>
        <v>Retained</v>
      </c>
      <c r="BK457" t="str" cm="1">
        <f t="array" ref="BK457">_xlfn.IFS(V457=0,"No Combat",V457=1,"1 Tour",V457=2,"2 Tours",TRUE,"3+ Tours")</f>
        <v>No Combat</v>
      </c>
      <c r="BL457" t="str">
        <f t="shared" si="35"/>
        <v>Standard</v>
      </c>
      <c r="BM457" t="str">
        <f t="shared" si="36"/>
        <v>Not Ready</v>
      </c>
      <c r="BN457" s="3">
        <f t="shared" si="37"/>
        <v>7.4088592708741671E-2</v>
      </c>
      <c r="BO457">
        <f t="shared" si="38"/>
        <v>446.4</v>
      </c>
    </row>
    <row r="458" spans="1:67" x14ac:dyDescent="0.25">
      <c r="A458" t="s">
        <v>745</v>
      </c>
      <c r="B458" t="s">
        <v>100</v>
      </c>
      <c r="C458" t="s">
        <v>167</v>
      </c>
      <c r="D458" t="s">
        <v>51</v>
      </c>
      <c r="E458">
        <v>39</v>
      </c>
      <c r="F458" t="s">
        <v>305</v>
      </c>
      <c r="G458" t="s">
        <v>285</v>
      </c>
      <c r="H458" t="s">
        <v>286</v>
      </c>
      <c r="I458" t="s">
        <v>253</v>
      </c>
      <c r="J458" t="s">
        <v>254</v>
      </c>
      <c r="K458" t="s">
        <v>255</v>
      </c>
      <c r="L458" t="s">
        <v>126</v>
      </c>
      <c r="M458" t="s">
        <v>275</v>
      </c>
      <c r="N458" t="s">
        <v>162</v>
      </c>
      <c r="O458" t="s">
        <v>89</v>
      </c>
      <c r="P458" s="1">
        <v>41247</v>
      </c>
      <c r="Q458">
        <v>11.5</v>
      </c>
      <c r="R458" t="s">
        <v>129</v>
      </c>
      <c r="S458" t="s">
        <v>163</v>
      </c>
      <c r="T458" t="s">
        <v>164</v>
      </c>
      <c r="U458">
        <v>2</v>
      </c>
      <c r="V458">
        <v>0</v>
      </c>
      <c r="W458" s="2">
        <v>7668</v>
      </c>
      <c r="X458" s="2">
        <v>1462</v>
      </c>
      <c r="Y458" s="2">
        <v>266</v>
      </c>
      <c r="Z458" s="2">
        <v>9396</v>
      </c>
      <c r="AA458">
        <v>555</v>
      </c>
      <c r="AB458" t="s">
        <v>65</v>
      </c>
      <c r="AC458">
        <v>17.7</v>
      </c>
      <c r="AD458">
        <v>29</v>
      </c>
      <c r="AE458">
        <v>45</v>
      </c>
      <c r="AF458" t="s">
        <v>132</v>
      </c>
      <c r="AG458">
        <v>22</v>
      </c>
      <c r="AH458" t="s">
        <v>113</v>
      </c>
      <c r="AI458" t="s">
        <v>95</v>
      </c>
      <c r="AJ458" t="s">
        <v>188</v>
      </c>
      <c r="AK458" t="s">
        <v>70</v>
      </c>
      <c r="AL458" t="s">
        <v>70</v>
      </c>
      <c r="AM458" t="s">
        <v>70</v>
      </c>
      <c r="AN458" t="s">
        <v>115</v>
      </c>
      <c r="AO458" t="s">
        <v>227</v>
      </c>
      <c r="AP458" t="s">
        <v>72</v>
      </c>
      <c r="AQ458" t="s">
        <v>117</v>
      </c>
      <c r="AR458" s="1">
        <v>43218</v>
      </c>
      <c r="AS458" t="s">
        <v>137</v>
      </c>
      <c r="AT458" t="s">
        <v>71</v>
      </c>
      <c r="AU458">
        <v>897</v>
      </c>
      <c r="AV458" t="s">
        <v>76</v>
      </c>
      <c r="AW458" s="3">
        <v>112752</v>
      </c>
      <c r="AX458" t="s">
        <v>805</v>
      </c>
      <c r="AY458" t="s">
        <v>799</v>
      </c>
      <c r="AZ458" t="s">
        <v>76</v>
      </c>
      <c r="BA458" t="s">
        <v>800</v>
      </c>
      <c r="BB458" t="s">
        <v>801</v>
      </c>
      <c r="BC458" t="s">
        <v>802</v>
      </c>
      <c r="BD458" s="3">
        <v>5.9067688378033209E-2</v>
      </c>
      <c r="BE458">
        <v>599.4</v>
      </c>
      <c r="BG458" s="2">
        <f t="shared" si="34"/>
        <v>112752</v>
      </c>
      <c r="BH458" t="str" cm="1">
        <f t="array" ref="BH458">_xlfn.IFS(Q458&lt;5,"0-5 Years",Q458&lt;10,"5-10 Years",Q458&lt;15,"10-15 Years",TRUE,"15+ Years")</f>
        <v>10-15 Years</v>
      </c>
      <c r="BI458" t="str" cm="1">
        <f t="array" ref="BI458">_xlfn.IFS(AA458&gt;=540,"A",AA458&gt;=480,"B",AA458&gt;=420,"C",AA458&gt;=360,"D",TRUE,"F")</f>
        <v>A</v>
      </c>
      <c r="BJ458" t="str" cm="1">
        <f t="array" ref="BJ458">_xlfn.IFS(AU458&lt;0,"Separated",AU458&lt;=90,"High Risk",AU458&lt;=180,"Medium Risk",TRUE,"Retained")</f>
        <v>Retained</v>
      </c>
      <c r="BK458" t="str" cm="1">
        <f t="array" ref="BK458">_xlfn.IFS(V458=0,"No Combat",V458=1,"1 Tour",V458=2,"2 Tours",TRUE,"3+ Tours")</f>
        <v>No Combat</v>
      </c>
      <c r="BL458" t="str">
        <f t="shared" si="35"/>
        <v>Standard</v>
      </c>
      <c r="BM458" t="str">
        <f t="shared" si="36"/>
        <v>Not Ready</v>
      </c>
      <c r="BN458" s="3">
        <f t="shared" si="37"/>
        <v>5.9067688378033209E-2</v>
      </c>
      <c r="BO458">
        <f t="shared" si="38"/>
        <v>599.4</v>
      </c>
    </row>
    <row r="459" spans="1:67" x14ac:dyDescent="0.25">
      <c r="A459" t="s">
        <v>746</v>
      </c>
      <c r="B459" t="s">
        <v>282</v>
      </c>
      <c r="C459" t="s">
        <v>233</v>
      </c>
      <c r="D459" t="s">
        <v>51</v>
      </c>
      <c r="E459">
        <v>37</v>
      </c>
      <c r="F459" t="s">
        <v>322</v>
      </c>
      <c r="G459" t="s">
        <v>285</v>
      </c>
      <c r="H459" t="s">
        <v>286</v>
      </c>
      <c r="I459" t="s">
        <v>171</v>
      </c>
      <c r="J459" t="s">
        <v>172</v>
      </c>
      <c r="K459" t="s">
        <v>173</v>
      </c>
      <c r="L459" t="s">
        <v>174</v>
      </c>
      <c r="M459" t="s">
        <v>249</v>
      </c>
      <c r="N459" t="s">
        <v>88</v>
      </c>
      <c r="O459" t="s">
        <v>109</v>
      </c>
      <c r="P459" s="1">
        <v>40369</v>
      </c>
      <c r="Q459">
        <v>13.9</v>
      </c>
      <c r="R459" t="s">
        <v>62</v>
      </c>
      <c r="S459" t="s">
        <v>130</v>
      </c>
      <c r="T459" t="s">
        <v>131</v>
      </c>
      <c r="U459">
        <v>10</v>
      </c>
      <c r="V459">
        <v>1</v>
      </c>
      <c r="W459" s="2">
        <v>7668</v>
      </c>
      <c r="X459" s="2">
        <v>1278</v>
      </c>
      <c r="Y459" s="2">
        <v>266</v>
      </c>
      <c r="Z459" s="2">
        <v>9212</v>
      </c>
      <c r="AA459">
        <v>433</v>
      </c>
      <c r="AB459" t="s">
        <v>65</v>
      </c>
      <c r="AC459">
        <v>17.899999999999999</v>
      </c>
      <c r="AD459">
        <v>77</v>
      </c>
      <c r="AE459">
        <v>60</v>
      </c>
      <c r="AF459" t="s">
        <v>112</v>
      </c>
      <c r="AG459">
        <v>34</v>
      </c>
      <c r="AH459" t="s">
        <v>67</v>
      </c>
      <c r="AI459" t="s">
        <v>114</v>
      </c>
      <c r="AJ459" t="s">
        <v>96</v>
      </c>
      <c r="AK459" t="s">
        <v>70</v>
      </c>
      <c r="AL459" t="s">
        <v>70</v>
      </c>
      <c r="AM459" t="s">
        <v>70</v>
      </c>
      <c r="AN459" t="s">
        <v>270</v>
      </c>
      <c r="AO459" t="s">
        <v>72</v>
      </c>
      <c r="AP459" t="s">
        <v>72</v>
      </c>
      <c r="AQ459" t="s">
        <v>98</v>
      </c>
      <c r="AR459" s="1">
        <v>42746</v>
      </c>
      <c r="AS459" t="s">
        <v>198</v>
      </c>
      <c r="AT459" t="s">
        <v>71</v>
      </c>
      <c r="AU459">
        <v>1592</v>
      </c>
      <c r="AV459" t="s">
        <v>76</v>
      </c>
      <c r="AW459" s="3">
        <v>110544</v>
      </c>
      <c r="AX459" t="s">
        <v>805</v>
      </c>
      <c r="AY459" t="s">
        <v>804</v>
      </c>
      <c r="AZ459" t="s">
        <v>76</v>
      </c>
      <c r="BA459" t="s">
        <v>807</v>
      </c>
      <c r="BB459" t="s">
        <v>801</v>
      </c>
      <c r="BC459" t="s">
        <v>802</v>
      </c>
      <c r="BD459" s="3">
        <v>4.7003907946157185E-2</v>
      </c>
      <c r="BE459">
        <v>501.4</v>
      </c>
      <c r="BG459" s="2">
        <f t="shared" si="34"/>
        <v>110544</v>
      </c>
      <c r="BH459" t="str" cm="1">
        <f t="array" ref="BH459">_xlfn.IFS(Q459&lt;5,"0-5 Years",Q459&lt;10,"5-10 Years",Q459&lt;15,"10-15 Years",TRUE,"15+ Years")</f>
        <v>10-15 Years</v>
      </c>
      <c r="BI459" t="str" cm="1">
        <f t="array" ref="BI459">_xlfn.IFS(AA459&gt;=540,"A",AA459&gt;=480,"B",AA459&gt;=420,"C",AA459&gt;=360,"D",TRUE,"F")</f>
        <v>C</v>
      </c>
      <c r="BJ459" t="str" cm="1">
        <f t="array" ref="BJ459">_xlfn.IFS(AU459&lt;0,"Separated",AU459&lt;=90,"High Risk",AU459&lt;=180,"Medium Risk",TRUE,"Retained")</f>
        <v>Retained</v>
      </c>
      <c r="BK459" t="str" cm="1">
        <f t="array" ref="BK459">_xlfn.IFS(V459=0,"No Combat",V459=1,"1 Tour",V459=2,"2 Tours",TRUE,"3+ Tours")</f>
        <v>1 Tour</v>
      </c>
      <c r="BL459" t="str">
        <f t="shared" si="35"/>
        <v>Standard</v>
      </c>
      <c r="BM459" t="str">
        <f t="shared" si="36"/>
        <v>Not Ready</v>
      </c>
      <c r="BN459" s="3">
        <f t="shared" si="37"/>
        <v>4.7003907946157185E-2</v>
      </c>
      <c r="BO459">
        <f t="shared" si="38"/>
        <v>501.4</v>
      </c>
    </row>
    <row r="460" spans="1:67" x14ac:dyDescent="0.25">
      <c r="A460" t="s">
        <v>747</v>
      </c>
      <c r="B460" t="s">
        <v>377</v>
      </c>
      <c r="C460" t="s">
        <v>375</v>
      </c>
      <c r="D460" t="s">
        <v>51</v>
      </c>
      <c r="E460">
        <v>33</v>
      </c>
      <c r="F460" t="s">
        <v>168</v>
      </c>
      <c r="G460" t="s">
        <v>215</v>
      </c>
      <c r="H460" t="s">
        <v>216</v>
      </c>
      <c r="I460" t="s">
        <v>171</v>
      </c>
      <c r="J460" t="s">
        <v>172</v>
      </c>
      <c r="K460" t="s">
        <v>173</v>
      </c>
      <c r="L460" t="s">
        <v>201</v>
      </c>
      <c r="M460" t="s">
        <v>249</v>
      </c>
      <c r="N460" t="s">
        <v>162</v>
      </c>
      <c r="O460" t="s">
        <v>61</v>
      </c>
      <c r="P460" s="1">
        <v>44315</v>
      </c>
      <c r="Q460">
        <v>3.1</v>
      </c>
      <c r="R460" t="s">
        <v>62</v>
      </c>
      <c r="S460" t="s">
        <v>110</v>
      </c>
      <c r="T460" t="s">
        <v>111</v>
      </c>
      <c r="U460">
        <v>2</v>
      </c>
      <c r="V460">
        <v>0</v>
      </c>
      <c r="W460" s="2">
        <v>3637</v>
      </c>
      <c r="X460" s="2">
        <v>1720</v>
      </c>
      <c r="Y460" s="2">
        <v>266</v>
      </c>
      <c r="Z460" s="2">
        <v>5623</v>
      </c>
      <c r="AA460">
        <v>431</v>
      </c>
      <c r="AB460" t="s">
        <v>65</v>
      </c>
      <c r="AC460">
        <v>19.100000000000001</v>
      </c>
      <c r="AD460">
        <v>70</v>
      </c>
      <c r="AE460">
        <v>79</v>
      </c>
      <c r="AF460" t="s">
        <v>93</v>
      </c>
      <c r="AG460">
        <v>27</v>
      </c>
      <c r="AH460" t="s">
        <v>113</v>
      </c>
      <c r="AI460" t="s">
        <v>114</v>
      </c>
      <c r="AJ460" t="s">
        <v>72</v>
      </c>
      <c r="AK460" t="s">
        <v>70</v>
      </c>
      <c r="AL460" t="s">
        <v>70</v>
      </c>
      <c r="AM460" t="s">
        <v>70</v>
      </c>
      <c r="AN460" t="s">
        <v>231</v>
      </c>
      <c r="AO460" t="s">
        <v>72</v>
      </c>
      <c r="AP460" t="s">
        <v>72</v>
      </c>
      <c r="AQ460" t="s">
        <v>98</v>
      </c>
      <c r="AR460" s="1">
        <v>44840</v>
      </c>
      <c r="AS460" t="s">
        <v>75</v>
      </c>
      <c r="AT460" t="s">
        <v>71</v>
      </c>
      <c r="AU460">
        <v>1696</v>
      </c>
      <c r="AV460" t="s">
        <v>76</v>
      </c>
      <c r="AW460" s="3">
        <v>67476</v>
      </c>
      <c r="AX460" t="s">
        <v>803</v>
      </c>
      <c r="AY460" t="s">
        <v>804</v>
      </c>
      <c r="AZ460" t="s">
        <v>76</v>
      </c>
      <c r="BA460" t="s">
        <v>800</v>
      </c>
      <c r="BB460" t="s">
        <v>801</v>
      </c>
      <c r="BC460" t="s">
        <v>802</v>
      </c>
      <c r="BD460" s="3">
        <v>7.6649475369020101E-2</v>
      </c>
      <c r="BE460">
        <v>485.4</v>
      </c>
      <c r="BG460" s="2">
        <f t="shared" si="34"/>
        <v>67476</v>
      </c>
      <c r="BH460" t="str" cm="1">
        <f t="array" ref="BH460">_xlfn.IFS(Q460&lt;5,"0-5 Years",Q460&lt;10,"5-10 Years",Q460&lt;15,"10-15 Years",TRUE,"15+ Years")</f>
        <v>0-5 Years</v>
      </c>
      <c r="BI460" t="str" cm="1">
        <f t="array" ref="BI460">_xlfn.IFS(AA460&gt;=540,"A",AA460&gt;=480,"B",AA460&gt;=420,"C",AA460&gt;=360,"D",TRUE,"F")</f>
        <v>C</v>
      </c>
      <c r="BJ460" t="str" cm="1">
        <f t="array" ref="BJ460">_xlfn.IFS(AU460&lt;0,"Separated",AU460&lt;=90,"High Risk",AU460&lt;=180,"Medium Risk",TRUE,"Retained")</f>
        <v>Retained</v>
      </c>
      <c r="BK460" t="str" cm="1">
        <f t="array" ref="BK460">_xlfn.IFS(V460=0,"No Combat",V460=1,"1 Tour",V460=2,"2 Tours",TRUE,"3+ Tours")</f>
        <v>No Combat</v>
      </c>
      <c r="BL460" t="str">
        <f t="shared" si="35"/>
        <v>Standard</v>
      </c>
      <c r="BM460" t="str">
        <f t="shared" si="36"/>
        <v>Not Ready</v>
      </c>
      <c r="BN460" s="3">
        <f t="shared" si="37"/>
        <v>7.6649475369020101E-2</v>
      </c>
      <c r="BO460">
        <f t="shared" si="38"/>
        <v>485.4</v>
      </c>
    </row>
    <row r="461" spans="1:67" x14ac:dyDescent="0.25">
      <c r="A461" t="s">
        <v>748</v>
      </c>
      <c r="B461" t="s">
        <v>100</v>
      </c>
      <c r="C461" t="s">
        <v>155</v>
      </c>
      <c r="D461" t="s">
        <v>51</v>
      </c>
      <c r="E461">
        <v>42</v>
      </c>
      <c r="F461" t="s">
        <v>192</v>
      </c>
      <c r="G461" t="s">
        <v>81</v>
      </c>
      <c r="H461" t="s">
        <v>82</v>
      </c>
      <c r="I461" t="s">
        <v>217</v>
      </c>
      <c r="J461" t="s">
        <v>218</v>
      </c>
      <c r="K461" t="s">
        <v>146</v>
      </c>
      <c r="L461" t="s">
        <v>106</v>
      </c>
      <c r="M461" t="s">
        <v>296</v>
      </c>
      <c r="N461" t="s">
        <v>265</v>
      </c>
      <c r="O461" t="s">
        <v>149</v>
      </c>
      <c r="P461" s="1">
        <v>42641</v>
      </c>
      <c r="Q461">
        <v>7.7</v>
      </c>
      <c r="R461" t="s">
        <v>150</v>
      </c>
      <c r="S461" t="s">
        <v>196</v>
      </c>
      <c r="T461" t="s">
        <v>197</v>
      </c>
      <c r="U461">
        <v>0</v>
      </c>
      <c r="V461">
        <v>0</v>
      </c>
      <c r="W461" s="2">
        <v>2504</v>
      </c>
      <c r="X461" s="2">
        <v>1832</v>
      </c>
      <c r="Y461" s="2">
        <v>422</v>
      </c>
      <c r="Z461" s="2">
        <v>4758</v>
      </c>
      <c r="AA461">
        <v>295</v>
      </c>
      <c r="AB461" t="s">
        <v>151</v>
      </c>
      <c r="AC461">
        <v>14.6</v>
      </c>
      <c r="AD461">
        <v>44</v>
      </c>
      <c r="AE461">
        <v>57</v>
      </c>
      <c r="AF461" t="s">
        <v>112</v>
      </c>
      <c r="AG461">
        <v>24</v>
      </c>
      <c r="AH461" t="s">
        <v>113</v>
      </c>
      <c r="AI461" t="s">
        <v>95</v>
      </c>
      <c r="AJ461" t="s">
        <v>69</v>
      </c>
      <c r="AK461" t="s">
        <v>71</v>
      </c>
      <c r="AL461" t="s">
        <v>70</v>
      </c>
      <c r="AM461" t="s">
        <v>70</v>
      </c>
      <c r="AN461" t="s">
        <v>115</v>
      </c>
      <c r="AO461" t="s">
        <v>73</v>
      </c>
      <c r="AP461" t="s">
        <v>72</v>
      </c>
      <c r="AQ461" t="s">
        <v>136</v>
      </c>
      <c r="AR461" s="1">
        <v>44189</v>
      </c>
      <c r="AS461" t="s">
        <v>198</v>
      </c>
      <c r="AT461" t="s">
        <v>71</v>
      </c>
      <c r="AU461">
        <v>786</v>
      </c>
      <c r="AV461" t="s">
        <v>76</v>
      </c>
      <c r="AW461" s="3">
        <v>57096</v>
      </c>
      <c r="AX461" t="s">
        <v>808</v>
      </c>
      <c r="AY461" t="s">
        <v>122</v>
      </c>
      <c r="AZ461" t="s">
        <v>76</v>
      </c>
      <c r="BA461" t="s">
        <v>800</v>
      </c>
      <c r="BB461" t="s">
        <v>801</v>
      </c>
      <c r="BC461" t="s">
        <v>802</v>
      </c>
      <c r="BD461" s="3">
        <v>6.2000840689365282E-2</v>
      </c>
      <c r="BE461">
        <v>353.4</v>
      </c>
      <c r="BG461" s="2">
        <f t="shared" si="34"/>
        <v>57096</v>
      </c>
      <c r="BH461" t="str" cm="1">
        <f t="array" ref="BH461">_xlfn.IFS(Q461&lt;5,"0-5 Years",Q461&lt;10,"5-10 Years",Q461&lt;15,"10-15 Years",TRUE,"15+ Years")</f>
        <v>5-10 Years</v>
      </c>
      <c r="BI461" t="str" cm="1">
        <f t="array" ref="BI461">_xlfn.IFS(AA461&gt;=540,"A",AA461&gt;=480,"B",AA461&gt;=420,"C",AA461&gt;=360,"D",TRUE,"F")</f>
        <v>F</v>
      </c>
      <c r="BJ461" t="str" cm="1">
        <f t="array" ref="BJ461">_xlfn.IFS(AU461&lt;0,"Separated",AU461&lt;=90,"High Risk",AU461&lt;=180,"Medium Risk",TRUE,"Retained")</f>
        <v>Retained</v>
      </c>
      <c r="BK461" t="str" cm="1">
        <f t="array" ref="BK461">_xlfn.IFS(V461=0,"No Combat",V461=1,"1 Tour",V461=2,"2 Tours",TRUE,"3+ Tours")</f>
        <v>No Combat</v>
      </c>
      <c r="BL461" t="str">
        <f t="shared" si="35"/>
        <v>Standard</v>
      </c>
      <c r="BM461" t="str">
        <f t="shared" si="36"/>
        <v>Not Ready</v>
      </c>
      <c r="BN461" s="3">
        <f t="shared" si="37"/>
        <v>6.2000840689365282E-2</v>
      </c>
      <c r="BO461">
        <f t="shared" si="38"/>
        <v>353.4</v>
      </c>
    </row>
    <row r="462" spans="1:67" x14ac:dyDescent="0.25">
      <c r="A462" t="s">
        <v>749</v>
      </c>
      <c r="B462" t="s">
        <v>229</v>
      </c>
      <c r="C462" t="s">
        <v>272</v>
      </c>
      <c r="D462" t="s">
        <v>51</v>
      </c>
      <c r="E462">
        <v>30</v>
      </c>
      <c r="F462" t="s">
        <v>123</v>
      </c>
      <c r="G462" t="s">
        <v>242</v>
      </c>
      <c r="H462" t="s">
        <v>54</v>
      </c>
      <c r="I462" t="s">
        <v>55</v>
      </c>
      <c r="J462" t="s">
        <v>56</v>
      </c>
      <c r="K462" t="s">
        <v>57</v>
      </c>
      <c r="L462" t="s">
        <v>106</v>
      </c>
      <c r="M462" t="s">
        <v>87</v>
      </c>
      <c r="N462" t="s">
        <v>162</v>
      </c>
      <c r="O462" t="s">
        <v>176</v>
      </c>
      <c r="P462" s="1">
        <v>39687</v>
      </c>
      <c r="Q462">
        <v>15.8</v>
      </c>
      <c r="R462" t="s">
        <v>208</v>
      </c>
      <c r="S462" t="s">
        <v>63</v>
      </c>
      <c r="T462" t="s">
        <v>64</v>
      </c>
      <c r="U462">
        <v>0</v>
      </c>
      <c r="V462">
        <v>0</v>
      </c>
      <c r="W462" s="2">
        <v>4739</v>
      </c>
      <c r="X462" s="2">
        <v>1063</v>
      </c>
      <c r="Y462" s="2">
        <v>422</v>
      </c>
      <c r="Z462" s="2">
        <v>6224</v>
      </c>
      <c r="AA462">
        <v>457</v>
      </c>
      <c r="AB462" t="s">
        <v>65</v>
      </c>
      <c r="AC462">
        <v>20.6</v>
      </c>
      <c r="AD462">
        <v>27</v>
      </c>
      <c r="AE462">
        <v>33</v>
      </c>
      <c r="AF462" t="s">
        <v>132</v>
      </c>
      <c r="AG462">
        <v>27</v>
      </c>
      <c r="AH462" t="s">
        <v>113</v>
      </c>
      <c r="AI462" t="s">
        <v>68</v>
      </c>
      <c r="AJ462" t="s">
        <v>72</v>
      </c>
      <c r="AK462" t="s">
        <v>70</v>
      </c>
      <c r="AL462" t="s">
        <v>70</v>
      </c>
      <c r="AM462" t="s">
        <v>70</v>
      </c>
      <c r="AN462" t="s">
        <v>243</v>
      </c>
      <c r="AO462" t="s">
        <v>178</v>
      </c>
      <c r="AP462" t="s">
        <v>72</v>
      </c>
      <c r="AQ462" t="s">
        <v>74</v>
      </c>
      <c r="AR462" s="1">
        <v>44081</v>
      </c>
      <c r="AS462" t="s">
        <v>137</v>
      </c>
      <c r="AT462" t="s">
        <v>71</v>
      </c>
      <c r="AU462">
        <v>-339</v>
      </c>
      <c r="AV462" t="s">
        <v>179</v>
      </c>
      <c r="AW462" s="3">
        <v>74688</v>
      </c>
      <c r="AX462" t="s">
        <v>798</v>
      </c>
      <c r="AY462" t="s">
        <v>804</v>
      </c>
      <c r="AZ462" t="s">
        <v>810</v>
      </c>
      <c r="BA462" t="s">
        <v>800</v>
      </c>
      <c r="BB462" t="s">
        <v>801</v>
      </c>
      <c r="BC462" t="s">
        <v>802</v>
      </c>
      <c r="BD462" s="3">
        <v>7.3425449871465293E-2</v>
      </c>
      <c r="BE462">
        <v>511.4</v>
      </c>
      <c r="BG462" s="2">
        <f t="shared" si="34"/>
        <v>74688</v>
      </c>
      <c r="BH462" t="str" cm="1">
        <f t="array" ref="BH462">_xlfn.IFS(Q462&lt;5,"0-5 Years",Q462&lt;10,"5-10 Years",Q462&lt;15,"10-15 Years",TRUE,"15+ Years")</f>
        <v>15+ Years</v>
      </c>
      <c r="BI462" t="str" cm="1">
        <f t="array" ref="BI462">_xlfn.IFS(AA462&gt;=540,"A",AA462&gt;=480,"B",AA462&gt;=420,"C",AA462&gt;=360,"D",TRUE,"F")</f>
        <v>C</v>
      </c>
      <c r="BJ462" t="str" cm="1">
        <f t="array" ref="BJ462">_xlfn.IFS(AU462&lt;0,"Separated",AU462&lt;=90,"High Risk",AU462&lt;=180,"Medium Risk",TRUE,"Retained")</f>
        <v>Separated</v>
      </c>
      <c r="BK462" t="str" cm="1">
        <f t="array" ref="BK462">_xlfn.IFS(V462=0,"No Combat",V462=1,"1 Tour",V462=2,"2 Tours",TRUE,"3+ Tours")</f>
        <v>No Combat</v>
      </c>
      <c r="BL462" t="str">
        <f t="shared" si="35"/>
        <v>Standard</v>
      </c>
      <c r="BM462" t="str">
        <f t="shared" si="36"/>
        <v>Not Ready</v>
      </c>
      <c r="BN462" s="3">
        <f t="shared" si="37"/>
        <v>7.3425449871465293E-2</v>
      </c>
      <c r="BO462">
        <f t="shared" si="38"/>
        <v>511.4</v>
      </c>
    </row>
    <row r="463" spans="1:67" x14ac:dyDescent="0.25">
      <c r="A463" t="s">
        <v>750</v>
      </c>
      <c r="B463" t="s">
        <v>308</v>
      </c>
      <c r="C463" t="s">
        <v>233</v>
      </c>
      <c r="D463" t="s">
        <v>51</v>
      </c>
      <c r="E463">
        <v>35</v>
      </c>
      <c r="F463" t="s">
        <v>325</v>
      </c>
      <c r="G463" t="s">
        <v>193</v>
      </c>
      <c r="H463" t="s">
        <v>194</v>
      </c>
      <c r="I463" t="s">
        <v>236</v>
      </c>
      <c r="J463" t="s">
        <v>237</v>
      </c>
      <c r="K463" t="s">
        <v>238</v>
      </c>
      <c r="L463" t="s">
        <v>174</v>
      </c>
      <c r="M463" t="s">
        <v>275</v>
      </c>
      <c r="N463" t="s">
        <v>108</v>
      </c>
      <c r="O463" t="s">
        <v>89</v>
      </c>
      <c r="P463" s="1">
        <v>42635</v>
      </c>
      <c r="Q463">
        <v>7.7</v>
      </c>
      <c r="R463" t="s">
        <v>208</v>
      </c>
      <c r="S463" t="s">
        <v>130</v>
      </c>
      <c r="T463" t="s">
        <v>131</v>
      </c>
      <c r="U463">
        <v>7</v>
      </c>
      <c r="V463">
        <v>1</v>
      </c>
      <c r="W463" s="2">
        <v>2259</v>
      </c>
      <c r="X463" s="2">
        <v>988</v>
      </c>
      <c r="Y463" s="2">
        <v>422</v>
      </c>
      <c r="Z463" s="2">
        <v>3669</v>
      </c>
      <c r="AA463">
        <v>501</v>
      </c>
      <c r="AB463" t="s">
        <v>65</v>
      </c>
      <c r="AC463">
        <v>20.8</v>
      </c>
      <c r="AD463">
        <v>41</v>
      </c>
      <c r="AE463">
        <v>35</v>
      </c>
      <c r="AF463" t="s">
        <v>112</v>
      </c>
      <c r="AG463">
        <v>40</v>
      </c>
      <c r="AH463" t="s">
        <v>94</v>
      </c>
      <c r="AI463" t="s">
        <v>114</v>
      </c>
      <c r="AJ463" t="s">
        <v>69</v>
      </c>
      <c r="AK463" t="s">
        <v>70</v>
      </c>
      <c r="AL463" t="s">
        <v>70</v>
      </c>
      <c r="AM463" t="s">
        <v>70</v>
      </c>
      <c r="AN463" t="s">
        <v>72</v>
      </c>
      <c r="AO463" t="s">
        <v>97</v>
      </c>
      <c r="AP463" t="s">
        <v>72</v>
      </c>
      <c r="AQ463" t="s">
        <v>136</v>
      </c>
      <c r="AR463" s="1">
        <v>45494</v>
      </c>
      <c r="AS463" t="s">
        <v>198</v>
      </c>
      <c r="AT463" t="s">
        <v>71</v>
      </c>
      <c r="AU463">
        <v>568</v>
      </c>
      <c r="AV463" t="s">
        <v>76</v>
      </c>
      <c r="AW463" s="3">
        <v>44028</v>
      </c>
      <c r="AX463" t="s">
        <v>808</v>
      </c>
      <c r="AY463" t="s">
        <v>806</v>
      </c>
      <c r="AZ463" t="s">
        <v>76</v>
      </c>
      <c r="BA463" t="s">
        <v>807</v>
      </c>
      <c r="BB463" t="s">
        <v>801</v>
      </c>
      <c r="BC463" t="s">
        <v>802</v>
      </c>
      <c r="BD463" s="3">
        <v>0.13654946852003272</v>
      </c>
      <c r="BE463">
        <v>581.4</v>
      </c>
      <c r="BG463" s="2">
        <f t="shared" si="34"/>
        <v>44028</v>
      </c>
      <c r="BH463" t="str" cm="1">
        <f t="array" ref="BH463">_xlfn.IFS(Q463&lt;5,"0-5 Years",Q463&lt;10,"5-10 Years",Q463&lt;15,"10-15 Years",TRUE,"15+ Years")</f>
        <v>5-10 Years</v>
      </c>
      <c r="BI463" t="str" cm="1">
        <f t="array" ref="BI463">_xlfn.IFS(AA463&gt;=540,"A",AA463&gt;=480,"B",AA463&gt;=420,"C",AA463&gt;=360,"D",TRUE,"F")</f>
        <v>B</v>
      </c>
      <c r="BJ463" t="str" cm="1">
        <f t="array" ref="BJ463">_xlfn.IFS(AU463&lt;0,"Separated",AU463&lt;=90,"High Risk",AU463&lt;=180,"Medium Risk",TRUE,"Retained")</f>
        <v>Retained</v>
      </c>
      <c r="BK463" t="str" cm="1">
        <f t="array" ref="BK463">_xlfn.IFS(V463=0,"No Combat",V463=1,"1 Tour",V463=2,"2 Tours",TRUE,"3+ Tours")</f>
        <v>1 Tour</v>
      </c>
      <c r="BL463" t="str">
        <f t="shared" si="35"/>
        <v>Standard</v>
      </c>
      <c r="BM463" t="str">
        <f t="shared" si="36"/>
        <v>Not Ready</v>
      </c>
      <c r="BN463" s="3">
        <f t="shared" si="37"/>
        <v>0.13654946852003272</v>
      </c>
      <c r="BO463">
        <f t="shared" si="38"/>
        <v>581.4</v>
      </c>
    </row>
    <row r="464" spans="1:67" x14ac:dyDescent="0.25">
      <c r="A464" t="s">
        <v>751</v>
      </c>
      <c r="B464" t="s">
        <v>205</v>
      </c>
      <c r="C464" t="s">
        <v>182</v>
      </c>
      <c r="D464" t="s">
        <v>51</v>
      </c>
      <c r="E464">
        <v>35</v>
      </c>
      <c r="F464" t="s">
        <v>325</v>
      </c>
      <c r="G464" t="s">
        <v>234</v>
      </c>
      <c r="H464" t="s">
        <v>235</v>
      </c>
      <c r="I464" t="s">
        <v>268</v>
      </c>
      <c r="J464" t="s">
        <v>269</v>
      </c>
      <c r="K464" t="s">
        <v>173</v>
      </c>
      <c r="L464" t="s">
        <v>106</v>
      </c>
      <c r="M464" t="s">
        <v>59</v>
      </c>
      <c r="N464" t="s">
        <v>108</v>
      </c>
      <c r="O464" t="s">
        <v>109</v>
      </c>
      <c r="P464" s="1">
        <v>38700</v>
      </c>
      <c r="Q464">
        <v>18.5</v>
      </c>
      <c r="R464" t="s">
        <v>208</v>
      </c>
      <c r="S464" t="s">
        <v>163</v>
      </c>
      <c r="T464" t="s">
        <v>164</v>
      </c>
      <c r="U464">
        <v>7</v>
      </c>
      <c r="V464">
        <v>1</v>
      </c>
      <c r="W464" s="2">
        <v>1917</v>
      </c>
      <c r="X464" s="2">
        <v>0</v>
      </c>
      <c r="Y464" s="2">
        <v>422</v>
      </c>
      <c r="Z464" s="2">
        <v>2339</v>
      </c>
      <c r="AA464">
        <v>453</v>
      </c>
      <c r="AB464" t="s">
        <v>65</v>
      </c>
      <c r="AC464">
        <v>20.6</v>
      </c>
      <c r="AD464">
        <v>28</v>
      </c>
      <c r="AE464">
        <v>62</v>
      </c>
      <c r="AF464" t="s">
        <v>112</v>
      </c>
      <c r="AG464">
        <v>28</v>
      </c>
      <c r="AH464" t="s">
        <v>113</v>
      </c>
      <c r="AI464" t="s">
        <v>177</v>
      </c>
      <c r="AJ464" t="s">
        <v>96</v>
      </c>
      <c r="AK464" t="s">
        <v>70</v>
      </c>
      <c r="AL464" t="s">
        <v>71</v>
      </c>
      <c r="AM464" t="s">
        <v>70</v>
      </c>
      <c r="AN464" t="s">
        <v>202</v>
      </c>
      <c r="AO464" t="s">
        <v>72</v>
      </c>
      <c r="AP464" t="s">
        <v>227</v>
      </c>
      <c r="AQ464" t="s">
        <v>136</v>
      </c>
      <c r="AR464" s="1">
        <v>40233</v>
      </c>
      <c r="AS464" t="s">
        <v>118</v>
      </c>
      <c r="AT464" t="s">
        <v>71</v>
      </c>
      <c r="AU464">
        <v>1513</v>
      </c>
      <c r="AV464" t="s">
        <v>76</v>
      </c>
      <c r="AW464" s="3">
        <v>28068</v>
      </c>
      <c r="AX464" t="s">
        <v>798</v>
      </c>
      <c r="AY464" t="s">
        <v>804</v>
      </c>
      <c r="AZ464" t="s">
        <v>76</v>
      </c>
      <c r="BA464" t="s">
        <v>807</v>
      </c>
      <c r="BB464" t="s">
        <v>801</v>
      </c>
      <c r="BC464" t="s">
        <v>802</v>
      </c>
      <c r="BD464" s="3">
        <v>0.1936725096194955</v>
      </c>
      <c r="BE464">
        <v>519.4</v>
      </c>
      <c r="BG464" s="2">
        <f t="shared" si="34"/>
        <v>28068</v>
      </c>
      <c r="BH464" t="str" cm="1">
        <f t="array" ref="BH464">_xlfn.IFS(Q464&lt;5,"0-5 Years",Q464&lt;10,"5-10 Years",Q464&lt;15,"10-15 Years",TRUE,"15+ Years")</f>
        <v>15+ Years</v>
      </c>
      <c r="BI464" t="str" cm="1">
        <f t="array" ref="BI464">_xlfn.IFS(AA464&gt;=540,"A",AA464&gt;=480,"B",AA464&gt;=420,"C",AA464&gt;=360,"D",TRUE,"F")</f>
        <v>C</v>
      </c>
      <c r="BJ464" t="str" cm="1">
        <f t="array" ref="BJ464">_xlfn.IFS(AU464&lt;0,"Separated",AU464&lt;=90,"High Risk",AU464&lt;=180,"Medium Risk",TRUE,"Retained")</f>
        <v>Retained</v>
      </c>
      <c r="BK464" t="str" cm="1">
        <f t="array" ref="BK464">_xlfn.IFS(V464=0,"No Combat",V464=1,"1 Tour",V464=2,"2 Tours",TRUE,"3+ Tours")</f>
        <v>1 Tour</v>
      </c>
      <c r="BL464" t="str">
        <f t="shared" si="35"/>
        <v>Standard</v>
      </c>
      <c r="BM464" t="str">
        <f t="shared" si="36"/>
        <v>Not Ready</v>
      </c>
      <c r="BN464" s="3">
        <f t="shared" si="37"/>
        <v>0.1936725096194955</v>
      </c>
      <c r="BO464">
        <f t="shared" si="38"/>
        <v>519.4</v>
      </c>
    </row>
    <row r="465" spans="1:67" x14ac:dyDescent="0.25">
      <c r="A465" t="s">
        <v>752</v>
      </c>
      <c r="B465" t="s">
        <v>259</v>
      </c>
      <c r="C465" t="s">
        <v>332</v>
      </c>
      <c r="D465" t="s">
        <v>51</v>
      </c>
      <c r="E465">
        <v>37</v>
      </c>
      <c r="F465" t="s">
        <v>283</v>
      </c>
      <c r="G465" t="s">
        <v>301</v>
      </c>
      <c r="H465" t="s">
        <v>302</v>
      </c>
      <c r="I465" t="s">
        <v>103</v>
      </c>
      <c r="J465" t="s">
        <v>104</v>
      </c>
      <c r="K465" t="s">
        <v>105</v>
      </c>
      <c r="L465" t="s">
        <v>58</v>
      </c>
      <c r="M465" t="s">
        <v>212</v>
      </c>
      <c r="N465" t="s">
        <v>108</v>
      </c>
      <c r="O465" t="s">
        <v>149</v>
      </c>
      <c r="P465" s="1">
        <v>42745</v>
      </c>
      <c r="Q465">
        <v>7.4</v>
      </c>
      <c r="R465" t="s">
        <v>129</v>
      </c>
      <c r="S465" t="s">
        <v>163</v>
      </c>
      <c r="T465" t="s">
        <v>164</v>
      </c>
      <c r="U465">
        <v>9</v>
      </c>
      <c r="V465">
        <v>1</v>
      </c>
      <c r="W465" s="2">
        <v>4188</v>
      </c>
      <c r="X465" s="2">
        <v>1344</v>
      </c>
      <c r="Y465" s="2">
        <v>266</v>
      </c>
      <c r="Z465" s="2">
        <v>5798</v>
      </c>
      <c r="AA465">
        <v>421</v>
      </c>
      <c r="AB465" t="s">
        <v>65</v>
      </c>
      <c r="AC465">
        <v>16.8</v>
      </c>
      <c r="AD465">
        <v>30</v>
      </c>
      <c r="AE465">
        <v>42</v>
      </c>
      <c r="AF465" t="s">
        <v>112</v>
      </c>
      <c r="AG465">
        <v>22</v>
      </c>
      <c r="AH465" t="s">
        <v>113</v>
      </c>
      <c r="AI465" t="s">
        <v>95</v>
      </c>
      <c r="AJ465" t="s">
        <v>96</v>
      </c>
      <c r="AK465" t="s">
        <v>70</v>
      </c>
      <c r="AL465" t="s">
        <v>71</v>
      </c>
      <c r="AM465" t="s">
        <v>70</v>
      </c>
      <c r="AN465" t="s">
        <v>72</v>
      </c>
      <c r="AO465" t="s">
        <v>221</v>
      </c>
      <c r="AP465" t="s">
        <v>227</v>
      </c>
      <c r="AQ465" t="s">
        <v>136</v>
      </c>
      <c r="AR465" s="1">
        <v>42906</v>
      </c>
      <c r="AS465" t="s">
        <v>118</v>
      </c>
      <c r="AT465" t="s">
        <v>71</v>
      </c>
      <c r="AU465">
        <v>1087</v>
      </c>
      <c r="AV465" t="s">
        <v>76</v>
      </c>
      <c r="AW465" s="3">
        <v>69576</v>
      </c>
      <c r="AX465" t="s">
        <v>808</v>
      </c>
      <c r="AY465" t="s">
        <v>804</v>
      </c>
      <c r="AZ465" t="s">
        <v>76</v>
      </c>
      <c r="BA465" t="s">
        <v>807</v>
      </c>
      <c r="BB465" t="s">
        <v>801</v>
      </c>
      <c r="BC465" t="s">
        <v>802</v>
      </c>
      <c r="BD465" s="3">
        <v>7.2611245256985174E-2</v>
      </c>
      <c r="BE465">
        <v>475.4</v>
      </c>
      <c r="BG465" s="2">
        <f t="shared" si="34"/>
        <v>69576</v>
      </c>
      <c r="BH465" t="str" cm="1">
        <f t="array" ref="BH465">_xlfn.IFS(Q465&lt;5,"0-5 Years",Q465&lt;10,"5-10 Years",Q465&lt;15,"10-15 Years",TRUE,"15+ Years")</f>
        <v>5-10 Years</v>
      </c>
      <c r="BI465" t="str" cm="1">
        <f t="array" ref="BI465">_xlfn.IFS(AA465&gt;=540,"A",AA465&gt;=480,"B",AA465&gt;=420,"C",AA465&gt;=360,"D",TRUE,"F")</f>
        <v>C</v>
      </c>
      <c r="BJ465" t="str" cm="1">
        <f t="array" ref="BJ465">_xlfn.IFS(AU465&lt;0,"Separated",AU465&lt;=90,"High Risk",AU465&lt;=180,"Medium Risk",TRUE,"Retained")</f>
        <v>Retained</v>
      </c>
      <c r="BK465" t="str" cm="1">
        <f t="array" ref="BK465">_xlfn.IFS(V465=0,"No Combat",V465=1,"1 Tour",V465=2,"2 Tours",TRUE,"3+ Tours")</f>
        <v>1 Tour</v>
      </c>
      <c r="BL465" t="str">
        <f t="shared" si="35"/>
        <v>Standard</v>
      </c>
      <c r="BM465" t="str">
        <f t="shared" si="36"/>
        <v>Not Ready</v>
      </c>
      <c r="BN465" s="3">
        <f t="shared" si="37"/>
        <v>7.2611245256985174E-2</v>
      </c>
      <c r="BO465">
        <f t="shared" si="38"/>
        <v>475.4</v>
      </c>
    </row>
    <row r="466" spans="1:67" x14ac:dyDescent="0.25">
      <c r="A466" t="s">
        <v>753</v>
      </c>
      <c r="B466" t="s">
        <v>263</v>
      </c>
      <c r="C466" t="s">
        <v>155</v>
      </c>
      <c r="D466" t="s">
        <v>51</v>
      </c>
      <c r="E466">
        <v>41</v>
      </c>
      <c r="F466" t="s">
        <v>382</v>
      </c>
      <c r="G466" t="s">
        <v>142</v>
      </c>
      <c r="H466" t="s">
        <v>143</v>
      </c>
      <c r="I466" t="s">
        <v>144</v>
      </c>
      <c r="J466" t="s">
        <v>145</v>
      </c>
      <c r="K466" t="s">
        <v>146</v>
      </c>
      <c r="L466" t="s">
        <v>106</v>
      </c>
      <c r="M466" t="s">
        <v>175</v>
      </c>
      <c r="N466" t="s">
        <v>108</v>
      </c>
      <c r="O466" t="s">
        <v>61</v>
      </c>
      <c r="P466" s="1">
        <v>40838</v>
      </c>
      <c r="Q466">
        <v>12.6</v>
      </c>
      <c r="R466" t="s">
        <v>90</v>
      </c>
      <c r="S466" t="s">
        <v>110</v>
      </c>
      <c r="T466" t="s">
        <v>111</v>
      </c>
      <c r="U466">
        <v>14</v>
      </c>
      <c r="V466">
        <v>2</v>
      </c>
      <c r="W466" s="2">
        <v>5473</v>
      </c>
      <c r="X466" s="2">
        <v>0</v>
      </c>
      <c r="Y466" s="2">
        <v>422</v>
      </c>
      <c r="Z466" s="2">
        <v>5895</v>
      </c>
      <c r="AA466">
        <v>401</v>
      </c>
      <c r="AB466" t="s">
        <v>65</v>
      </c>
      <c r="AC466">
        <v>17.3</v>
      </c>
      <c r="AD466">
        <v>76</v>
      </c>
      <c r="AE466">
        <v>46</v>
      </c>
      <c r="AF466" t="s">
        <v>66</v>
      </c>
      <c r="AG466">
        <v>25</v>
      </c>
      <c r="AH466" t="s">
        <v>113</v>
      </c>
      <c r="AI466" t="s">
        <v>95</v>
      </c>
      <c r="AJ466" t="s">
        <v>96</v>
      </c>
      <c r="AK466" t="s">
        <v>70</v>
      </c>
      <c r="AL466" t="s">
        <v>70</v>
      </c>
      <c r="AM466" t="s">
        <v>70</v>
      </c>
      <c r="AN466" t="s">
        <v>202</v>
      </c>
      <c r="AO466" t="s">
        <v>135</v>
      </c>
      <c r="AP466" t="s">
        <v>72</v>
      </c>
      <c r="AQ466" t="s">
        <v>98</v>
      </c>
      <c r="AR466" s="1">
        <v>44571</v>
      </c>
      <c r="AS466" t="s">
        <v>198</v>
      </c>
      <c r="AT466" t="s">
        <v>71</v>
      </c>
      <c r="AU466">
        <v>1466</v>
      </c>
      <c r="AV466" t="s">
        <v>76</v>
      </c>
      <c r="AW466" s="3">
        <v>70740</v>
      </c>
      <c r="AX466" t="s">
        <v>805</v>
      </c>
      <c r="AY466" t="s">
        <v>809</v>
      </c>
      <c r="AZ466" t="s">
        <v>76</v>
      </c>
      <c r="BA466" t="s">
        <v>811</v>
      </c>
      <c r="BB466" t="s">
        <v>801</v>
      </c>
      <c r="BC466" t="s">
        <v>802</v>
      </c>
      <c r="BD466" s="3">
        <v>6.8023748939779471E-2</v>
      </c>
      <c r="BE466">
        <v>451.4</v>
      </c>
      <c r="BG466" s="2">
        <f t="shared" si="34"/>
        <v>70740</v>
      </c>
      <c r="BH466" t="str" cm="1">
        <f t="array" ref="BH466">_xlfn.IFS(Q466&lt;5,"0-5 Years",Q466&lt;10,"5-10 Years",Q466&lt;15,"10-15 Years",TRUE,"15+ Years")</f>
        <v>10-15 Years</v>
      </c>
      <c r="BI466" t="str" cm="1">
        <f t="array" ref="BI466">_xlfn.IFS(AA466&gt;=540,"A",AA466&gt;=480,"B",AA466&gt;=420,"C",AA466&gt;=360,"D",TRUE,"F")</f>
        <v>D</v>
      </c>
      <c r="BJ466" t="str" cm="1">
        <f t="array" ref="BJ466">_xlfn.IFS(AU466&lt;0,"Separated",AU466&lt;=90,"High Risk",AU466&lt;=180,"Medium Risk",TRUE,"Retained")</f>
        <v>Retained</v>
      </c>
      <c r="BK466" t="str" cm="1">
        <f t="array" ref="BK466">_xlfn.IFS(V466=0,"No Combat",V466=1,"1 Tour",V466=2,"2 Tours",TRUE,"3+ Tours")</f>
        <v>2 Tours</v>
      </c>
      <c r="BL466" t="str">
        <f t="shared" si="35"/>
        <v>Standard</v>
      </c>
      <c r="BM466" t="str">
        <f t="shared" si="36"/>
        <v>Not Ready</v>
      </c>
      <c r="BN466" s="3">
        <f t="shared" si="37"/>
        <v>6.8023748939779471E-2</v>
      </c>
      <c r="BO466">
        <f t="shared" si="38"/>
        <v>451.4</v>
      </c>
    </row>
    <row r="467" spans="1:67" x14ac:dyDescent="0.25">
      <c r="A467" t="s">
        <v>754</v>
      </c>
      <c r="B467" t="s">
        <v>259</v>
      </c>
      <c r="C467" t="s">
        <v>182</v>
      </c>
      <c r="D467" t="s">
        <v>51</v>
      </c>
      <c r="E467">
        <v>27</v>
      </c>
      <c r="F467" t="s">
        <v>214</v>
      </c>
      <c r="G467" t="s">
        <v>81</v>
      </c>
      <c r="H467" t="s">
        <v>82</v>
      </c>
      <c r="I467" t="s">
        <v>236</v>
      </c>
      <c r="J467" t="s">
        <v>237</v>
      </c>
      <c r="K467" t="s">
        <v>238</v>
      </c>
      <c r="L467" t="s">
        <v>174</v>
      </c>
      <c r="M467" t="s">
        <v>296</v>
      </c>
      <c r="N467" t="s">
        <v>148</v>
      </c>
      <c r="O467" t="s">
        <v>89</v>
      </c>
      <c r="P467" s="1">
        <v>38444</v>
      </c>
      <c r="Q467">
        <v>19.2</v>
      </c>
      <c r="R467" t="s">
        <v>150</v>
      </c>
      <c r="S467" t="s">
        <v>110</v>
      </c>
      <c r="T467" t="s">
        <v>111</v>
      </c>
      <c r="U467">
        <v>0</v>
      </c>
      <c r="V467">
        <v>0</v>
      </c>
      <c r="W467" s="2">
        <v>2504</v>
      </c>
      <c r="X467" s="2">
        <v>1421</v>
      </c>
      <c r="Y467" s="2">
        <v>422</v>
      </c>
      <c r="Z467" s="2">
        <v>4347</v>
      </c>
      <c r="AA467">
        <v>339</v>
      </c>
      <c r="AB467" t="s">
        <v>151</v>
      </c>
      <c r="AC467">
        <v>15.7</v>
      </c>
      <c r="AD467">
        <v>56</v>
      </c>
      <c r="AE467">
        <v>40</v>
      </c>
      <c r="AF467" t="s">
        <v>66</v>
      </c>
      <c r="AG467">
        <v>27</v>
      </c>
      <c r="AH467" t="s">
        <v>113</v>
      </c>
      <c r="AI467" t="s">
        <v>177</v>
      </c>
      <c r="AJ467" t="s">
        <v>96</v>
      </c>
      <c r="AK467" t="s">
        <v>70</v>
      </c>
      <c r="AL467" t="s">
        <v>70</v>
      </c>
      <c r="AM467" t="s">
        <v>71</v>
      </c>
      <c r="AN467" t="s">
        <v>72</v>
      </c>
      <c r="AO467" t="s">
        <v>73</v>
      </c>
      <c r="AP467" t="s">
        <v>227</v>
      </c>
      <c r="AQ467" t="s">
        <v>117</v>
      </c>
      <c r="AR467" s="1">
        <v>42096</v>
      </c>
      <c r="AS467" t="s">
        <v>75</v>
      </c>
      <c r="AT467" t="s">
        <v>71</v>
      </c>
      <c r="AU467">
        <v>338</v>
      </c>
      <c r="AV467" t="s">
        <v>76</v>
      </c>
      <c r="AW467" s="3">
        <v>52164</v>
      </c>
      <c r="AX467" t="s">
        <v>798</v>
      </c>
      <c r="AY467" t="s">
        <v>122</v>
      </c>
      <c r="AZ467" t="s">
        <v>76</v>
      </c>
      <c r="BA467" t="s">
        <v>800</v>
      </c>
      <c r="BB467" t="s">
        <v>801</v>
      </c>
      <c r="BC467" t="s">
        <v>802</v>
      </c>
      <c r="BD467" s="3">
        <v>7.7984817115251903E-2</v>
      </c>
      <c r="BE467">
        <v>413.4</v>
      </c>
      <c r="BG467" s="2">
        <f t="shared" si="34"/>
        <v>52164</v>
      </c>
      <c r="BH467" t="str" cm="1">
        <f t="array" ref="BH467">_xlfn.IFS(Q467&lt;5,"0-5 Years",Q467&lt;10,"5-10 Years",Q467&lt;15,"10-15 Years",TRUE,"15+ Years")</f>
        <v>15+ Years</v>
      </c>
      <c r="BI467" t="str" cm="1">
        <f t="array" ref="BI467">_xlfn.IFS(AA467&gt;=540,"A",AA467&gt;=480,"B",AA467&gt;=420,"C",AA467&gt;=360,"D",TRUE,"F")</f>
        <v>F</v>
      </c>
      <c r="BJ467" t="str" cm="1">
        <f t="array" ref="BJ467">_xlfn.IFS(AU467&lt;0,"Separated",AU467&lt;=90,"High Risk",AU467&lt;=180,"Medium Risk",TRUE,"Retained")</f>
        <v>Retained</v>
      </c>
      <c r="BK467" t="str" cm="1">
        <f t="array" ref="BK467">_xlfn.IFS(V467=0,"No Combat",V467=1,"1 Tour",V467=2,"2 Tours",TRUE,"3+ Tours")</f>
        <v>No Combat</v>
      </c>
      <c r="BL467" t="str">
        <f t="shared" si="35"/>
        <v>Standard</v>
      </c>
      <c r="BM467" t="str">
        <f t="shared" si="36"/>
        <v>Not Ready</v>
      </c>
      <c r="BN467" s="3">
        <f t="shared" si="37"/>
        <v>7.7984817115251903E-2</v>
      </c>
      <c r="BO467">
        <f t="shared" si="38"/>
        <v>413.4</v>
      </c>
    </row>
    <row r="468" spans="1:67" x14ac:dyDescent="0.25">
      <c r="A468" t="s">
        <v>755</v>
      </c>
      <c r="B468" t="s">
        <v>308</v>
      </c>
      <c r="C468" t="s">
        <v>50</v>
      </c>
      <c r="D468" t="s">
        <v>51</v>
      </c>
      <c r="E468">
        <v>31</v>
      </c>
      <c r="F468" t="s">
        <v>278</v>
      </c>
      <c r="G468" t="s">
        <v>101</v>
      </c>
      <c r="H468" t="s">
        <v>102</v>
      </c>
      <c r="I468" t="s">
        <v>268</v>
      </c>
      <c r="J468" t="s">
        <v>269</v>
      </c>
      <c r="K468" t="s">
        <v>173</v>
      </c>
      <c r="L468" t="s">
        <v>174</v>
      </c>
      <c r="M468" t="s">
        <v>127</v>
      </c>
      <c r="N468" t="s">
        <v>265</v>
      </c>
      <c r="O468" t="s">
        <v>149</v>
      </c>
      <c r="P468" s="1">
        <v>42082</v>
      </c>
      <c r="Q468">
        <v>9.1999999999999993</v>
      </c>
      <c r="R468" t="s">
        <v>75</v>
      </c>
      <c r="S468" t="s">
        <v>196</v>
      </c>
      <c r="T468" t="s">
        <v>197</v>
      </c>
      <c r="U468">
        <v>0</v>
      </c>
      <c r="V468">
        <v>0</v>
      </c>
      <c r="W468" s="2">
        <v>2980</v>
      </c>
      <c r="X468" s="2">
        <v>1987</v>
      </c>
      <c r="Y468" s="2">
        <v>422</v>
      </c>
      <c r="Z468" s="2">
        <v>5389</v>
      </c>
      <c r="AA468">
        <v>535</v>
      </c>
      <c r="AB468" t="s">
        <v>65</v>
      </c>
      <c r="AC468">
        <v>14.8</v>
      </c>
      <c r="AD468">
        <v>64</v>
      </c>
      <c r="AE468">
        <v>66</v>
      </c>
      <c r="AF468" t="s">
        <v>66</v>
      </c>
      <c r="AG468">
        <v>39</v>
      </c>
      <c r="AH468" t="s">
        <v>94</v>
      </c>
      <c r="AI468" t="s">
        <v>95</v>
      </c>
      <c r="AJ468" t="s">
        <v>69</v>
      </c>
      <c r="AK468" t="s">
        <v>71</v>
      </c>
      <c r="AL468" t="s">
        <v>71</v>
      </c>
      <c r="AM468" t="s">
        <v>70</v>
      </c>
      <c r="AN468" t="s">
        <v>115</v>
      </c>
      <c r="AO468" t="s">
        <v>72</v>
      </c>
      <c r="AP468" t="s">
        <v>72</v>
      </c>
      <c r="AQ468" t="s">
        <v>136</v>
      </c>
      <c r="AR468" s="1">
        <v>42185</v>
      </c>
      <c r="AS468" t="s">
        <v>118</v>
      </c>
      <c r="AT468" t="s">
        <v>71</v>
      </c>
      <c r="AU468">
        <v>-242</v>
      </c>
      <c r="AV468" t="s">
        <v>179</v>
      </c>
      <c r="AW468" s="3">
        <v>64668</v>
      </c>
      <c r="AX468" t="s">
        <v>808</v>
      </c>
      <c r="AY468" t="s">
        <v>806</v>
      </c>
      <c r="AZ468" t="s">
        <v>810</v>
      </c>
      <c r="BA468" t="s">
        <v>800</v>
      </c>
      <c r="BB468" t="s">
        <v>801</v>
      </c>
      <c r="BC468" t="s">
        <v>802</v>
      </c>
      <c r="BD468" s="3">
        <v>9.9276303581369463E-2</v>
      </c>
      <c r="BE468">
        <v>633.4</v>
      </c>
      <c r="BG468" s="2">
        <f t="shared" si="34"/>
        <v>64668</v>
      </c>
      <c r="BH468" t="str" cm="1">
        <f t="array" ref="BH468">_xlfn.IFS(Q468&lt;5,"0-5 Years",Q468&lt;10,"5-10 Years",Q468&lt;15,"10-15 Years",TRUE,"15+ Years")</f>
        <v>5-10 Years</v>
      </c>
      <c r="BI468" t="str" cm="1">
        <f t="array" ref="BI468">_xlfn.IFS(AA468&gt;=540,"A",AA468&gt;=480,"B",AA468&gt;=420,"C",AA468&gt;=360,"D",TRUE,"F")</f>
        <v>B</v>
      </c>
      <c r="BJ468" t="str" cm="1">
        <f t="array" ref="BJ468">_xlfn.IFS(AU468&lt;0,"Separated",AU468&lt;=90,"High Risk",AU468&lt;=180,"Medium Risk",TRUE,"Retained")</f>
        <v>Separated</v>
      </c>
      <c r="BK468" t="str" cm="1">
        <f t="array" ref="BK468">_xlfn.IFS(V468=0,"No Combat",V468=1,"1 Tour",V468=2,"2 Tours",TRUE,"3+ Tours")</f>
        <v>No Combat</v>
      </c>
      <c r="BL468" t="str">
        <f t="shared" si="35"/>
        <v>Standard</v>
      </c>
      <c r="BM468" t="str">
        <f t="shared" si="36"/>
        <v>Not Ready</v>
      </c>
      <c r="BN468" s="3">
        <f t="shared" si="37"/>
        <v>9.9276303581369463E-2</v>
      </c>
      <c r="BO468">
        <f t="shared" si="38"/>
        <v>633.4</v>
      </c>
    </row>
    <row r="469" spans="1:67" x14ac:dyDescent="0.25">
      <c r="A469" t="s">
        <v>756</v>
      </c>
      <c r="B469" t="s">
        <v>308</v>
      </c>
      <c r="C469" t="s">
        <v>252</v>
      </c>
      <c r="D469" t="s">
        <v>51</v>
      </c>
      <c r="E469">
        <v>35</v>
      </c>
      <c r="F469" t="s">
        <v>123</v>
      </c>
      <c r="G469" t="s">
        <v>169</v>
      </c>
      <c r="H469" t="s">
        <v>170</v>
      </c>
      <c r="I469" t="s">
        <v>292</v>
      </c>
      <c r="J469" t="s">
        <v>293</v>
      </c>
      <c r="K469" t="s">
        <v>294</v>
      </c>
      <c r="L469" t="s">
        <v>86</v>
      </c>
      <c r="M469" t="s">
        <v>296</v>
      </c>
      <c r="N469" t="s">
        <v>265</v>
      </c>
      <c r="O469" t="s">
        <v>176</v>
      </c>
      <c r="P469" s="1">
        <v>39893</v>
      </c>
      <c r="Q469">
        <v>15.2</v>
      </c>
      <c r="R469" t="s">
        <v>195</v>
      </c>
      <c r="S469" t="s">
        <v>130</v>
      </c>
      <c r="T469" t="s">
        <v>131</v>
      </c>
      <c r="U469">
        <v>14</v>
      </c>
      <c r="V469">
        <v>2</v>
      </c>
      <c r="W469" s="2">
        <v>3294</v>
      </c>
      <c r="X469" s="2">
        <v>0</v>
      </c>
      <c r="Y469" s="2">
        <v>422</v>
      </c>
      <c r="Z469" s="2">
        <v>3716</v>
      </c>
      <c r="AA469">
        <v>576</v>
      </c>
      <c r="AB469" t="s">
        <v>65</v>
      </c>
      <c r="AC469">
        <v>19.899999999999999</v>
      </c>
      <c r="AD469">
        <v>73</v>
      </c>
      <c r="AE469">
        <v>57</v>
      </c>
      <c r="AF469" t="s">
        <v>132</v>
      </c>
      <c r="AG469">
        <v>23</v>
      </c>
      <c r="AH469" t="s">
        <v>113</v>
      </c>
      <c r="AI469" t="s">
        <v>68</v>
      </c>
      <c r="AJ469" t="s">
        <v>72</v>
      </c>
      <c r="AK469" t="s">
        <v>70</v>
      </c>
      <c r="AL469" t="s">
        <v>70</v>
      </c>
      <c r="AM469" t="s">
        <v>70</v>
      </c>
      <c r="AN469" t="s">
        <v>115</v>
      </c>
      <c r="AO469" t="s">
        <v>72</v>
      </c>
      <c r="AP469" t="s">
        <v>135</v>
      </c>
      <c r="AQ469" t="s">
        <v>117</v>
      </c>
      <c r="AR469" s="1">
        <v>41007</v>
      </c>
      <c r="AS469" t="s">
        <v>75</v>
      </c>
      <c r="AT469" t="s">
        <v>71</v>
      </c>
      <c r="AU469">
        <v>813</v>
      </c>
      <c r="AV469" t="s">
        <v>76</v>
      </c>
      <c r="AW469" s="3">
        <v>44592</v>
      </c>
      <c r="AX469" t="s">
        <v>798</v>
      </c>
      <c r="AY469" t="s">
        <v>799</v>
      </c>
      <c r="AZ469" t="s">
        <v>76</v>
      </c>
      <c r="BA469" t="s">
        <v>811</v>
      </c>
      <c r="BB469" t="s">
        <v>801</v>
      </c>
      <c r="BC469" t="s">
        <v>802</v>
      </c>
      <c r="BD469" s="3">
        <v>0.155005382131324</v>
      </c>
      <c r="BE469">
        <v>622.4</v>
      </c>
      <c r="BG469" s="2">
        <f t="shared" si="34"/>
        <v>44592</v>
      </c>
      <c r="BH469" t="str" cm="1">
        <f t="array" ref="BH469">_xlfn.IFS(Q469&lt;5,"0-5 Years",Q469&lt;10,"5-10 Years",Q469&lt;15,"10-15 Years",TRUE,"15+ Years")</f>
        <v>15+ Years</v>
      </c>
      <c r="BI469" t="str" cm="1">
        <f t="array" ref="BI469">_xlfn.IFS(AA469&gt;=540,"A",AA469&gt;=480,"B",AA469&gt;=420,"C",AA469&gt;=360,"D",TRUE,"F")</f>
        <v>A</v>
      </c>
      <c r="BJ469" t="str" cm="1">
        <f t="array" ref="BJ469">_xlfn.IFS(AU469&lt;0,"Separated",AU469&lt;=90,"High Risk",AU469&lt;=180,"Medium Risk",TRUE,"Retained")</f>
        <v>Retained</v>
      </c>
      <c r="BK469" t="str" cm="1">
        <f t="array" ref="BK469">_xlfn.IFS(V469=0,"No Combat",V469=1,"1 Tour",V469=2,"2 Tours",TRUE,"3+ Tours")</f>
        <v>2 Tours</v>
      </c>
      <c r="BL469" t="str">
        <f t="shared" si="35"/>
        <v>Standard</v>
      </c>
      <c r="BM469" t="str">
        <f t="shared" si="36"/>
        <v>Not Ready</v>
      </c>
      <c r="BN469" s="3">
        <f t="shared" si="37"/>
        <v>0.155005382131324</v>
      </c>
      <c r="BO469">
        <f t="shared" si="38"/>
        <v>622.4</v>
      </c>
    </row>
    <row r="470" spans="1:67" x14ac:dyDescent="0.25">
      <c r="A470" t="s">
        <v>757</v>
      </c>
      <c r="B470" t="s">
        <v>181</v>
      </c>
      <c r="C470" t="s">
        <v>257</v>
      </c>
      <c r="D470" t="s">
        <v>51</v>
      </c>
      <c r="E470">
        <v>19</v>
      </c>
      <c r="F470" t="s">
        <v>382</v>
      </c>
      <c r="G470" t="s">
        <v>156</v>
      </c>
      <c r="H470" t="s">
        <v>157</v>
      </c>
      <c r="I470" t="s">
        <v>83</v>
      </c>
      <c r="J470" t="s">
        <v>84</v>
      </c>
      <c r="K470" t="s">
        <v>85</v>
      </c>
      <c r="L470" t="s">
        <v>126</v>
      </c>
      <c r="M470" t="s">
        <v>161</v>
      </c>
      <c r="N470" t="s">
        <v>128</v>
      </c>
      <c r="O470" t="s">
        <v>176</v>
      </c>
      <c r="P470" s="1">
        <v>39562</v>
      </c>
      <c r="Q470">
        <v>16.100000000000001</v>
      </c>
      <c r="R470" t="s">
        <v>129</v>
      </c>
      <c r="S470" t="s">
        <v>196</v>
      </c>
      <c r="T470" t="s">
        <v>197</v>
      </c>
      <c r="U470">
        <v>0</v>
      </c>
      <c r="V470">
        <v>0</v>
      </c>
      <c r="W470" s="2">
        <v>4836</v>
      </c>
      <c r="X470" s="2">
        <v>2177</v>
      </c>
      <c r="Y470" s="2">
        <v>266</v>
      </c>
      <c r="Z470" s="2">
        <v>7279</v>
      </c>
      <c r="AA470">
        <v>511</v>
      </c>
      <c r="AB470" t="s">
        <v>65</v>
      </c>
      <c r="AC470">
        <v>18.2</v>
      </c>
      <c r="AD470">
        <v>46</v>
      </c>
      <c r="AE470">
        <v>53</v>
      </c>
      <c r="AF470" t="s">
        <v>66</v>
      </c>
      <c r="AG470">
        <v>35</v>
      </c>
      <c r="AH470" t="s">
        <v>67</v>
      </c>
      <c r="AI470" t="s">
        <v>152</v>
      </c>
      <c r="AJ470" t="s">
        <v>69</v>
      </c>
      <c r="AK470" t="s">
        <v>70</v>
      </c>
      <c r="AL470" t="s">
        <v>70</v>
      </c>
      <c r="AM470" t="s">
        <v>70</v>
      </c>
      <c r="AN470" t="s">
        <v>115</v>
      </c>
      <c r="AO470" t="s">
        <v>134</v>
      </c>
      <c r="AP470" t="s">
        <v>221</v>
      </c>
      <c r="AQ470" t="s">
        <v>117</v>
      </c>
      <c r="AR470" s="1">
        <v>44631</v>
      </c>
      <c r="AS470" t="s">
        <v>118</v>
      </c>
      <c r="AT470" t="s">
        <v>71</v>
      </c>
      <c r="AU470">
        <v>153</v>
      </c>
      <c r="AV470" t="s">
        <v>179</v>
      </c>
      <c r="AW470" s="3">
        <v>87348</v>
      </c>
      <c r="AX470" t="s">
        <v>798</v>
      </c>
      <c r="AY470" t="s">
        <v>806</v>
      </c>
      <c r="AZ470" t="s">
        <v>815</v>
      </c>
      <c r="BA470" t="s">
        <v>800</v>
      </c>
      <c r="BB470" t="s">
        <v>801</v>
      </c>
      <c r="BC470" t="s">
        <v>802</v>
      </c>
      <c r="BD470" s="3">
        <v>7.0201950817419978E-2</v>
      </c>
      <c r="BE470">
        <v>581.4</v>
      </c>
      <c r="BG470" s="2">
        <f t="shared" si="34"/>
        <v>87348</v>
      </c>
      <c r="BH470" t="str" cm="1">
        <f t="array" ref="BH470">_xlfn.IFS(Q470&lt;5,"0-5 Years",Q470&lt;10,"5-10 Years",Q470&lt;15,"10-15 Years",TRUE,"15+ Years")</f>
        <v>15+ Years</v>
      </c>
      <c r="BI470" t="str" cm="1">
        <f t="array" ref="BI470">_xlfn.IFS(AA470&gt;=540,"A",AA470&gt;=480,"B",AA470&gt;=420,"C",AA470&gt;=360,"D",TRUE,"F")</f>
        <v>B</v>
      </c>
      <c r="BJ470" t="str" cm="1">
        <f t="array" ref="BJ470">_xlfn.IFS(AU470&lt;0,"Separated",AU470&lt;=90,"High Risk",AU470&lt;=180,"Medium Risk",TRUE,"Retained")</f>
        <v>Medium Risk</v>
      </c>
      <c r="BK470" t="str" cm="1">
        <f t="array" ref="BK470">_xlfn.IFS(V470=0,"No Combat",V470=1,"1 Tour",V470=2,"2 Tours",TRUE,"3+ Tours")</f>
        <v>No Combat</v>
      </c>
      <c r="BL470" t="str">
        <f t="shared" si="35"/>
        <v>Standard</v>
      </c>
      <c r="BM470" t="str">
        <f t="shared" si="36"/>
        <v>Not Ready</v>
      </c>
      <c r="BN470" s="3">
        <f t="shared" si="37"/>
        <v>7.0201950817419978E-2</v>
      </c>
      <c r="BO470">
        <f t="shared" si="38"/>
        <v>581.4</v>
      </c>
    </row>
    <row r="471" spans="1:67" x14ac:dyDescent="0.25">
      <c r="A471" t="s">
        <v>758</v>
      </c>
      <c r="B471" t="s">
        <v>78</v>
      </c>
      <c r="C471" t="s">
        <v>155</v>
      </c>
      <c r="D471" t="s">
        <v>51</v>
      </c>
      <c r="E471">
        <v>25</v>
      </c>
      <c r="F471" t="s">
        <v>241</v>
      </c>
      <c r="G471" t="s">
        <v>193</v>
      </c>
      <c r="H471" t="s">
        <v>194</v>
      </c>
      <c r="I471" t="s">
        <v>144</v>
      </c>
      <c r="J471" t="s">
        <v>145</v>
      </c>
      <c r="K471" t="s">
        <v>146</v>
      </c>
      <c r="L471" t="s">
        <v>126</v>
      </c>
      <c r="M471" t="s">
        <v>127</v>
      </c>
      <c r="N471" t="s">
        <v>148</v>
      </c>
      <c r="O471" t="s">
        <v>61</v>
      </c>
      <c r="P471" s="1">
        <v>38696</v>
      </c>
      <c r="Q471">
        <v>18.5</v>
      </c>
      <c r="R471" t="s">
        <v>195</v>
      </c>
      <c r="S471" t="s">
        <v>63</v>
      </c>
      <c r="T471" t="s">
        <v>64</v>
      </c>
      <c r="U471">
        <v>0</v>
      </c>
      <c r="V471">
        <v>0</v>
      </c>
      <c r="W471" s="2">
        <v>2259</v>
      </c>
      <c r="X471" s="2">
        <v>0</v>
      </c>
      <c r="Y471" s="2">
        <v>422</v>
      </c>
      <c r="Z471" s="2">
        <v>2681</v>
      </c>
      <c r="AA471">
        <v>374</v>
      </c>
      <c r="AB471" t="s">
        <v>65</v>
      </c>
      <c r="AC471">
        <v>14.7</v>
      </c>
      <c r="AD471">
        <v>55</v>
      </c>
      <c r="AE471">
        <v>72</v>
      </c>
      <c r="AF471" t="s">
        <v>93</v>
      </c>
      <c r="AG471">
        <v>37</v>
      </c>
      <c r="AH471" t="s">
        <v>94</v>
      </c>
      <c r="AI471" t="s">
        <v>68</v>
      </c>
      <c r="AJ471" t="s">
        <v>96</v>
      </c>
      <c r="AK471" t="s">
        <v>70</v>
      </c>
      <c r="AL471" t="s">
        <v>70</v>
      </c>
      <c r="AM471" t="s">
        <v>70</v>
      </c>
      <c r="AN471" t="s">
        <v>270</v>
      </c>
      <c r="AO471" t="s">
        <v>72</v>
      </c>
      <c r="AP471" t="s">
        <v>287</v>
      </c>
      <c r="AQ471" t="s">
        <v>136</v>
      </c>
      <c r="AR471" s="1">
        <v>40202</v>
      </c>
      <c r="AS471" t="s">
        <v>198</v>
      </c>
      <c r="AT471" t="s">
        <v>71</v>
      </c>
      <c r="AU471">
        <v>1358</v>
      </c>
      <c r="AV471" t="s">
        <v>76</v>
      </c>
      <c r="AW471" s="3">
        <v>32172</v>
      </c>
      <c r="AX471" t="s">
        <v>798</v>
      </c>
      <c r="AY471" t="s">
        <v>809</v>
      </c>
      <c r="AZ471" t="s">
        <v>76</v>
      </c>
      <c r="BA471" t="s">
        <v>800</v>
      </c>
      <c r="BB471" t="s">
        <v>801</v>
      </c>
      <c r="BC471" t="s">
        <v>802</v>
      </c>
      <c r="BD471" s="3">
        <v>0.13950018649757553</v>
      </c>
      <c r="BE471">
        <v>448.4</v>
      </c>
      <c r="BG471" s="2">
        <f t="shared" si="34"/>
        <v>32172</v>
      </c>
      <c r="BH471" t="str" cm="1">
        <f t="array" ref="BH471">_xlfn.IFS(Q471&lt;5,"0-5 Years",Q471&lt;10,"5-10 Years",Q471&lt;15,"10-15 Years",TRUE,"15+ Years")</f>
        <v>15+ Years</v>
      </c>
      <c r="BI471" t="str" cm="1">
        <f t="array" ref="BI471">_xlfn.IFS(AA471&gt;=540,"A",AA471&gt;=480,"B",AA471&gt;=420,"C",AA471&gt;=360,"D",TRUE,"F")</f>
        <v>D</v>
      </c>
      <c r="BJ471" t="str" cm="1">
        <f t="array" ref="BJ471">_xlfn.IFS(AU471&lt;0,"Separated",AU471&lt;=90,"High Risk",AU471&lt;=180,"Medium Risk",TRUE,"Retained")</f>
        <v>Retained</v>
      </c>
      <c r="BK471" t="str" cm="1">
        <f t="array" ref="BK471">_xlfn.IFS(V471=0,"No Combat",V471=1,"1 Tour",V471=2,"2 Tours",TRUE,"3+ Tours")</f>
        <v>No Combat</v>
      </c>
      <c r="BL471" t="str">
        <f t="shared" si="35"/>
        <v>Standard</v>
      </c>
      <c r="BM471" t="str">
        <f t="shared" si="36"/>
        <v>Not Ready</v>
      </c>
      <c r="BN471" s="3">
        <f t="shared" si="37"/>
        <v>0.13950018649757553</v>
      </c>
      <c r="BO471">
        <f t="shared" si="38"/>
        <v>448.4</v>
      </c>
    </row>
    <row r="472" spans="1:67" x14ac:dyDescent="0.25">
      <c r="A472" t="s">
        <v>759</v>
      </c>
      <c r="B472" t="s">
        <v>346</v>
      </c>
      <c r="C472" t="s">
        <v>155</v>
      </c>
      <c r="D472" t="s">
        <v>51</v>
      </c>
      <c r="E472">
        <v>32</v>
      </c>
      <c r="F472" t="s">
        <v>311</v>
      </c>
      <c r="G472" t="s">
        <v>81</v>
      </c>
      <c r="H472" t="s">
        <v>82</v>
      </c>
      <c r="I472" t="s">
        <v>185</v>
      </c>
      <c r="J472" t="s">
        <v>186</v>
      </c>
      <c r="K472" t="s">
        <v>187</v>
      </c>
      <c r="L472" t="s">
        <v>58</v>
      </c>
      <c r="M472" t="s">
        <v>127</v>
      </c>
      <c r="N472" t="s">
        <v>265</v>
      </c>
      <c r="O472" t="s">
        <v>176</v>
      </c>
      <c r="P472" s="1">
        <v>40334</v>
      </c>
      <c r="Q472">
        <v>14</v>
      </c>
      <c r="R472" t="s">
        <v>62</v>
      </c>
      <c r="S472" t="s">
        <v>196</v>
      </c>
      <c r="T472" t="s">
        <v>197</v>
      </c>
      <c r="U472">
        <v>0</v>
      </c>
      <c r="V472">
        <v>0</v>
      </c>
      <c r="W472" s="2">
        <v>2504</v>
      </c>
      <c r="X472" s="2">
        <v>1631</v>
      </c>
      <c r="Y472" s="2">
        <v>422</v>
      </c>
      <c r="Z472" s="2">
        <v>4557</v>
      </c>
      <c r="AA472">
        <v>339</v>
      </c>
      <c r="AB472" t="s">
        <v>151</v>
      </c>
      <c r="AC472">
        <v>19.5</v>
      </c>
      <c r="AD472">
        <v>54</v>
      </c>
      <c r="AE472">
        <v>70</v>
      </c>
      <c r="AF472" t="s">
        <v>93</v>
      </c>
      <c r="AG472">
        <v>16</v>
      </c>
      <c r="AH472" t="s">
        <v>113</v>
      </c>
      <c r="AI472" t="s">
        <v>95</v>
      </c>
      <c r="AJ472" t="s">
        <v>188</v>
      </c>
      <c r="AK472" t="s">
        <v>71</v>
      </c>
      <c r="AL472" t="s">
        <v>71</v>
      </c>
      <c r="AM472" t="s">
        <v>70</v>
      </c>
      <c r="AN472" t="s">
        <v>270</v>
      </c>
      <c r="AO472" t="s">
        <v>135</v>
      </c>
      <c r="AP472" t="s">
        <v>72</v>
      </c>
      <c r="AQ472" t="s">
        <v>136</v>
      </c>
      <c r="AR472" s="1">
        <v>45074</v>
      </c>
      <c r="AS472" t="s">
        <v>75</v>
      </c>
      <c r="AT472" t="s">
        <v>71</v>
      </c>
      <c r="AU472">
        <v>729</v>
      </c>
      <c r="AV472" t="s">
        <v>76</v>
      </c>
      <c r="AW472" s="3">
        <v>54684</v>
      </c>
      <c r="AX472" t="s">
        <v>805</v>
      </c>
      <c r="AY472" t="s">
        <v>122</v>
      </c>
      <c r="AZ472" t="s">
        <v>76</v>
      </c>
      <c r="BA472" t="s">
        <v>800</v>
      </c>
      <c r="BB472" t="s">
        <v>801</v>
      </c>
      <c r="BC472" t="s">
        <v>802</v>
      </c>
      <c r="BD472" s="3">
        <v>7.4391046741277153E-2</v>
      </c>
      <c r="BE472">
        <v>391.4</v>
      </c>
      <c r="BG472" s="2">
        <f t="shared" si="34"/>
        <v>54684</v>
      </c>
      <c r="BH472" t="str" cm="1">
        <f t="array" ref="BH472">_xlfn.IFS(Q472&lt;5,"0-5 Years",Q472&lt;10,"5-10 Years",Q472&lt;15,"10-15 Years",TRUE,"15+ Years")</f>
        <v>10-15 Years</v>
      </c>
      <c r="BI472" t="str" cm="1">
        <f t="array" ref="BI472">_xlfn.IFS(AA472&gt;=540,"A",AA472&gt;=480,"B",AA472&gt;=420,"C",AA472&gt;=360,"D",TRUE,"F")</f>
        <v>F</v>
      </c>
      <c r="BJ472" t="str" cm="1">
        <f t="array" ref="BJ472">_xlfn.IFS(AU472&lt;0,"Separated",AU472&lt;=90,"High Risk",AU472&lt;=180,"Medium Risk",TRUE,"Retained")</f>
        <v>Retained</v>
      </c>
      <c r="BK472" t="str" cm="1">
        <f t="array" ref="BK472">_xlfn.IFS(V472=0,"No Combat",V472=1,"1 Tour",V472=2,"2 Tours",TRUE,"3+ Tours")</f>
        <v>No Combat</v>
      </c>
      <c r="BL472" t="str">
        <f t="shared" si="35"/>
        <v>Standard</v>
      </c>
      <c r="BM472" t="str">
        <f t="shared" si="36"/>
        <v>Not Ready</v>
      </c>
      <c r="BN472" s="3">
        <f t="shared" si="37"/>
        <v>7.4391046741277153E-2</v>
      </c>
      <c r="BO472">
        <f t="shared" si="38"/>
        <v>391.4</v>
      </c>
    </row>
    <row r="473" spans="1:67" x14ac:dyDescent="0.25">
      <c r="A473" t="s">
        <v>760</v>
      </c>
      <c r="B473" t="s">
        <v>282</v>
      </c>
      <c r="C473" t="s">
        <v>375</v>
      </c>
      <c r="D473" t="s">
        <v>51</v>
      </c>
      <c r="E473">
        <v>37</v>
      </c>
      <c r="F473" t="s">
        <v>248</v>
      </c>
      <c r="G473" t="s">
        <v>169</v>
      </c>
      <c r="H473" t="s">
        <v>170</v>
      </c>
      <c r="I473" t="s">
        <v>217</v>
      </c>
      <c r="J473" t="s">
        <v>218</v>
      </c>
      <c r="K473" t="s">
        <v>146</v>
      </c>
      <c r="L473" t="s">
        <v>126</v>
      </c>
      <c r="M473" t="s">
        <v>87</v>
      </c>
      <c r="N473" t="s">
        <v>148</v>
      </c>
      <c r="O473" t="s">
        <v>109</v>
      </c>
      <c r="P473" s="1">
        <v>43556</v>
      </c>
      <c r="Q473">
        <v>5.2</v>
      </c>
      <c r="R473" t="s">
        <v>90</v>
      </c>
      <c r="S473" t="s">
        <v>63</v>
      </c>
      <c r="T473" t="s">
        <v>64</v>
      </c>
      <c r="U473">
        <v>0</v>
      </c>
      <c r="V473">
        <v>0</v>
      </c>
      <c r="W473" s="2">
        <v>3294</v>
      </c>
      <c r="X473" s="2">
        <v>0</v>
      </c>
      <c r="Y473" s="2">
        <v>422</v>
      </c>
      <c r="Z473" s="2">
        <v>3716</v>
      </c>
      <c r="AA473">
        <v>545</v>
      </c>
      <c r="AB473" t="s">
        <v>65</v>
      </c>
      <c r="AC473">
        <v>18.3</v>
      </c>
      <c r="AD473">
        <v>82</v>
      </c>
      <c r="AE473">
        <v>32</v>
      </c>
      <c r="AF473" t="s">
        <v>112</v>
      </c>
      <c r="AG473">
        <v>27</v>
      </c>
      <c r="AH473" t="s">
        <v>113</v>
      </c>
      <c r="AI473" t="s">
        <v>95</v>
      </c>
      <c r="AJ473" t="s">
        <v>69</v>
      </c>
      <c r="AK473" t="s">
        <v>71</v>
      </c>
      <c r="AL473" t="s">
        <v>70</v>
      </c>
      <c r="AM473" t="s">
        <v>70</v>
      </c>
      <c r="AN473" t="s">
        <v>72</v>
      </c>
      <c r="AO473" t="s">
        <v>135</v>
      </c>
      <c r="AP473" t="s">
        <v>72</v>
      </c>
      <c r="AQ473" t="s">
        <v>74</v>
      </c>
      <c r="AR473" s="1">
        <v>45462</v>
      </c>
      <c r="AS473" t="s">
        <v>137</v>
      </c>
      <c r="AT473" t="s">
        <v>71</v>
      </c>
      <c r="AU473">
        <v>-145</v>
      </c>
      <c r="AV473" t="s">
        <v>179</v>
      </c>
      <c r="AW473" s="3">
        <v>44592</v>
      </c>
      <c r="AX473" t="s">
        <v>808</v>
      </c>
      <c r="AY473" t="s">
        <v>799</v>
      </c>
      <c r="AZ473" t="s">
        <v>810</v>
      </c>
      <c r="BA473" t="s">
        <v>800</v>
      </c>
      <c r="BB473" t="s">
        <v>801</v>
      </c>
      <c r="BC473" t="s">
        <v>812</v>
      </c>
      <c r="BD473" s="3">
        <v>0.14666307857911734</v>
      </c>
      <c r="BE473">
        <v>609.4</v>
      </c>
      <c r="BG473" s="2">
        <f t="shared" si="34"/>
        <v>44592</v>
      </c>
      <c r="BH473" t="str" cm="1">
        <f t="array" ref="BH473">_xlfn.IFS(Q473&lt;5,"0-5 Years",Q473&lt;10,"5-10 Years",Q473&lt;15,"10-15 Years",TRUE,"15+ Years")</f>
        <v>5-10 Years</v>
      </c>
      <c r="BI473" t="str" cm="1">
        <f t="array" ref="BI473">_xlfn.IFS(AA473&gt;=540,"A",AA473&gt;=480,"B",AA473&gt;=420,"C",AA473&gt;=360,"D",TRUE,"F")</f>
        <v>A</v>
      </c>
      <c r="BJ473" t="str" cm="1">
        <f t="array" ref="BJ473">_xlfn.IFS(AU473&lt;0,"Separated",AU473&lt;=90,"High Risk",AU473&lt;=180,"Medium Risk",TRUE,"Retained")</f>
        <v>Separated</v>
      </c>
      <c r="BK473" t="str" cm="1">
        <f t="array" ref="BK473">_xlfn.IFS(V473=0,"No Combat",V473=1,"1 Tour",V473=2,"2 Tours",TRUE,"3+ Tours")</f>
        <v>No Combat</v>
      </c>
      <c r="BL473" t="str">
        <f t="shared" si="35"/>
        <v>Standard</v>
      </c>
      <c r="BM473" t="str">
        <f t="shared" si="36"/>
        <v>Promotion Ready</v>
      </c>
      <c r="BN473" s="3">
        <f t="shared" si="37"/>
        <v>0.14666307857911734</v>
      </c>
      <c r="BO473">
        <f t="shared" si="38"/>
        <v>609.4</v>
      </c>
    </row>
    <row r="474" spans="1:67" x14ac:dyDescent="0.25">
      <c r="A474" t="s">
        <v>761</v>
      </c>
      <c r="B474" t="s">
        <v>245</v>
      </c>
      <c r="C474" t="s">
        <v>206</v>
      </c>
      <c r="D474" t="s">
        <v>122</v>
      </c>
      <c r="E474">
        <v>23</v>
      </c>
      <c r="F474" t="s">
        <v>278</v>
      </c>
      <c r="G474" t="s">
        <v>193</v>
      </c>
      <c r="H474" t="s">
        <v>194</v>
      </c>
      <c r="I474" t="s">
        <v>171</v>
      </c>
      <c r="J474" t="s">
        <v>172</v>
      </c>
      <c r="K474" t="s">
        <v>173</v>
      </c>
      <c r="L474" t="s">
        <v>58</v>
      </c>
      <c r="M474" t="s">
        <v>59</v>
      </c>
      <c r="N474" t="s">
        <v>128</v>
      </c>
      <c r="O474" t="s">
        <v>89</v>
      </c>
      <c r="P474" s="1">
        <v>42077</v>
      </c>
      <c r="Q474">
        <v>9.1999999999999993</v>
      </c>
      <c r="R474" t="s">
        <v>208</v>
      </c>
      <c r="S474" t="s">
        <v>91</v>
      </c>
      <c r="T474" t="s">
        <v>92</v>
      </c>
      <c r="U474">
        <v>10</v>
      </c>
      <c r="V474">
        <v>1</v>
      </c>
      <c r="W474" s="2">
        <v>2259</v>
      </c>
      <c r="X474" s="2">
        <v>1294</v>
      </c>
      <c r="Y474" s="2">
        <v>422</v>
      </c>
      <c r="Z474" s="2">
        <v>3975</v>
      </c>
      <c r="AA474">
        <v>521</v>
      </c>
      <c r="AB474" t="s">
        <v>65</v>
      </c>
      <c r="AC474">
        <v>12.8</v>
      </c>
      <c r="AD474">
        <v>39</v>
      </c>
      <c r="AE474">
        <v>65</v>
      </c>
      <c r="AF474" t="s">
        <v>93</v>
      </c>
      <c r="AG474">
        <v>35</v>
      </c>
      <c r="AH474" t="s">
        <v>67</v>
      </c>
      <c r="AI474" t="s">
        <v>68</v>
      </c>
      <c r="AJ474" t="s">
        <v>72</v>
      </c>
      <c r="AK474" t="s">
        <v>70</v>
      </c>
      <c r="AL474" t="s">
        <v>71</v>
      </c>
      <c r="AM474" t="s">
        <v>70</v>
      </c>
      <c r="AN474" t="s">
        <v>115</v>
      </c>
      <c r="AO474" t="s">
        <v>227</v>
      </c>
      <c r="AP474" t="s">
        <v>72</v>
      </c>
      <c r="AQ474" t="s">
        <v>98</v>
      </c>
      <c r="AR474" s="1">
        <v>44682</v>
      </c>
      <c r="AS474" t="s">
        <v>198</v>
      </c>
      <c r="AT474" t="s">
        <v>71</v>
      </c>
      <c r="AU474">
        <v>-301</v>
      </c>
      <c r="AV474" t="s">
        <v>179</v>
      </c>
      <c r="AW474" s="3">
        <v>47700</v>
      </c>
      <c r="AX474" t="s">
        <v>808</v>
      </c>
      <c r="AY474" t="s">
        <v>806</v>
      </c>
      <c r="AZ474" t="s">
        <v>810</v>
      </c>
      <c r="BA474" t="s">
        <v>807</v>
      </c>
      <c r="BB474" t="s">
        <v>801</v>
      </c>
      <c r="BC474" t="s">
        <v>802</v>
      </c>
      <c r="BD474" s="3">
        <v>0.13106918238993712</v>
      </c>
      <c r="BE474">
        <v>601.4</v>
      </c>
      <c r="BG474" s="2">
        <f t="shared" si="34"/>
        <v>47700</v>
      </c>
      <c r="BH474" t="str" cm="1">
        <f t="array" ref="BH474">_xlfn.IFS(Q474&lt;5,"0-5 Years",Q474&lt;10,"5-10 Years",Q474&lt;15,"10-15 Years",TRUE,"15+ Years")</f>
        <v>5-10 Years</v>
      </c>
      <c r="BI474" t="str" cm="1">
        <f t="array" ref="BI474">_xlfn.IFS(AA474&gt;=540,"A",AA474&gt;=480,"B",AA474&gt;=420,"C",AA474&gt;=360,"D",TRUE,"F")</f>
        <v>B</v>
      </c>
      <c r="BJ474" t="str" cm="1">
        <f t="array" ref="BJ474">_xlfn.IFS(AU474&lt;0,"Separated",AU474&lt;=90,"High Risk",AU474&lt;=180,"Medium Risk",TRUE,"Retained")</f>
        <v>Separated</v>
      </c>
      <c r="BK474" t="str" cm="1">
        <f t="array" ref="BK474">_xlfn.IFS(V474=0,"No Combat",V474=1,"1 Tour",V474=2,"2 Tours",TRUE,"3+ Tours")</f>
        <v>1 Tour</v>
      </c>
      <c r="BL474" t="str">
        <f t="shared" si="35"/>
        <v>Standard</v>
      </c>
      <c r="BM474" t="str">
        <f t="shared" si="36"/>
        <v>Not Ready</v>
      </c>
      <c r="BN474" s="3">
        <f t="shared" si="37"/>
        <v>0.13106918238993712</v>
      </c>
      <c r="BO474">
        <f t="shared" si="38"/>
        <v>601.4</v>
      </c>
    </row>
    <row r="475" spans="1:67" x14ac:dyDescent="0.25">
      <c r="A475" t="s">
        <v>762</v>
      </c>
      <c r="B475" t="s">
        <v>190</v>
      </c>
      <c r="C475" t="s">
        <v>140</v>
      </c>
      <c r="D475" t="s">
        <v>51</v>
      </c>
      <c r="E475">
        <v>25</v>
      </c>
      <c r="F475" t="s">
        <v>382</v>
      </c>
      <c r="G475" t="s">
        <v>285</v>
      </c>
      <c r="H475" t="s">
        <v>286</v>
      </c>
      <c r="I475" t="s">
        <v>273</v>
      </c>
      <c r="J475" t="s">
        <v>274</v>
      </c>
      <c r="K475" t="s">
        <v>57</v>
      </c>
      <c r="L475" t="s">
        <v>126</v>
      </c>
      <c r="M475" t="s">
        <v>207</v>
      </c>
      <c r="N475" t="s">
        <v>128</v>
      </c>
      <c r="O475" t="s">
        <v>149</v>
      </c>
      <c r="P475" s="1">
        <v>38679</v>
      </c>
      <c r="Q475">
        <v>18.5</v>
      </c>
      <c r="R475" t="s">
        <v>90</v>
      </c>
      <c r="S475" t="s">
        <v>110</v>
      </c>
      <c r="T475" t="s">
        <v>111</v>
      </c>
      <c r="U475">
        <v>10</v>
      </c>
      <c r="V475">
        <v>1</v>
      </c>
      <c r="W475" s="2">
        <v>7668</v>
      </c>
      <c r="X475" s="2">
        <v>0</v>
      </c>
      <c r="Y475" s="2">
        <v>266</v>
      </c>
      <c r="Z475" s="2">
        <v>7934</v>
      </c>
      <c r="AA475">
        <v>391</v>
      </c>
      <c r="AB475" t="s">
        <v>65</v>
      </c>
      <c r="AC475">
        <v>18.3</v>
      </c>
      <c r="AD475">
        <v>81</v>
      </c>
      <c r="AE475">
        <v>34</v>
      </c>
      <c r="AF475" t="s">
        <v>132</v>
      </c>
      <c r="AG475">
        <v>31</v>
      </c>
      <c r="AH475" t="s">
        <v>67</v>
      </c>
      <c r="AI475" t="s">
        <v>152</v>
      </c>
      <c r="AJ475" t="s">
        <v>69</v>
      </c>
      <c r="AK475" t="s">
        <v>71</v>
      </c>
      <c r="AL475" t="s">
        <v>70</v>
      </c>
      <c r="AM475" t="s">
        <v>70</v>
      </c>
      <c r="AN475" t="s">
        <v>72</v>
      </c>
      <c r="AO475" t="s">
        <v>73</v>
      </c>
      <c r="AP475" t="s">
        <v>72</v>
      </c>
      <c r="AQ475" t="s">
        <v>98</v>
      </c>
      <c r="AR475" s="1">
        <v>41995</v>
      </c>
      <c r="AS475" t="s">
        <v>198</v>
      </c>
      <c r="AT475" t="s">
        <v>71</v>
      </c>
      <c r="AU475">
        <v>-25</v>
      </c>
      <c r="AV475" t="s">
        <v>179</v>
      </c>
      <c r="AW475" s="3">
        <v>95208</v>
      </c>
      <c r="AX475" t="s">
        <v>798</v>
      </c>
      <c r="AY475" t="s">
        <v>809</v>
      </c>
      <c r="AZ475" t="s">
        <v>810</v>
      </c>
      <c r="BA475" t="s">
        <v>807</v>
      </c>
      <c r="BB475" t="s">
        <v>801</v>
      </c>
      <c r="BC475" t="s">
        <v>802</v>
      </c>
      <c r="BD475" s="3">
        <v>4.9281572977060754E-2</v>
      </c>
      <c r="BE475">
        <v>463.4</v>
      </c>
      <c r="BG475" s="2">
        <f t="shared" si="34"/>
        <v>95208</v>
      </c>
      <c r="BH475" t="str" cm="1">
        <f t="array" ref="BH475">_xlfn.IFS(Q475&lt;5,"0-5 Years",Q475&lt;10,"5-10 Years",Q475&lt;15,"10-15 Years",TRUE,"15+ Years")</f>
        <v>15+ Years</v>
      </c>
      <c r="BI475" t="str" cm="1">
        <f t="array" ref="BI475">_xlfn.IFS(AA475&gt;=540,"A",AA475&gt;=480,"B",AA475&gt;=420,"C",AA475&gt;=360,"D",TRUE,"F")</f>
        <v>D</v>
      </c>
      <c r="BJ475" t="str" cm="1">
        <f t="array" ref="BJ475">_xlfn.IFS(AU475&lt;0,"Separated",AU475&lt;=90,"High Risk",AU475&lt;=180,"Medium Risk",TRUE,"Retained")</f>
        <v>Separated</v>
      </c>
      <c r="BK475" t="str" cm="1">
        <f t="array" ref="BK475">_xlfn.IFS(V475=0,"No Combat",V475=1,"1 Tour",V475=2,"2 Tours",TRUE,"3+ Tours")</f>
        <v>1 Tour</v>
      </c>
      <c r="BL475" t="str">
        <f t="shared" si="35"/>
        <v>Standard</v>
      </c>
      <c r="BM475" t="str">
        <f t="shared" si="36"/>
        <v>Not Ready</v>
      </c>
      <c r="BN475" s="3">
        <f t="shared" si="37"/>
        <v>4.9281572977060754E-2</v>
      </c>
      <c r="BO475">
        <f t="shared" si="38"/>
        <v>463.4</v>
      </c>
    </row>
    <row r="476" spans="1:67" x14ac:dyDescent="0.25">
      <c r="A476" t="s">
        <v>763</v>
      </c>
      <c r="B476" t="s">
        <v>377</v>
      </c>
      <c r="C476" t="s">
        <v>264</v>
      </c>
      <c r="D476" t="s">
        <v>51</v>
      </c>
      <c r="E476">
        <v>33</v>
      </c>
      <c r="F476" t="s">
        <v>291</v>
      </c>
      <c r="G476" t="s">
        <v>124</v>
      </c>
      <c r="H476" t="s">
        <v>125</v>
      </c>
      <c r="I476" t="s">
        <v>260</v>
      </c>
      <c r="J476" t="s">
        <v>261</v>
      </c>
      <c r="K476" t="s">
        <v>173</v>
      </c>
      <c r="L476" t="s">
        <v>201</v>
      </c>
      <c r="M476" t="s">
        <v>87</v>
      </c>
      <c r="N476" t="s">
        <v>60</v>
      </c>
      <c r="O476" t="s">
        <v>109</v>
      </c>
      <c r="P476" s="1">
        <v>42417</v>
      </c>
      <c r="Q476">
        <v>8.3000000000000007</v>
      </c>
      <c r="R476" t="s">
        <v>150</v>
      </c>
      <c r="S476" t="s">
        <v>110</v>
      </c>
      <c r="T476" t="s">
        <v>111</v>
      </c>
      <c r="U476">
        <v>13</v>
      </c>
      <c r="V476">
        <v>2</v>
      </c>
      <c r="W476" s="2">
        <v>2730</v>
      </c>
      <c r="X476" s="2">
        <v>842</v>
      </c>
      <c r="Y476" s="2">
        <v>422</v>
      </c>
      <c r="Z476" s="2">
        <v>3994</v>
      </c>
      <c r="AA476">
        <v>532</v>
      </c>
      <c r="AB476" t="s">
        <v>65</v>
      </c>
      <c r="AC476">
        <v>17.899999999999999</v>
      </c>
      <c r="AD476">
        <v>26</v>
      </c>
      <c r="AE476">
        <v>56</v>
      </c>
      <c r="AF476" t="s">
        <v>66</v>
      </c>
      <c r="AG476">
        <v>24</v>
      </c>
      <c r="AH476" t="s">
        <v>113</v>
      </c>
      <c r="AI476" t="s">
        <v>152</v>
      </c>
      <c r="AJ476" t="s">
        <v>72</v>
      </c>
      <c r="AK476" t="s">
        <v>70</v>
      </c>
      <c r="AL476" t="s">
        <v>70</v>
      </c>
      <c r="AM476" t="s">
        <v>70</v>
      </c>
      <c r="AN476" t="s">
        <v>202</v>
      </c>
      <c r="AO476" t="s">
        <v>227</v>
      </c>
      <c r="AP476" t="s">
        <v>227</v>
      </c>
      <c r="AQ476" t="s">
        <v>136</v>
      </c>
      <c r="AR476" s="1">
        <v>42865</v>
      </c>
      <c r="AS476" t="s">
        <v>118</v>
      </c>
      <c r="AT476" t="s">
        <v>71</v>
      </c>
      <c r="AU476">
        <v>-402</v>
      </c>
      <c r="AV476" t="s">
        <v>179</v>
      </c>
      <c r="AW476" s="3">
        <v>47928</v>
      </c>
      <c r="AX476" t="s">
        <v>808</v>
      </c>
      <c r="AY476" t="s">
        <v>806</v>
      </c>
      <c r="AZ476" t="s">
        <v>810</v>
      </c>
      <c r="BA476" t="s">
        <v>811</v>
      </c>
      <c r="BB476" t="s">
        <v>801</v>
      </c>
      <c r="BC476" t="s">
        <v>802</v>
      </c>
      <c r="BD476" s="3">
        <v>0.13319979969954931</v>
      </c>
      <c r="BE476">
        <v>580.4</v>
      </c>
      <c r="BG476" s="2">
        <f t="shared" si="34"/>
        <v>47928</v>
      </c>
      <c r="BH476" t="str" cm="1">
        <f t="array" ref="BH476">_xlfn.IFS(Q476&lt;5,"0-5 Years",Q476&lt;10,"5-10 Years",Q476&lt;15,"10-15 Years",TRUE,"15+ Years")</f>
        <v>5-10 Years</v>
      </c>
      <c r="BI476" t="str" cm="1">
        <f t="array" ref="BI476">_xlfn.IFS(AA476&gt;=540,"A",AA476&gt;=480,"B",AA476&gt;=420,"C",AA476&gt;=360,"D",TRUE,"F")</f>
        <v>B</v>
      </c>
      <c r="BJ476" t="str" cm="1">
        <f t="array" ref="BJ476">_xlfn.IFS(AU476&lt;0,"Separated",AU476&lt;=90,"High Risk",AU476&lt;=180,"Medium Risk",TRUE,"Retained")</f>
        <v>Separated</v>
      </c>
      <c r="BK476" t="str" cm="1">
        <f t="array" ref="BK476">_xlfn.IFS(V476=0,"No Combat",V476=1,"1 Tour",V476=2,"2 Tours",TRUE,"3+ Tours")</f>
        <v>2 Tours</v>
      </c>
      <c r="BL476" t="str">
        <f t="shared" si="35"/>
        <v>Standard</v>
      </c>
      <c r="BM476" t="str">
        <f t="shared" si="36"/>
        <v>Not Ready</v>
      </c>
      <c r="BN476" s="3">
        <f t="shared" si="37"/>
        <v>0.13319979969954931</v>
      </c>
      <c r="BO476">
        <f t="shared" si="38"/>
        <v>580.4</v>
      </c>
    </row>
    <row r="477" spans="1:67" x14ac:dyDescent="0.25">
      <c r="A477" t="s">
        <v>764</v>
      </c>
      <c r="B477" t="s">
        <v>251</v>
      </c>
      <c r="C477" t="s">
        <v>79</v>
      </c>
      <c r="D477" t="s">
        <v>51</v>
      </c>
      <c r="E477">
        <v>18</v>
      </c>
      <c r="F477" t="s">
        <v>248</v>
      </c>
      <c r="G477" t="s">
        <v>101</v>
      </c>
      <c r="H477" t="s">
        <v>102</v>
      </c>
      <c r="I477" t="s">
        <v>158</v>
      </c>
      <c r="J477" t="s">
        <v>159</v>
      </c>
      <c r="K477" t="s">
        <v>160</v>
      </c>
      <c r="L477" t="s">
        <v>58</v>
      </c>
      <c r="M477" t="s">
        <v>249</v>
      </c>
      <c r="N477" t="s">
        <v>265</v>
      </c>
      <c r="O477" t="s">
        <v>61</v>
      </c>
      <c r="P477" s="1">
        <v>41411</v>
      </c>
      <c r="Q477">
        <v>11</v>
      </c>
      <c r="R477" t="s">
        <v>62</v>
      </c>
      <c r="S477" t="s">
        <v>63</v>
      </c>
      <c r="T477" t="s">
        <v>64</v>
      </c>
      <c r="U477">
        <v>0</v>
      </c>
      <c r="V477">
        <v>0</v>
      </c>
      <c r="W477" s="2">
        <v>2980</v>
      </c>
      <c r="X477" s="2">
        <v>1338</v>
      </c>
      <c r="Y477" s="2">
        <v>422</v>
      </c>
      <c r="Z477" s="2">
        <v>4740</v>
      </c>
      <c r="AA477">
        <v>384</v>
      </c>
      <c r="AB477" t="s">
        <v>65</v>
      </c>
      <c r="AC477">
        <v>13.1</v>
      </c>
      <c r="AD477">
        <v>70</v>
      </c>
      <c r="AE477">
        <v>72</v>
      </c>
      <c r="AF477" t="s">
        <v>132</v>
      </c>
      <c r="AG477">
        <v>19</v>
      </c>
      <c r="AH477" t="s">
        <v>113</v>
      </c>
      <c r="AI477" t="s">
        <v>177</v>
      </c>
      <c r="AJ477" t="s">
        <v>96</v>
      </c>
      <c r="AK477" t="s">
        <v>70</v>
      </c>
      <c r="AL477" t="s">
        <v>70</v>
      </c>
      <c r="AM477" t="s">
        <v>70</v>
      </c>
      <c r="AN477" t="s">
        <v>72</v>
      </c>
      <c r="AO477" t="s">
        <v>203</v>
      </c>
      <c r="AP477" t="s">
        <v>72</v>
      </c>
      <c r="AQ477" t="s">
        <v>98</v>
      </c>
      <c r="AR477" s="1">
        <v>43453</v>
      </c>
      <c r="AS477" t="s">
        <v>137</v>
      </c>
      <c r="AT477" t="s">
        <v>71</v>
      </c>
      <c r="AU477">
        <v>1673</v>
      </c>
      <c r="AV477" t="s">
        <v>76</v>
      </c>
      <c r="AW477" s="3">
        <v>56880</v>
      </c>
      <c r="AX477" t="s">
        <v>805</v>
      </c>
      <c r="AY477" t="s">
        <v>809</v>
      </c>
      <c r="AZ477" t="s">
        <v>76</v>
      </c>
      <c r="BA477" t="s">
        <v>800</v>
      </c>
      <c r="BB477" t="s">
        <v>801</v>
      </c>
      <c r="BC477" t="s">
        <v>802</v>
      </c>
      <c r="BD477" s="3">
        <v>8.1012658227848103E-2</v>
      </c>
      <c r="BE477">
        <v>422.4</v>
      </c>
      <c r="BG477" s="2">
        <f t="shared" si="34"/>
        <v>56880</v>
      </c>
      <c r="BH477" t="str" cm="1">
        <f t="array" ref="BH477">_xlfn.IFS(Q477&lt;5,"0-5 Years",Q477&lt;10,"5-10 Years",Q477&lt;15,"10-15 Years",TRUE,"15+ Years")</f>
        <v>10-15 Years</v>
      </c>
      <c r="BI477" t="str" cm="1">
        <f t="array" ref="BI477">_xlfn.IFS(AA477&gt;=540,"A",AA477&gt;=480,"B",AA477&gt;=420,"C",AA477&gt;=360,"D",TRUE,"F")</f>
        <v>D</v>
      </c>
      <c r="BJ477" t="str" cm="1">
        <f t="array" ref="BJ477">_xlfn.IFS(AU477&lt;0,"Separated",AU477&lt;=90,"High Risk",AU477&lt;=180,"Medium Risk",TRUE,"Retained")</f>
        <v>Retained</v>
      </c>
      <c r="BK477" t="str" cm="1">
        <f t="array" ref="BK477">_xlfn.IFS(V477=0,"No Combat",V477=1,"1 Tour",V477=2,"2 Tours",TRUE,"3+ Tours")</f>
        <v>No Combat</v>
      </c>
      <c r="BL477" t="str">
        <f t="shared" si="35"/>
        <v>Standard</v>
      </c>
      <c r="BM477" t="str">
        <f t="shared" si="36"/>
        <v>Not Ready</v>
      </c>
      <c r="BN477" s="3">
        <f t="shared" si="37"/>
        <v>8.1012658227848103E-2</v>
      </c>
      <c r="BO477">
        <f t="shared" si="38"/>
        <v>422.4</v>
      </c>
    </row>
    <row r="478" spans="1:67" x14ac:dyDescent="0.25">
      <c r="A478" t="s">
        <v>765</v>
      </c>
      <c r="B478" t="s">
        <v>377</v>
      </c>
      <c r="C478" t="s">
        <v>252</v>
      </c>
      <c r="D478" t="s">
        <v>51</v>
      </c>
      <c r="E478">
        <v>36</v>
      </c>
      <c r="F478" t="s">
        <v>123</v>
      </c>
      <c r="G478" t="s">
        <v>215</v>
      </c>
      <c r="H478" t="s">
        <v>216</v>
      </c>
      <c r="I478" t="s">
        <v>236</v>
      </c>
      <c r="J478" t="s">
        <v>237</v>
      </c>
      <c r="K478" t="s">
        <v>238</v>
      </c>
      <c r="L478" t="s">
        <v>58</v>
      </c>
      <c r="M478" t="s">
        <v>249</v>
      </c>
      <c r="N478" t="s">
        <v>128</v>
      </c>
      <c r="O478" t="s">
        <v>149</v>
      </c>
      <c r="P478" s="1">
        <v>39898</v>
      </c>
      <c r="Q478">
        <v>15.2</v>
      </c>
      <c r="R478" t="s">
        <v>90</v>
      </c>
      <c r="S478" t="s">
        <v>219</v>
      </c>
      <c r="T478" t="s">
        <v>220</v>
      </c>
      <c r="U478">
        <v>0</v>
      </c>
      <c r="V478">
        <v>0</v>
      </c>
      <c r="W478" s="2">
        <v>3637</v>
      </c>
      <c r="X478" s="2">
        <v>1772</v>
      </c>
      <c r="Y478" s="2">
        <v>266</v>
      </c>
      <c r="Z478" s="2">
        <v>5675</v>
      </c>
      <c r="AA478">
        <v>488</v>
      </c>
      <c r="AB478" t="s">
        <v>65</v>
      </c>
      <c r="AC478">
        <v>16.600000000000001</v>
      </c>
      <c r="AD478">
        <v>26</v>
      </c>
      <c r="AE478">
        <v>41</v>
      </c>
      <c r="AF478" t="s">
        <v>66</v>
      </c>
      <c r="AG478">
        <v>20</v>
      </c>
      <c r="AH478" t="s">
        <v>113</v>
      </c>
      <c r="AI478" t="s">
        <v>114</v>
      </c>
      <c r="AJ478" t="s">
        <v>72</v>
      </c>
      <c r="AK478" t="s">
        <v>70</v>
      </c>
      <c r="AL478" t="s">
        <v>70</v>
      </c>
      <c r="AM478" t="s">
        <v>71</v>
      </c>
      <c r="AN478" t="s">
        <v>243</v>
      </c>
      <c r="AO478" t="s">
        <v>72</v>
      </c>
      <c r="AP478" t="s">
        <v>72</v>
      </c>
      <c r="AQ478" t="s">
        <v>98</v>
      </c>
      <c r="AR478" s="1">
        <v>41660</v>
      </c>
      <c r="AS478" t="s">
        <v>198</v>
      </c>
      <c r="AT478" t="s">
        <v>71</v>
      </c>
      <c r="AU478">
        <v>575</v>
      </c>
      <c r="AV478" t="s">
        <v>76</v>
      </c>
      <c r="AW478" s="3">
        <v>68100</v>
      </c>
      <c r="AX478" t="s">
        <v>798</v>
      </c>
      <c r="AY478" t="s">
        <v>806</v>
      </c>
      <c r="AZ478" t="s">
        <v>76</v>
      </c>
      <c r="BA478" t="s">
        <v>800</v>
      </c>
      <c r="BB478" t="s">
        <v>801</v>
      </c>
      <c r="BC478" t="s">
        <v>802</v>
      </c>
      <c r="BD478" s="3">
        <v>8.5991189427312778E-2</v>
      </c>
      <c r="BE478">
        <v>548.4</v>
      </c>
      <c r="BG478" s="2">
        <f t="shared" si="34"/>
        <v>68100</v>
      </c>
      <c r="BH478" t="str" cm="1">
        <f t="array" ref="BH478">_xlfn.IFS(Q478&lt;5,"0-5 Years",Q478&lt;10,"5-10 Years",Q478&lt;15,"10-15 Years",TRUE,"15+ Years")</f>
        <v>15+ Years</v>
      </c>
      <c r="BI478" t="str" cm="1">
        <f t="array" ref="BI478">_xlfn.IFS(AA478&gt;=540,"A",AA478&gt;=480,"B",AA478&gt;=420,"C",AA478&gt;=360,"D",TRUE,"F")</f>
        <v>B</v>
      </c>
      <c r="BJ478" t="str" cm="1">
        <f t="array" ref="BJ478">_xlfn.IFS(AU478&lt;0,"Separated",AU478&lt;=90,"High Risk",AU478&lt;=180,"Medium Risk",TRUE,"Retained")</f>
        <v>Retained</v>
      </c>
      <c r="BK478" t="str" cm="1">
        <f t="array" ref="BK478">_xlfn.IFS(V478=0,"No Combat",V478=1,"1 Tour",V478=2,"2 Tours",TRUE,"3+ Tours")</f>
        <v>No Combat</v>
      </c>
      <c r="BL478" t="str">
        <f t="shared" si="35"/>
        <v>Standard</v>
      </c>
      <c r="BM478" t="str">
        <f t="shared" si="36"/>
        <v>Not Ready</v>
      </c>
      <c r="BN478" s="3">
        <f t="shared" si="37"/>
        <v>8.5991189427312778E-2</v>
      </c>
      <c r="BO478">
        <f t="shared" si="38"/>
        <v>548.4</v>
      </c>
    </row>
    <row r="479" spans="1:67" x14ac:dyDescent="0.25">
      <c r="A479" t="s">
        <v>766</v>
      </c>
      <c r="B479" t="s">
        <v>166</v>
      </c>
      <c r="C479" t="s">
        <v>501</v>
      </c>
      <c r="D479" t="s">
        <v>122</v>
      </c>
      <c r="E479">
        <v>37</v>
      </c>
      <c r="F479" t="s">
        <v>316</v>
      </c>
      <c r="G479" t="s">
        <v>298</v>
      </c>
      <c r="H479" t="s">
        <v>299</v>
      </c>
      <c r="I479" t="s">
        <v>144</v>
      </c>
      <c r="J479" t="s">
        <v>145</v>
      </c>
      <c r="K479" t="s">
        <v>146</v>
      </c>
      <c r="L479" t="s">
        <v>86</v>
      </c>
      <c r="M479" t="s">
        <v>212</v>
      </c>
      <c r="N479" t="s">
        <v>60</v>
      </c>
      <c r="O479" t="s">
        <v>149</v>
      </c>
      <c r="P479" s="1">
        <v>43855</v>
      </c>
      <c r="Q479">
        <v>4.4000000000000004</v>
      </c>
      <c r="R479" t="s">
        <v>62</v>
      </c>
      <c r="S479" t="s">
        <v>219</v>
      </c>
      <c r="T479" t="s">
        <v>220</v>
      </c>
      <c r="U479">
        <v>0</v>
      </c>
      <c r="V479">
        <v>0</v>
      </c>
      <c r="W479" s="2">
        <v>2149</v>
      </c>
      <c r="X479" s="2">
        <v>1565</v>
      </c>
      <c r="Y479" s="2">
        <v>422</v>
      </c>
      <c r="Z479" s="2">
        <v>4136</v>
      </c>
      <c r="AA479">
        <v>355</v>
      </c>
      <c r="AB479" t="s">
        <v>151</v>
      </c>
      <c r="AC479">
        <v>16.3</v>
      </c>
      <c r="AD479">
        <v>73</v>
      </c>
      <c r="AE479">
        <v>44</v>
      </c>
      <c r="AF479" t="s">
        <v>132</v>
      </c>
      <c r="AG479">
        <v>35</v>
      </c>
      <c r="AH479" t="s">
        <v>67</v>
      </c>
      <c r="AI479" t="s">
        <v>95</v>
      </c>
      <c r="AJ479" t="s">
        <v>96</v>
      </c>
      <c r="AK479" t="s">
        <v>70</v>
      </c>
      <c r="AL479" t="s">
        <v>71</v>
      </c>
      <c r="AM479" t="s">
        <v>70</v>
      </c>
      <c r="AN479" t="s">
        <v>133</v>
      </c>
      <c r="AO479" t="s">
        <v>72</v>
      </c>
      <c r="AP479" t="s">
        <v>227</v>
      </c>
      <c r="AQ479" t="s">
        <v>98</v>
      </c>
      <c r="AR479" s="1">
        <v>45657</v>
      </c>
      <c r="AS479" t="s">
        <v>137</v>
      </c>
      <c r="AT479" t="s">
        <v>71</v>
      </c>
      <c r="AU479">
        <v>96</v>
      </c>
      <c r="AV479" t="s">
        <v>179</v>
      </c>
      <c r="AW479" s="3">
        <v>49632</v>
      </c>
      <c r="AX479" t="s">
        <v>803</v>
      </c>
      <c r="AY479" t="s">
        <v>122</v>
      </c>
      <c r="AZ479" t="s">
        <v>815</v>
      </c>
      <c r="BA479" t="s">
        <v>800</v>
      </c>
      <c r="BB479" t="s">
        <v>801</v>
      </c>
      <c r="BC479" t="s">
        <v>802</v>
      </c>
      <c r="BD479" s="3">
        <v>8.5831721470019343E-2</v>
      </c>
      <c r="BE479">
        <v>435.4</v>
      </c>
      <c r="BG479" s="2">
        <f t="shared" si="34"/>
        <v>49632</v>
      </c>
      <c r="BH479" t="str" cm="1">
        <f t="array" ref="BH479">_xlfn.IFS(Q479&lt;5,"0-5 Years",Q479&lt;10,"5-10 Years",Q479&lt;15,"10-15 Years",TRUE,"15+ Years")</f>
        <v>0-5 Years</v>
      </c>
      <c r="BI479" t="str" cm="1">
        <f t="array" ref="BI479">_xlfn.IFS(AA479&gt;=540,"A",AA479&gt;=480,"B",AA479&gt;=420,"C",AA479&gt;=360,"D",TRUE,"F")</f>
        <v>F</v>
      </c>
      <c r="BJ479" t="str" cm="1">
        <f t="array" ref="BJ479">_xlfn.IFS(AU479&lt;0,"Separated",AU479&lt;=90,"High Risk",AU479&lt;=180,"Medium Risk",TRUE,"Retained")</f>
        <v>Medium Risk</v>
      </c>
      <c r="BK479" t="str" cm="1">
        <f t="array" ref="BK479">_xlfn.IFS(V479=0,"No Combat",V479=1,"1 Tour",V479=2,"2 Tours",TRUE,"3+ Tours")</f>
        <v>No Combat</v>
      </c>
      <c r="BL479" t="str">
        <f t="shared" si="35"/>
        <v>Standard</v>
      </c>
      <c r="BM479" t="str">
        <f t="shared" si="36"/>
        <v>Not Ready</v>
      </c>
      <c r="BN479" s="3">
        <f t="shared" si="37"/>
        <v>8.5831721470019343E-2</v>
      </c>
      <c r="BO479">
        <f t="shared" si="38"/>
        <v>435.4</v>
      </c>
    </row>
    <row r="480" spans="1:67" x14ac:dyDescent="0.25">
      <c r="A480" t="s">
        <v>767</v>
      </c>
      <c r="B480" t="s">
        <v>49</v>
      </c>
      <c r="C480" t="s">
        <v>332</v>
      </c>
      <c r="D480" t="s">
        <v>51</v>
      </c>
      <c r="E480">
        <v>28</v>
      </c>
      <c r="F480" t="s">
        <v>168</v>
      </c>
      <c r="G480" t="s">
        <v>156</v>
      </c>
      <c r="H480" t="s">
        <v>157</v>
      </c>
      <c r="I480" t="s">
        <v>217</v>
      </c>
      <c r="J480" t="s">
        <v>218</v>
      </c>
      <c r="K480" t="s">
        <v>146</v>
      </c>
      <c r="L480" t="s">
        <v>126</v>
      </c>
      <c r="M480" t="s">
        <v>175</v>
      </c>
      <c r="N480" t="s">
        <v>128</v>
      </c>
      <c r="O480" t="s">
        <v>176</v>
      </c>
      <c r="P480" s="1">
        <v>40839</v>
      </c>
      <c r="Q480">
        <v>12.6</v>
      </c>
      <c r="R480" t="s">
        <v>75</v>
      </c>
      <c r="S480" t="s">
        <v>196</v>
      </c>
      <c r="T480" t="s">
        <v>197</v>
      </c>
      <c r="U480">
        <v>0</v>
      </c>
      <c r="V480">
        <v>0</v>
      </c>
      <c r="W480" s="2">
        <v>4836</v>
      </c>
      <c r="X480" s="2">
        <v>1896</v>
      </c>
      <c r="Y480" s="2">
        <v>266</v>
      </c>
      <c r="Z480" s="2">
        <v>6998</v>
      </c>
      <c r="AA480">
        <v>551</v>
      </c>
      <c r="AB480" t="s">
        <v>65</v>
      </c>
      <c r="AC480">
        <v>20.3</v>
      </c>
      <c r="AD480">
        <v>74</v>
      </c>
      <c r="AE480">
        <v>60</v>
      </c>
      <c r="AF480" t="s">
        <v>132</v>
      </c>
      <c r="AG480">
        <v>28</v>
      </c>
      <c r="AH480" t="s">
        <v>113</v>
      </c>
      <c r="AI480" t="s">
        <v>152</v>
      </c>
      <c r="AJ480" t="s">
        <v>96</v>
      </c>
      <c r="AK480" t="s">
        <v>71</v>
      </c>
      <c r="AL480" t="s">
        <v>70</v>
      </c>
      <c r="AM480" t="s">
        <v>70</v>
      </c>
      <c r="AN480" t="s">
        <v>72</v>
      </c>
      <c r="AO480" t="s">
        <v>72</v>
      </c>
      <c r="AP480" t="s">
        <v>72</v>
      </c>
      <c r="AQ480" t="s">
        <v>98</v>
      </c>
      <c r="AR480" s="1">
        <v>42741</v>
      </c>
      <c r="AS480" t="s">
        <v>137</v>
      </c>
      <c r="AT480" t="s">
        <v>71</v>
      </c>
      <c r="AU480">
        <v>611</v>
      </c>
      <c r="AV480" t="s">
        <v>76</v>
      </c>
      <c r="AW480" s="3">
        <v>83976</v>
      </c>
      <c r="AX480" t="s">
        <v>805</v>
      </c>
      <c r="AY480" t="s">
        <v>799</v>
      </c>
      <c r="AZ480" t="s">
        <v>76</v>
      </c>
      <c r="BA480" t="s">
        <v>800</v>
      </c>
      <c r="BB480" t="s">
        <v>801</v>
      </c>
      <c r="BC480" t="s">
        <v>802</v>
      </c>
      <c r="BD480" s="3">
        <v>7.8736781937696482E-2</v>
      </c>
      <c r="BE480">
        <v>617.4</v>
      </c>
      <c r="BG480" s="2">
        <f t="shared" si="34"/>
        <v>83976</v>
      </c>
      <c r="BH480" t="str" cm="1">
        <f t="array" ref="BH480">_xlfn.IFS(Q480&lt;5,"0-5 Years",Q480&lt;10,"5-10 Years",Q480&lt;15,"10-15 Years",TRUE,"15+ Years")</f>
        <v>10-15 Years</v>
      </c>
      <c r="BI480" t="str" cm="1">
        <f t="array" ref="BI480">_xlfn.IFS(AA480&gt;=540,"A",AA480&gt;=480,"B",AA480&gt;=420,"C",AA480&gt;=360,"D",TRUE,"F")</f>
        <v>A</v>
      </c>
      <c r="BJ480" t="str" cm="1">
        <f t="array" ref="BJ480">_xlfn.IFS(AU480&lt;0,"Separated",AU480&lt;=90,"High Risk",AU480&lt;=180,"Medium Risk",TRUE,"Retained")</f>
        <v>Retained</v>
      </c>
      <c r="BK480" t="str" cm="1">
        <f t="array" ref="BK480">_xlfn.IFS(V480=0,"No Combat",V480=1,"1 Tour",V480=2,"2 Tours",TRUE,"3+ Tours")</f>
        <v>No Combat</v>
      </c>
      <c r="BL480" t="str">
        <f t="shared" si="35"/>
        <v>Standard</v>
      </c>
      <c r="BM480" t="str">
        <f t="shared" si="36"/>
        <v>Not Ready</v>
      </c>
      <c r="BN480" s="3">
        <f t="shared" si="37"/>
        <v>7.8736781937696482E-2</v>
      </c>
      <c r="BO480">
        <f t="shared" si="38"/>
        <v>617.4</v>
      </c>
    </row>
    <row r="481" spans="1:67" x14ac:dyDescent="0.25">
      <c r="A481" t="s">
        <v>768</v>
      </c>
      <c r="B481" t="s">
        <v>267</v>
      </c>
      <c r="C481" t="s">
        <v>182</v>
      </c>
      <c r="D481" t="s">
        <v>51</v>
      </c>
      <c r="E481">
        <v>34</v>
      </c>
      <c r="F481" t="s">
        <v>123</v>
      </c>
      <c r="G481" t="s">
        <v>215</v>
      </c>
      <c r="H481" t="s">
        <v>216</v>
      </c>
      <c r="I481" t="s">
        <v>236</v>
      </c>
      <c r="J481" t="s">
        <v>237</v>
      </c>
      <c r="K481" t="s">
        <v>238</v>
      </c>
      <c r="L481" t="s">
        <v>58</v>
      </c>
      <c r="M481" t="s">
        <v>87</v>
      </c>
      <c r="N481" t="s">
        <v>108</v>
      </c>
      <c r="O481" t="s">
        <v>176</v>
      </c>
      <c r="P481" s="1">
        <v>40862</v>
      </c>
      <c r="Q481">
        <v>12.5</v>
      </c>
      <c r="R481" t="s">
        <v>129</v>
      </c>
      <c r="S481" t="s">
        <v>130</v>
      </c>
      <c r="T481" t="s">
        <v>131</v>
      </c>
      <c r="U481">
        <v>10</v>
      </c>
      <c r="V481">
        <v>1</v>
      </c>
      <c r="W481" s="2">
        <v>3637</v>
      </c>
      <c r="X481" s="2">
        <v>1860</v>
      </c>
      <c r="Y481" s="2">
        <v>266</v>
      </c>
      <c r="Z481" s="2">
        <v>5763</v>
      </c>
      <c r="AA481">
        <v>386</v>
      </c>
      <c r="AB481" t="s">
        <v>65</v>
      </c>
      <c r="AC481">
        <v>14.9</v>
      </c>
      <c r="AD481">
        <v>58</v>
      </c>
      <c r="AE481">
        <v>57</v>
      </c>
      <c r="AF481" t="s">
        <v>93</v>
      </c>
      <c r="AG481">
        <v>40</v>
      </c>
      <c r="AH481" t="s">
        <v>94</v>
      </c>
      <c r="AI481" t="s">
        <v>177</v>
      </c>
      <c r="AJ481" t="s">
        <v>96</v>
      </c>
      <c r="AK481" t="s">
        <v>70</v>
      </c>
      <c r="AL481" t="s">
        <v>70</v>
      </c>
      <c r="AM481" t="s">
        <v>70</v>
      </c>
      <c r="AN481" t="s">
        <v>202</v>
      </c>
      <c r="AO481" t="s">
        <v>72</v>
      </c>
      <c r="AP481" t="s">
        <v>72</v>
      </c>
      <c r="AQ481" t="s">
        <v>117</v>
      </c>
      <c r="AR481" s="1">
        <v>45443</v>
      </c>
      <c r="AS481" t="s">
        <v>75</v>
      </c>
      <c r="AT481" t="s">
        <v>71</v>
      </c>
      <c r="AU481">
        <v>881</v>
      </c>
      <c r="AV481" t="s">
        <v>76</v>
      </c>
      <c r="AW481" s="3">
        <v>69156</v>
      </c>
      <c r="AX481" t="s">
        <v>805</v>
      </c>
      <c r="AY481" t="s">
        <v>809</v>
      </c>
      <c r="AZ481" t="s">
        <v>76</v>
      </c>
      <c r="BA481" t="s">
        <v>807</v>
      </c>
      <c r="BB481" t="s">
        <v>801</v>
      </c>
      <c r="BC481" t="s">
        <v>802</v>
      </c>
      <c r="BD481" s="3">
        <v>6.6979003990976921E-2</v>
      </c>
      <c r="BE481">
        <v>466.4</v>
      </c>
      <c r="BG481" s="2">
        <f t="shared" si="34"/>
        <v>69156</v>
      </c>
      <c r="BH481" t="str" cm="1">
        <f t="array" ref="BH481">_xlfn.IFS(Q481&lt;5,"0-5 Years",Q481&lt;10,"5-10 Years",Q481&lt;15,"10-15 Years",TRUE,"15+ Years")</f>
        <v>10-15 Years</v>
      </c>
      <c r="BI481" t="str" cm="1">
        <f t="array" ref="BI481">_xlfn.IFS(AA481&gt;=540,"A",AA481&gt;=480,"B",AA481&gt;=420,"C",AA481&gt;=360,"D",TRUE,"F")</f>
        <v>D</v>
      </c>
      <c r="BJ481" t="str" cm="1">
        <f t="array" ref="BJ481">_xlfn.IFS(AU481&lt;0,"Separated",AU481&lt;=90,"High Risk",AU481&lt;=180,"Medium Risk",TRUE,"Retained")</f>
        <v>Retained</v>
      </c>
      <c r="BK481" t="str" cm="1">
        <f t="array" ref="BK481">_xlfn.IFS(V481=0,"No Combat",V481=1,"1 Tour",V481=2,"2 Tours",TRUE,"3+ Tours")</f>
        <v>1 Tour</v>
      </c>
      <c r="BL481" t="str">
        <f t="shared" si="35"/>
        <v>Standard</v>
      </c>
      <c r="BM481" t="str">
        <f t="shared" si="36"/>
        <v>Not Ready</v>
      </c>
      <c r="BN481" s="3">
        <f t="shared" si="37"/>
        <v>6.6979003990976921E-2</v>
      </c>
      <c r="BO481">
        <f t="shared" si="38"/>
        <v>466.4</v>
      </c>
    </row>
    <row r="482" spans="1:67" x14ac:dyDescent="0.25">
      <c r="A482" t="s">
        <v>769</v>
      </c>
      <c r="B482" t="s">
        <v>282</v>
      </c>
      <c r="C482" t="s">
        <v>167</v>
      </c>
      <c r="D482" t="s">
        <v>51</v>
      </c>
      <c r="E482">
        <v>36</v>
      </c>
      <c r="F482" t="s">
        <v>80</v>
      </c>
      <c r="G482" t="s">
        <v>53</v>
      </c>
      <c r="H482" t="s">
        <v>54</v>
      </c>
      <c r="I482" t="s">
        <v>253</v>
      </c>
      <c r="J482" t="s">
        <v>254</v>
      </c>
      <c r="K482" t="s">
        <v>255</v>
      </c>
      <c r="L482" t="s">
        <v>126</v>
      </c>
      <c r="M482" t="s">
        <v>59</v>
      </c>
      <c r="N482" t="s">
        <v>88</v>
      </c>
      <c r="O482" t="s">
        <v>61</v>
      </c>
      <c r="P482" s="1">
        <v>42113</v>
      </c>
      <c r="Q482">
        <v>9.1</v>
      </c>
      <c r="R482" t="s">
        <v>90</v>
      </c>
      <c r="S482" t="s">
        <v>63</v>
      </c>
      <c r="T482" t="s">
        <v>64</v>
      </c>
      <c r="U482">
        <v>0</v>
      </c>
      <c r="V482">
        <v>0</v>
      </c>
      <c r="W482" s="2">
        <v>4739</v>
      </c>
      <c r="X482" s="2">
        <v>0</v>
      </c>
      <c r="Y482" s="2">
        <v>422</v>
      </c>
      <c r="Z482" s="2">
        <v>5161</v>
      </c>
      <c r="AA482">
        <v>353</v>
      </c>
      <c r="AB482" t="s">
        <v>151</v>
      </c>
      <c r="AC482">
        <v>14.7</v>
      </c>
      <c r="AD482">
        <v>24</v>
      </c>
      <c r="AE482">
        <v>46</v>
      </c>
      <c r="AF482" t="s">
        <v>132</v>
      </c>
      <c r="AG482">
        <v>33</v>
      </c>
      <c r="AH482" t="s">
        <v>67</v>
      </c>
      <c r="AI482" t="s">
        <v>152</v>
      </c>
      <c r="AJ482" t="s">
        <v>96</v>
      </c>
      <c r="AK482" t="s">
        <v>70</v>
      </c>
      <c r="AL482" t="s">
        <v>70</v>
      </c>
      <c r="AM482" t="s">
        <v>70</v>
      </c>
      <c r="AN482" t="s">
        <v>72</v>
      </c>
      <c r="AO482" t="s">
        <v>227</v>
      </c>
      <c r="AP482" t="s">
        <v>72</v>
      </c>
      <c r="AQ482" t="s">
        <v>98</v>
      </c>
      <c r="AR482" s="1">
        <v>42213</v>
      </c>
      <c r="AS482" t="s">
        <v>198</v>
      </c>
      <c r="AT482" t="s">
        <v>71</v>
      </c>
      <c r="AU482">
        <v>1251</v>
      </c>
      <c r="AV482" t="s">
        <v>76</v>
      </c>
      <c r="AW482" s="3">
        <v>61932</v>
      </c>
      <c r="AX482" t="s">
        <v>808</v>
      </c>
      <c r="AY482" t="s">
        <v>122</v>
      </c>
      <c r="AZ482" t="s">
        <v>76</v>
      </c>
      <c r="BA482" t="s">
        <v>800</v>
      </c>
      <c r="BB482" t="s">
        <v>801</v>
      </c>
      <c r="BC482" t="s">
        <v>802</v>
      </c>
      <c r="BD482" s="3">
        <v>6.8397597364851778E-2</v>
      </c>
      <c r="BE482">
        <v>419.4</v>
      </c>
      <c r="BG482" s="2">
        <f t="shared" si="34"/>
        <v>61932</v>
      </c>
      <c r="BH482" t="str" cm="1">
        <f t="array" ref="BH482">_xlfn.IFS(Q482&lt;5,"0-5 Years",Q482&lt;10,"5-10 Years",Q482&lt;15,"10-15 Years",TRUE,"15+ Years")</f>
        <v>5-10 Years</v>
      </c>
      <c r="BI482" t="str" cm="1">
        <f t="array" ref="BI482">_xlfn.IFS(AA482&gt;=540,"A",AA482&gt;=480,"B",AA482&gt;=420,"C",AA482&gt;=360,"D",TRUE,"F")</f>
        <v>F</v>
      </c>
      <c r="BJ482" t="str" cm="1">
        <f t="array" ref="BJ482">_xlfn.IFS(AU482&lt;0,"Separated",AU482&lt;=90,"High Risk",AU482&lt;=180,"Medium Risk",TRUE,"Retained")</f>
        <v>Retained</v>
      </c>
      <c r="BK482" t="str" cm="1">
        <f t="array" ref="BK482">_xlfn.IFS(V482=0,"No Combat",V482=1,"1 Tour",V482=2,"2 Tours",TRUE,"3+ Tours")</f>
        <v>No Combat</v>
      </c>
      <c r="BL482" t="str">
        <f t="shared" si="35"/>
        <v>Standard</v>
      </c>
      <c r="BM482" t="str">
        <f t="shared" si="36"/>
        <v>Not Ready</v>
      </c>
      <c r="BN482" s="3">
        <f t="shared" si="37"/>
        <v>6.8397597364851778E-2</v>
      </c>
      <c r="BO482">
        <f t="shared" si="38"/>
        <v>419.4</v>
      </c>
    </row>
    <row r="483" spans="1:67" x14ac:dyDescent="0.25">
      <c r="A483" t="s">
        <v>770</v>
      </c>
      <c r="B483" t="s">
        <v>277</v>
      </c>
      <c r="C483" t="s">
        <v>330</v>
      </c>
      <c r="D483" t="s">
        <v>122</v>
      </c>
      <c r="E483">
        <v>28</v>
      </c>
      <c r="F483" t="s">
        <v>305</v>
      </c>
      <c r="G483" t="s">
        <v>285</v>
      </c>
      <c r="H483" t="s">
        <v>286</v>
      </c>
      <c r="I483" t="s">
        <v>253</v>
      </c>
      <c r="J483" t="s">
        <v>254</v>
      </c>
      <c r="K483" t="s">
        <v>255</v>
      </c>
      <c r="L483" t="s">
        <v>126</v>
      </c>
      <c r="M483" t="s">
        <v>161</v>
      </c>
      <c r="N483" t="s">
        <v>60</v>
      </c>
      <c r="O483" t="s">
        <v>149</v>
      </c>
      <c r="P483" s="1">
        <v>39836</v>
      </c>
      <c r="Q483">
        <v>15.4</v>
      </c>
      <c r="R483" t="s">
        <v>62</v>
      </c>
      <c r="S483" t="s">
        <v>163</v>
      </c>
      <c r="T483" t="s">
        <v>164</v>
      </c>
      <c r="U483">
        <v>11</v>
      </c>
      <c r="V483">
        <v>1</v>
      </c>
      <c r="W483" s="2">
        <v>7668</v>
      </c>
      <c r="X483" s="2">
        <v>0</v>
      </c>
      <c r="Y483" s="2">
        <v>266</v>
      </c>
      <c r="Z483" s="2">
        <v>7934</v>
      </c>
      <c r="AA483">
        <v>570</v>
      </c>
      <c r="AB483" t="s">
        <v>65</v>
      </c>
      <c r="AC483">
        <v>19.7</v>
      </c>
      <c r="AD483">
        <v>37</v>
      </c>
      <c r="AE483">
        <v>36</v>
      </c>
      <c r="AF483" t="s">
        <v>112</v>
      </c>
      <c r="AG483">
        <v>20</v>
      </c>
      <c r="AH483" t="s">
        <v>113</v>
      </c>
      <c r="AI483" t="s">
        <v>68</v>
      </c>
      <c r="AJ483" t="s">
        <v>72</v>
      </c>
      <c r="AK483" t="s">
        <v>71</v>
      </c>
      <c r="AL483" t="s">
        <v>71</v>
      </c>
      <c r="AM483" t="s">
        <v>71</v>
      </c>
      <c r="AN483" t="s">
        <v>202</v>
      </c>
      <c r="AO483" t="s">
        <v>72</v>
      </c>
      <c r="AP483" t="s">
        <v>72</v>
      </c>
      <c r="AQ483" t="s">
        <v>74</v>
      </c>
      <c r="AR483" s="1">
        <v>41619</v>
      </c>
      <c r="AS483" t="s">
        <v>75</v>
      </c>
      <c r="AT483" t="s">
        <v>71</v>
      </c>
      <c r="AU483">
        <v>592</v>
      </c>
      <c r="AV483" t="s">
        <v>76</v>
      </c>
      <c r="AW483" s="3">
        <v>95208</v>
      </c>
      <c r="AX483" t="s">
        <v>798</v>
      </c>
      <c r="AY483" t="s">
        <v>799</v>
      </c>
      <c r="AZ483" t="s">
        <v>76</v>
      </c>
      <c r="BA483" t="s">
        <v>807</v>
      </c>
      <c r="BB483" t="s">
        <v>801</v>
      </c>
      <c r="BC483" t="s">
        <v>802</v>
      </c>
      <c r="BD483" s="3">
        <v>7.1842702293924879E-2</v>
      </c>
      <c r="BE483">
        <v>650.4</v>
      </c>
      <c r="BG483" s="2">
        <f t="shared" si="34"/>
        <v>95208</v>
      </c>
      <c r="BH483" t="str" cm="1">
        <f t="array" ref="BH483">_xlfn.IFS(Q483&lt;5,"0-5 Years",Q483&lt;10,"5-10 Years",Q483&lt;15,"10-15 Years",TRUE,"15+ Years")</f>
        <v>15+ Years</v>
      </c>
      <c r="BI483" t="str" cm="1">
        <f t="array" ref="BI483">_xlfn.IFS(AA483&gt;=540,"A",AA483&gt;=480,"B",AA483&gt;=420,"C",AA483&gt;=360,"D",TRUE,"F")</f>
        <v>A</v>
      </c>
      <c r="BJ483" t="str" cm="1">
        <f t="array" ref="BJ483">_xlfn.IFS(AU483&lt;0,"Separated",AU483&lt;=90,"High Risk",AU483&lt;=180,"Medium Risk",TRUE,"Retained")</f>
        <v>Retained</v>
      </c>
      <c r="BK483" t="str" cm="1">
        <f t="array" ref="BK483">_xlfn.IFS(V483=0,"No Combat",V483=1,"1 Tour",V483=2,"2 Tours",TRUE,"3+ Tours")</f>
        <v>1 Tour</v>
      </c>
      <c r="BL483" t="str">
        <f t="shared" si="35"/>
        <v>Standard</v>
      </c>
      <c r="BM483" t="str">
        <f t="shared" si="36"/>
        <v>Not Ready</v>
      </c>
      <c r="BN483" s="3">
        <f t="shared" si="37"/>
        <v>7.1842702293924879E-2</v>
      </c>
      <c r="BO483">
        <f t="shared" si="38"/>
        <v>650.4</v>
      </c>
    </row>
    <row r="484" spans="1:67" x14ac:dyDescent="0.25">
      <c r="A484" t="s">
        <v>771</v>
      </c>
      <c r="B484" t="s">
        <v>377</v>
      </c>
      <c r="C484" t="s">
        <v>182</v>
      </c>
      <c r="D484" t="s">
        <v>51</v>
      </c>
      <c r="E484">
        <v>23</v>
      </c>
      <c r="F484" t="s">
        <v>322</v>
      </c>
      <c r="G484" t="s">
        <v>234</v>
      </c>
      <c r="H484" t="s">
        <v>235</v>
      </c>
      <c r="I484" t="s">
        <v>103</v>
      </c>
      <c r="J484" t="s">
        <v>104</v>
      </c>
      <c r="K484" t="s">
        <v>105</v>
      </c>
      <c r="L484" t="s">
        <v>201</v>
      </c>
      <c r="M484" t="s">
        <v>161</v>
      </c>
      <c r="N484" t="s">
        <v>128</v>
      </c>
      <c r="O484" t="s">
        <v>149</v>
      </c>
      <c r="P484" s="1">
        <v>39760</v>
      </c>
      <c r="Q484">
        <v>15.6</v>
      </c>
      <c r="R484" t="s">
        <v>62</v>
      </c>
      <c r="S484" t="s">
        <v>196</v>
      </c>
      <c r="T484" t="s">
        <v>197</v>
      </c>
      <c r="U484">
        <v>0</v>
      </c>
      <c r="V484">
        <v>0</v>
      </c>
      <c r="W484" s="2">
        <v>1917</v>
      </c>
      <c r="X484" s="2">
        <v>0</v>
      </c>
      <c r="Y484" s="2">
        <v>422</v>
      </c>
      <c r="Z484" s="2">
        <v>2339</v>
      </c>
      <c r="AA484">
        <v>336</v>
      </c>
      <c r="AB484" t="s">
        <v>151</v>
      </c>
      <c r="AC484">
        <v>17.100000000000001</v>
      </c>
      <c r="AD484">
        <v>21</v>
      </c>
      <c r="AE484">
        <v>40</v>
      </c>
      <c r="AF484" t="s">
        <v>112</v>
      </c>
      <c r="AG484">
        <v>31</v>
      </c>
      <c r="AH484" t="s">
        <v>67</v>
      </c>
      <c r="AI484" t="s">
        <v>68</v>
      </c>
      <c r="AJ484" t="s">
        <v>188</v>
      </c>
      <c r="AK484" t="s">
        <v>70</v>
      </c>
      <c r="AL484" t="s">
        <v>70</v>
      </c>
      <c r="AM484" t="s">
        <v>70</v>
      </c>
      <c r="AN484" t="s">
        <v>72</v>
      </c>
      <c r="AO484" t="s">
        <v>97</v>
      </c>
      <c r="AP484" t="s">
        <v>72</v>
      </c>
      <c r="AQ484" t="s">
        <v>74</v>
      </c>
      <c r="AR484" s="1">
        <v>44946</v>
      </c>
      <c r="AS484" t="s">
        <v>137</v>
      </c>
      <c r="AT484" t="s">
        <v>71</v>
      </c>
      <c r="AU484">
        <v>763</v>
      </c>
      <c r="AV484" t="s">
        <v>76</v>
      </c>
      <c r="AW484" s="3">
        <v>28068</v>
      </c>
      <c r="AX484" t="s">
        <v>798</v>
      </c>
      <c r="AY484" t="s">
        <v>122</v>
      </c>
      <c r="AZ484" t="s">
        <v>76</v>
      </c>
      <c r="BA484" t="s">
        <v>800</v>
      </c>
      <c r="BB484" t="s">
        <v>801</v>
      </c>
      <c r="BC484" t="s">
        <v>802</v>
      </c>
      <c r="BD484" s="3">
        <v>0.14365113296280463</v>
      </c>
      <c r="BE484">
        <v>398.4</v>
      </c>
      <c r="BG484" s="2">
        <f t="shared" si="34"/>
        <v>28068</v>
      </c>
      <c r="BH484" t="str" cm="1">
        <f t="array" ref="BH484">_xlfn.IFS(Q484&lt;5,"0-5 Years",Q484&lt;10,"5-10 Years",Q484&lt;15,"10-15 Years",TRUE,"15+ Years")</f>
        <v>15+ Years</v>
      </c>
      <c r="BI484" t="str" cm="1">
        <f t="array" ref="BI484">_xlfn.IFS(AA484&gt;=540,"A",AA484&gt;=480,"B",AA484&gt;=420,"C",AA484&gt;=360,"D",TRUE,"F")</f>
        <v>F</v>
      </c>
      <c r="BJ484" t="str" cm="1">
        <f t="array" ref="BJ484">_xlfn.IFS(AU484&lt;0,"Separated",AU484&lt;=90,"High Risk",AU484&lt;=180,"Medium Risk",TRUE,"Retained")</f>
        <v>Retained</v>
      </c>
      <c r="BK484" t="str" cm="1">
        <f t="array" ref="BK484">_xlfn.IFS(V484=0,"No Combat",V484=1,"1 Tour",V484=2,"2 Tours",TRUE,"3+ Tours")</f>
        <v>No Combat</v>
      </c>
      <c r="BL484" t="str">
        <f t="shared" si="35"/>
        <v>Standard</v>
      </c>
      <c r="BM484" t="str">
        <f t="shared" si="36"/>
        <v>Not Ready</v>
      </c>
      <c r="BN484" s="3">
        <f t="shared" si="37"/>
        <v>0.14365113296280463</v>
      </c>
      <c r="BO484">
        <f t="shared" si="38"/>
        <v>398.4</v>
      </c>
    </row>
    <row r="485" spans="1:67" x14ac:dyDescent="0.25">
      <c r="A485" t="s">
        <v>772</v>
      </c>
      <c r="B485" t="s">
        <v>100</v>
      </c>
      <c r="C485" t="s">
        <v>330</v>
      </c>
      <c r="D485" t="s">
        <v>122</v>
      </c>
      <c r="E485">
        <v>34</v>
      </c>
      <c r="F485" t="s">
        <v>305</v>
      </c>
      <c r="G485" t="s">
        <v>156</v>
      </c>
      <c r="H485" t="s">
        <v>157</v>
      </c>
      <c r="I485" t="s">
        <v>185</v>
      </c>
      <c r="J485" t="s">
        <v>186</v>
      </c>
      <c r="K485" t="s">
        <v>187</v>
      </c>
      <c r="L485" t="s">
        <v>58</v>
      </c>
      <c r="M485" t="s">
        <v>107</v>
      </c>
      <c r="N485" t="s">
        <v>60</v>
      </c>
      <c r="O485" t="s">
        <v>89</v>
      </c>
      <c r="P485" s="1">
        <v>41699</v>
      </c>
      <c r="Q485">
        <v>10.3</v>
      </c>
      <c r="R485" t="s">
        <v>75</v>
      </c>
      <c r="S485" t="s">
        <v>219</v>
      </c>
      <c r="T485" t="s">
        <v>220</v>
      </c>
      <c r="U485">
        <v>0</v>
      </c>
      <c r="V485">
        <v>0</v>
      </c>
      <c r="W485" s="2">
        <v>4836</v>
      </c>
      <c r="X485" s="2">
        <v>1709</v>
      </c>
      <c r="Y485" s="2">
        <v>266</v>
      </c>
      <c r="Z485" s="2">
        <v>6811</v>
      </c>
      <c r="AA485">
        <v>484</v>
      </c>
      <c r="AB485" t="s">
        <v>65</v>
      </c>
      <c r="AC485">
        <v>13.8</v>
      </c>
      <c r="AD485">
        <v>76</v>
      </c>
      <c r="AE485">
        <v>54</v>
      </c>
      <c r="AF485" t="s">
        <v>66</v>
      </c>
      <c r="AG485">
        <v>33</v>
      </c>
      <c r="AH485" t="s">
        <v>67</v>
      </c>
      <c r="AI485" t="s">
        <v>95</v>
      </c>
      <c r="AJ485" t="s">
        <v>96</v>
      </c>
      <c r="AK485" t="s">
        <v>70</v>
      </c>
      <c r="AL485" t="s">
        <v>71</v>
      </c>
      <c r="AM485" t="s">
        <v>70</v>
      </c>
      <c r="AN485" t="s">
        <v>243</v>
      </c>
      <c r="AO485" t="s">
        <v>72</v>
      </c>
      <c r="AP485" t="s">
        <v>72</v>
      </c>
      <c r="AQ485" t="s">
        <v>74</v>
      </c>
      <c r="AR485" s="1">
        <v>42231</v>
      </c>
      <c r="AS485" t="s">
        <v>198</v>
      </c>
      <c r="AT485" t="s">
        <v>71</v>
      </c>
      <c r="AU485">
        <v>-184</v>
      </c>
      <c r="AV485" t="s">
        <v>179</v>
      </c>
      <c r="AW485" s="3">
        <v>81732</v>
      </c>
      <c r="AX485" t="s">
        <v>805</v>
      </c>
      <c r="AY485" t="s">
        <v>806</v>
      </c>
      <c r="AZ485" t="s">
        <v>810</v>
      </c>
      <c r="BA485" t="s">
        <v>800</v>
      </c>
      <c r="BB485" t="s">
        <v>801</v>
      </c>
      <c r="BC485" t="s">
        <v>802</v>
      </c>
      <c r="BD485" s="3">
        <v>7.1061518132432833E-2</v>
      </c>
      <c r="BE485">
        <v>560.4</v>
      </c>
      <c r="BG485" s="2">
        <f t="shared" si="34"/>
        <v>81732</v>
      </c>
      <c r="BH485" t="str" cm="1">
        <f t="array" ref="BH485">_xlfn.IFS(Q485&lt;5,"0-5 Years",Q485&lt;10,"5-10 Years",Q485&lt;15,"10-15 Years",TRUE,"15+ Years")</f>
        <v>10-15 Years</v>
      </c>
      <c r="BI485" t="str" cm="1">
        <f t="array" ref="BI485">_xlfn.IFS(AA485&gt;=540,"A",AA485&gt;=480,"B",AA485&gt;=420,"C",AA485&gt;=360,"D",TRUE,"F")</f>
        <v>B</v>
      </c>
      <c r="BJ485" t="str" cm="1">
        <f t="array" ref="BJ485">_xlfn.IFS(AU485&lt;0,"Separated",AU485&lt;=90,"High Risk",AU485&lt;=180,"Medium Risk",TRUE,"Retained")</f>
        <v>Separated</v>
      </c>
      <c r="BK485" t="str" cm="1">
        <f t="array" ref="BK485">_xlfn.IFS(V485=0,"No Combat",V485=1,"1 Tour",V485=2,"2 Tours",TRUE,"3+ Tours")</f>
        <v>No Combat</v>
      </c>
      <c r="BL485" t="str">
        <f t="shared" si="35"/>
        <v>Standard</v>
      </c>
      <c r="BM485" t="str">
        <f t="shared" si="36"/>
        <v>Not Ready</v>
      </c>
      <c r="BN485" s="3">
        <f t="shared" si="37"/>
        <v>7.1061518132432833E-2</v>
      </c>
      <c r="BO485">
        <f t="shared" si="38"/>
        <v>560.4</v>
      </c>
    </row>
    <row r="486" spans="1:67" x14ac:dyDescent="0.25">
      <c r="A486" t="s">
        <v>773</v>
      </c>
      <c r="B486" t="s">
        <v>78</v>
      </c>
      <c r="C486" t="s">
        <v>334</v>
      </c>
      <c r="D486" t="s">
        <v>122</v>
      </c>
      <c r="E486">
        <v>33</v>
      </c>
      <c r="F486" t="s">
        <v>52</v>
      </c>
      <c r="G486" t="s">
        <v>169</v>
      </c>
      <c r="H486" t="s">
        <v>170</v>
      </c>
      <c r="I486" t="s">
        <v>55</v>
      </c>
      <c r="J486" t="s">
        <v>56</v>
      </c>
      <c r="K486" t="s">
        <v>57</v>
      </c>
      <c r="L486" t="s">
        <v>86</v>
      </c>
      <c r="M486" t="s">
        <v>161</v>
      </c>
      <c r="N486" t="s">
        <v>162</v>
      </c>
      <c r="O486" t="s">
        <v>176</v>
      </c>
      <c r="P486" s="1">
        <v>40390</v>
      </c>
      <c r="Q486">
        <v>13.8</v>
      </c>
      <c r="R486" t="s">
        <v>75</v>
      </c>
      <c r="S486" t="s">
        <v>219</v>
      </c>
      <c r="T486" t="s">
        <v>220</v>
      </c>
      <c r="U486">
        <v>0</v>
      </c>
      <c r="V486">
        <v>0</v>
      </c>
      <c r="W486" s="2">
        <v>3294</v>
      </c>
      <c r="X486" s="2">
        <v>0</v>
      </c>
      <c r="Y486" s="2">
        <v>422</v>
      </c>
      <c r="Z486" s="2">
        <v>3716</v>
      </c>
      <c r="AA486">
        <v>302</v>
      </c>
      <c r="AB486" t="s">
        <v>151</v>
      </c>
      <c r="AC486">
        <v>15.7</v>
      </c>
      <c r="AD486">
        <v>76</v>
      </c>
      <c r="AE486">
        <v>60</v>
      </c>
      <c r="AF486" t="s">
        <v>93</v>
      </c>
      <c r="AG486">
        <v>36</v>
      </c>
      <c r="AH486" t="s">
        <v>94</v>
      </c>
      <c r="AI486" t="s">
        <v>95</v>
      </c>
      <c r="AJ486" t="s">
        <v>96</v>
      </c>
      <c r="AK486" t="s">
        <v>70</v>
      </c>
      <c r="AL486" t="s">
        <v>70</v>
      </c>
      <c r="AM486" t="s">
        <v>71</v>
      </c>
      <c r="AN486" t="s">
        <v>72</v>
      </c>
      <c r="AO486" t="s">
        <v>72</v>
      </c>
      <c r="AP486" t="s">
        <v>72</v>
      </c>
      <c r="AQ486" t="s">
        <v>136</v>
      </c>
      <c r="AR486" s="1">
        <v>42267</v>
      </c>
      <c r="AS486" t="s">
        <v>198</v>
      </c>
      <c r="AT486" t="s">
        <v>71</v>
      </c>
      <c r="AU486">
        <v>926</v>
      </c>
      <c r="AV486" t="s">
        <v>76</v>
      </c>
      <c r="AW486" s="3">
        <v>44592</v>
      </c>
      <c r="AX486" t="s">
        <v>805</v>
      </c>
      <c r="AY486" t="s">
        <v>122</v>
      </c>
      <c r="AZ486" t="s">
        <v>76</v>
      </c>
      <c r="BA486" t="s">
        <v>800</v>
      </c>
      <c r="BB486" t="s">
        <v>801</v>
      </c>
      <c r="BC486" t="s">
        <v>802</v>
      </c>
      <c r="BD486" s="3">
        <v>8.1270182992465009E-2</v>
      </c>
      <c r="BE486">
        <v>394.4</v>
      </c>
      <c r="BG486" s="2">
        <f t="shared" si="34"/>
        <v>44592</v>
      </c>
      <c r="BH486" t="str" cm="1">
        <f t="array" ref="BH486">_xlfn.IFS(Q486&lt;5,"0-5 Years",Q486&lt;10,"5-10 Years",Q486&lt;15,"10-15 Years",TRUE,"15+ Years")</f>
        <v>10-15 Years</v>
      </c>
      <c r="BI486" t="str" cm="1">
        <f t="array" ref="BI486">_xlfn.IFS(AA486&gt;=540,"A",AA486&gt;=480,"B",AA486&gt;=420,"C",AA486&gt;=360,"D",TRUE,"F")</f>
        <v>F</v>
      </c>
      <c r="BJ486" t="str" cm="1">
        <f t="array" ref="BJ486">_xlfn.IFS(AU486&lt;0,"Separated",AU486&lt;=90,"High Risk",AU486&lt;=180,"Medium Risk",TRUE,"Retained")</f>
        <v>Retained</v>
      </c>
      <c r="BK486" t="str" cm="1">
        <f t="array" ref="BK486">_xlfn.IFS(V486=0,"No Combat",V486=1,"1 Tour",V486=2,"2 Tours",TRUE,"3+ Tours")</f>
        <v>No Combat</v>
      </c>
      <c r="BL486" t="str">
        <f t="shared" si="35"/>
        <v>Standard</v>
      </c>
      <c r="BM486" t="str">
        <f t="shared" si="36"/>
        <v>Not Ready</v>
      </c>
      <c r="BN486" s="3">
        <f t="shared" si="37"/>
        <v>8.1270182992465009E-2</v>
      </c>
      <c r="BO486">
        <f t="shared" si="38"/>
        <v>394.4</v>
      </c>
    </row>
    <row r="487" spans="1:67" x14ac:dyDescent="0.25">
      <c r="A487" t="s">
        <v>774</v>
      </c>
      <c r="B487" t="s">
        <v>282</v>
      </c>
      <c r="C487" t="s">
        <v>272</v>
      </c>
      <c r="D487" t="s">
        <v>51</v>
      </c>
      <c r="E487">
        <v>26</v>
      </c>
      <c r="F487" t="s">
        <v>278</v>
      </c>
      <c r="G487" t="s">
        <v>242</v>
      </c>
      <c r="H487" t="s">
        <v>54</v>
      </c>
      <c r="I487" t="s">
        <v>185</v>
      </c>
      <c r="J487" t="s">
        <v>186</v>
      </c>
      <c r="K487" t="s">
        <v>187</v>
      </c>
      <c r="L487" t="s">
        <v>58</v>
      </c>
      <c r="M487" t="s">
        <v>275</v>
      </c>
      <c r="N487" t="s">
        <v>108</v>
      </c>
      <c r="O487" t="s">
        <v>61</v>
      </c>
      <c r="P487" s="1">
        <v>43636</v>
      </c>
      <c r="Q487">
        <v>5</v>
      </c>
      <c r="R487" t="s">
        <v>150</v>
      </c>
      <c r="S487" t="s">
        <v>63</v>
      </c>
      <c r="T487" t="s">
        <v>64</v>
      </c>
      <c r="U487">
        <v>0</v>
      </c>
      <c r="V487">
        <v>0</v>
      </c>
      <c r="W487" s="2">
        <v>4739</v>
      </c>
      <c r="X487" s="2">
        <v>0</v>
      </c>
      <c r="Y487" s="2">
        <v>422</v>
      </c>
      <c r="Z487" s="2">
        <v>5161</v>
      </c>
      <c r="AA487">
        <v>476</v>
      </c>
      <c r="AB487" t="s">
        <v>65</v>
      </c>
      <c r="AC487">
        <v>19.7</v>
      </c>
      <c r="AD487">
        <v>82</v>
      </c>
      <c r="AE487">
        <v>54</v>
      </c>
      <c r="AF487" t="s">
        <v>66</v>
      </c>
      <c r="AG487">
        <v>40</v>
      </c>
      <c r="AH487" t="s">
        <v>94</v>
      </c>
      <c r="AI487" t="s">
        <v>114</v>
      </c>
      <c r="AJ487" t="s">
        <v>72</v>
      </c>
      <c r="AK487" t="s">
        <v>70</v>
      </c>
      <c r="AL487" t="s">
        <v>71</v>
      </c>
      <c r="AM487" t="s">
        <v>70</v>
      </c>
      <c r="AN487" t="s">
        <v>72</v>
      </c>
      <c r="AO487" t="s">
        <v>73</v>
      </c>
      <c r="AP487" t="s">
        <v>72</v>
      </c>
      <c r="AQ487" t="s">
        <v>98</v>
      </c>
      <c r="AR487" s="1">
        <v>45251</v>
      </c>
      <c r="AS487" t="s">
        <v>75</v>
      </c>
      <c r="AT487" t="s">
        <v>71</v>
      </c>
      <c r="AU487">
        <v>640</v>
      </c>
      <c r="AV487" t="s">
        <v>76</v>
      </c>
      <c r="AW487" s="3">
        <v>61932</v>
      </c>
      <c r="AX487" t="s">
        <v>808</v>
      </c>
      <c r="AY487" t="s">
        <v>804</v>
      </c>
      <c r="AZ487" t="s">
        <v>76</v>
      </c>
      <c r="BA487" t="s">
        <v>800</v>
      </c>
      <c r="BB487" t="s">
        <v>801</v>
      </c>
      <c r="BC487" t="s">
        <v>802</v>
      </c>
      <c r="BD487" s="3">
        <v>9.2230187948072084E-2</v>
      </c>
      <c r="BE487">
        <v>566.4</v>
      </c>
      <c r="BG487" s="2">
        <f t="shared" si="34"/>
        <v>61932</v>
      </c>
      <c r="BH487" t="str" cm="1">
        <f t="array" ref="BH487">_xlfn.IFS(Q487&lt;5,"0-5 Years",Q487&lt;10,"5-10 Years",Q487&lt;15,"10-15 Years",TRUE,"15+ Years")</f>
        <v>5-10 Years</v>
      </c>
      <c r="BI487" t="str" cm="1">
        <f t="array" ref="BI487">_xlfn.IFS(AA487&gt;=540,"A",AA487&gt;=480,"B",AA487&gt;=420,"C",AA487&gt;=360,"D",TRUE,"F")</f>
        <v>C</v>
      </c>
      <c r="BJ487" t="str" cm="1">
        <f t="array" ref="BJ487">_xlfn.IFS(AU487&lt;0,"Separated",AU487&lt;=90,"High Risk",AU487&lt;=180,"Medium Risk",TRUE,"Retained")</f>
        <v>Retained</v>
      </c>
      <c r="BK487" t="str" cm="1">
        <f t="array" ref="BK487">_xlfn.IFS(V487=0,"No Combat",V487=1,"1 Tour",V487=2,"2 Tours",TRUE,"3+ Tours")</f>
        <v>No Combat</v>
      </c>
      <c r="BL487" t="str">
        <f t="shared" si="35"/>
        <v>Standard</v>
      </c>
      <c r="BM487" t="str">
        <f t="shared" si="36"/>
        <v>Not Ready</v>
      </c>
      <c r="BN487" s="3">
        <f t="shared" si="37"/>
        <v>9.2230187948072084E-2</v>
      </c>
      <c r="BO487">
        <f t="shared" si="38"/>
        <v>566.4</v>
      </c>
    </row>
    <row r="488" spans="1:67" x14ac:dyDescent="0.25">
      <c r="A488" t="s">
        <v>775</v>
      </c>
      <c r="B488" t="s">
        <v>166</v>
      </c>
      <c r="C488" t="s">
        <v>182</v>
      </c>
      <c r="D488" t="s">
        <v>51</v>
      </c>
      <c r="E488">
        <v>42</v>
      </c>
      <c r="F488" t="s">
        <v>248</v>
      </c>
      <c r="G488" t="s">
        <v>142</v>
      </c>
      <c r="H488" t="s">
        <v>143</v>
      </c>
      <c r="I488" t="s">
        <v>273</v>
      </c>
      <c r="J488" t="s">
        <v>274</v>
      </c>
      <c r="K488" t="s">
        <v>57</v>
      </c>
      <c r="L488" t="s">
        <v>201</v>
      </c>
      <c r="M488" t="s">
        <v>127</v>
      </c>
      <c r="N488" t="s">
        <v>108</v>
      </c>
      <c r="O488" t="s">
        <v>89</v>
      </c>
      <c r="P488" s="1">
        <v>43439</v>
      </c>
      <c r="Q488">
        <v>5.5</v>
      </c>
      <c r="R488" t="s">
        <v>195</v>
      </c>
      <c r="S488" t="s">
        <v>163</v>
      </c>
      <c r="T488" t="s">
        <v>164</v>
      </c>
      <c r="U488">
        <v>5</v>
      </c>
      <c r="V488">
        <v>0</v>
      </c>
      <c r="W488" s="2">
        <v>5473</v>
      </c>
      <c r="X488" s="2">
        <v>1390</v>
      </c>
      <c r="Y488" s="2">
        <v>422</v>
      </c>
      <c r="Z488" s="2">
        <v>7285</v>
      </c>
      <c r="AA488">
        <v>410</v>
      </c>
      <c r="AB488" t="s">
        <v>65</v>
      </c>
      <c r="AC488">
        <v>20.5</v>
      </c>
      <c r="AD488">
        <v>77</v>
      </c>
      <c r="AE488">
        <v>40</v>
      </c>
      <c r="AF488" t="s">
        <v>66</v>
      </c>
      <c r="AG488">
        <v>22</v>
      </c>
      <c r="AH488" t="s">
        <v>113</v>
      </c>
      <c r="AI488" t="s">
        <v>114</v>
      </c>
      <c r="AJ488" t="s">
        <v>188</v>
      </c>
      <c r="AK488" t="s">
        <v>71</v>
      </c>
      <c r="AL488" t="s">
        <v>70</v>
      </c>
      <c r="AM488" t="s">
        <v>70</v>
      </c>
      <c r="AN488" t="s">
        <v>202</v>
      </c>
      <c r="AO488" t="s">
        <v>116</v>
      </c>
      <c r="AP488" t="s">
        <v>97</v>
      </c>
      <c r="AQ488" t="s">
        <v>136</v>
      </c>
      <c r="AR488" s="1">
        <v>44107</v>
      </c>
      <c r="AS488" t="s">
        <v>118</v>
      </c>
      <c r="AT488" t="s">
        <v>71</v>
      </c>
      <c r="AU488">
        <v>-465</v>
      </c>
      <c r="AV488" t="s">
        <v>179</v>
      </c>
      <c r="AW488" s="3">
        <v>87420</v>
      </c>
      <c r="AX488" t="s">
        <v>808</v>
      </c>
      <c r="AY488" t="s">
        <v>809</v>
      </c>
      <c r="AZ488" t="s">
        <v>810</v>
      </c>
      <c r="BA488" t="s">
        <v>800</v>
      </c>
      <c r="BB488" t="s">
        <v>801</v>
      </c>
      <c r="BC488" t="s">
        <v>802</v>
      </c>
      <c r="BD488" s="3">
        <v>5.628002745367193E-2</v>
      </c>
      <c r="BE488">
        <v>464.4</v>
      </c>
      <c r="BG488" s="2">
        <f t="shared" si="34"/>
        <v>87420</v>
      </c>
      <c r="BH488" t="str" cm="1">
        <f t="array" ref="BH488">_xlfn.IFS(Q488&lt;5,"0-5 Years",Q488&lt;10,"5-10 Years",Q488&lt;15,"10-15 Years",TRUE,"15+ Years")</f>
        <v>5-10 Years</v>
      </c>
      <c r="BI488" t="str" cm="1">
        <f t="array" ref="BI488">_xlfn.IFS(AA488&gt;=540,"A",AA488&gt;=480,"B",AA488&gt;=420,"C",AA488&gt;=360,"D",TRUE,"F")</f>
        <v>D</v>
      </c>
      <c r="BJ488" t="str" cm="1">
        <f t="array" ref="BJ488">_xlfn.IFS(AU488&lt;0,"Separated",AU488&lt;=90,"High Risk",AU488&lt;=180,"Medium Risk",TRUE,"Retained")</f>
        <v>Separated</v>
      </c>
      <c r="BK488" t="str" cm="1">
        <f t="array" ref="BK488">_xlfn.IFS(V488=0,"No Combat",V488=1,"1 Tour",V488=2,"2 Tours",TRUE,"3+ Tours")</f>
        <v>No Combat</v>
      </c>
      <c r="BL488" t="str">
        <f t="shared" si="35"/>
        <v>Standard</v>
      </c>
      <c r="BM488" t="str">
        <f t="shared" si="36"/>
        <v>Not Ready</v>
      </c>
      <c r="BN488" s="3">
        <f t="shared" si="37"/>
        <v>5.628002745367193E-2</v>
      </c>
      <c r="BO488">
        <f t="shared" si="38"/>
        <v>464.4</v>
      </c>
    </row>
    <row r="489" spans="1:67" x14ac:dyDescent="0.25">
      <c r="A489" t="s">
        <v>776</v>
      </c>
      <c r="B489" t="s">
        <v>49</v>
      </c>
      <c r="C489" t="s">
        <v>264</v>
      </c>
      <c r="D489" t="s">
        <v>51</v>
      </c>
      <c r="E489">
        <v>42</v>
      </c>
      <c r="F489" t="s">
        <v>214</v>
      </c>
      <c r="G489" t="s">
        <v>234</v>
      </c>
      <c r="H489" t="s">
        <v>235</v>
      </c>
      <c r="I489" t="s">
        <v>103</v>
      </c>
      <c r="J489" t="s">
        <v>104</v>
      </c>
      <c r="K489" t="s">
        <v>105</v>
      </c>
      <c r="L489" t="s">
        <v>201</v>
      </c>
      <c r="M489" t="s">
        <v>296</v>
      </c>
      <c r="N489" t="s">
        <v>162</v>
      </c>
      <c r="O489" t="s">
        <v>149</v>
      </c>
      <c r="P489" s="1">
        <v>39721</v>
      </c>
      <c r="Q489">
        <v>15.7</v>
      </c>
      <c r="R489" t="s">
        <v>129</v>
      </c>
      <c r="S489" t="s">
        <v>163</v>
      </c>
      <c r="T489" t="s">
        <v>164</v>
      </c>
      <c r="U489">
        <v>15</v>
      </c>
      <c r="V489">
        <v>2</v>
      </c>
      <c r="W489" s="2">
        <v>1917</v>
      </c>
      <c r="X489" s="2">
        <v>0</v>
      </c>
      <c r="Y489" s="2">
        <v>422</v>
      </c>
      <c r="Z489" s="2">
        <v>2339</v>
      </c>
      <c r="AA489">
        <v>583</v>
      </c>
      <c r="AB489" t="s">
        <v>65</v>
      </c>
      <c r="AC489">
        <v>14.6</v>
      </c>
      <c r="AD489">
        <v>58</v>
      </c>
      <c r="AE489">
        <v>53</v>
      </c>
      <c r="AF489" t="s">
        <v>112</v>
      </c>
      <c r="AG489">
        <v>30</v>
      </c>
      <c r="AH489" t="s">
        <v>67</v>
      </c>
      <c r="AI489" t="s">
        <v>177</v>
      </c>
      <c r="AJ489" t="s">
        <v>188</v>
      </c>
      <c r="AK489" t="s">
        <v>70</v>
      </c>
      <c r="AL489" t="s">
        <v>70</v>
      </c>
      <c r="AM489" t="s">
        <v>70</v>
      </c>
      <c r="AN489" t="s">
        <v>72</v>
      </c>
      <c r="AO489" t="s">
        <v>73</v>
      </c>
      <c r="AP489" t="s">
        <v>72</v>
      </c>
      <c r="AQ489" t="s">
        <v>136</v>
      </c>
      <c r="AR489" s="1">
        <v>41800</v>
      </c>
      <c r="AS489" t="s">
        <v>198</v>
      </c>
      <c r="AT489" t="s">
        <v>71</v>
      </c>
      <c r="AU489">
        <v>1387</v>
      </c>
      <c r="AV489" t="s">
        <v>76</v>
      </c>
      <c r="AW489" s="3">
        <v>28068</v>
      </c>
      <c r="AX489" t="s">
        <v>798</v>
      </c>
      <c r="AY489" t="s">
        <v>799</v>
      </c>
      <c r="AZ489" t="s">
        <v>76</v>
      </c>
      <c r="BA489" t="s">
        <v>811</v>
      </c>
      <c r="BB489" t="s">
        <v>801</v>
      </c>
      <c r="BC489" t="s">
        <v>802</v>
      </c>
      <c r="BD489" s="3">
        <v>0.24925181701581872</v>
      </c>
      <c r="BE489">
        <v>643.4</v>
      </c>
      <c r="BG489" s="2">
        <f t="shared" si="34"/>
        <v>28068</v>
      </c>
      <c r="BH489" t="str" cm="1">
        <f t="array" ref="BH489">_xlfn.IFS(Q489&lt;5,"0-5 Years",Q489&lt;10,"5-10 Years",Q489&lt;15,"10-15 Years",TRUE,"15+ Years")</f>
        <v>15+ Years</v>
      </c>
      <c r="BI489" t="str" cm="1">
        <f t="array" ref="BI489">_xlfn.IFS(AA489&gt;=540,"A",AA489&gt;=480,"B",AA489&gt;=420,"C",AA489&gt;=360,"D",TRUE,"F")</f>
        <v>A</v>
      </c>
      <c r="BJ489" t="str" cm="1">
        <f t="array" ref="BJ489">_xlfn.IFS(AU489&lt;0,"Separated",AU489&lt;=90,"High Risk",AU489&lt;=180,"Medium Risk",TRUE,"Retained")</f>
        <v>Retained</v>
      </c>
      <c r="BK489" t="str" cm="1">
        <f t="array" ref="BK489">_xlfn.IFS(V489=0,"No Combat",V489=1,"1 Tour",V489=2,"2 Tours",TRUE,"3+ Tours")</f>
        <v>2 Tours</v>
      </c>
      <c r="BL489" t="str">
        <f t="shared" si="35"/>
        <v>Standard</v>
      </c>
      <c r="BM489" t="str">
        <f t="shared" si="36"/>
        <v>Not Ready</v>
      </c>
      <c r="BN489" s="3">
        <f t="shared" si="37"/>
        <v>0.24925181701581872</v>
      </c>
      <c r="BO489">
        <f t="shared" si="38"/>
        <v>643.4</v>
      </c>
    </row>
    <row r="490" spans="1:67" x14ac:dyDescent="0.25">
      <c r="A490" t="s">
        <v>777</v>
      </c>
      <c r="B490" t="s">
        <v>78</v>
      </c>
      <c r="C490" t="s">
        <v>240</v>
      </c>
      <c r="D490" t="s">
        <v>122</v>
      </c>
      <c r="E490">
        <v>31</v>
      </c>
      <c r="F490" t="s">
        <v>291</v>
      </c>
      <c r="G490" t="s">
        <v>156</v>
      </c>
      <c r="H490" t="s">
        <v>157</v>
      </c>
      <c r="I490" t="s">
        <v>236</v>
      </c>
      <c r="J490" t="s">
        <v>237</v>
      </c>
      <c r="K490" t="s">
        <v>238</v>
      </c>
      <c r="L490" t="s">
        <v>201</v>
      </c>
      <c r="M490" t="s">
        <v>249</v>
      </c>
      <c r="N490" t="s">
        <v>265</v>
      </c>
      <c r="O490" t="s">
        <v>61</v>
      </c>
      <c r="P490" s="1">
        <v>41252</v>
      </c>
      <c r="Q490">
        <v>11.5</v>
      </c>
      <c r="R490" t="s">
        <v>208</v>
      </c>
      <c r="S490" t="s">
        <v>196</v>
      </c>
      <c r="T490" t="s">
        <v>197</v>
      </c>
      <c r="U490">
        <v>0</v>
      </c>
      <c r="V490">
        <v>0</v>
      </c>
      <c r="W490" s="2">
        <v>4836</v>
      </c>
      <c r="X490" s="2">
        <v>2040</v>
      </c>
      <c r="Y490" s="2">
        <v>266</v>
      </c>
      <c r="Z490" s="2">
        <v>7142</v>
      </c>
      <c r="AA490">
        <v>375</v>
      </c>
      <c r="AB490" t="s">
        <v>65</v>
      </c>
      <c r="AC490">
        <v>18.899999999999999</v>
      </c>
      <c r="AD490">
        <v>53</v>
      </c>
      <c r="AE490">
        <v>56</v>
      </c>
      <c r="AF490" t="s">
        <v>132</v>
      </c>
      <c r="AG490">
        <v>20</v>
      </c>
      <c r="AH490" t="s">
        <v>113</v>
      </c>
      <c r="AI490" t="s">
        <v>95</v>
      </c>
      <c r="AJ490" t="s">
        <v>96</v>
      </c>
      <c r="AK490" t="s">
        <v>70</v>
      </c>
      <c r="AL490" t="s">
        <v>71</v>
      </c>
      <c r="AM490" t="s">
        <v>70</v>
      </c>
      <c r="AN490" t="s">
        <v>72</v>
      </c>
      <c r="AO490" t="s">
        <v>72</v>
      </c>
      <c r="AP490" t="s">
        <v>72</v>
      </c>
      <c r="AQ490" t="s">
        <v>136</v>
      </c>
      <c r="AR490" s="1">
        <v>43485</v>
      </c>
      <c r="AS490" t="s">
        <v>75</v>
      </c>
      <c r="AT490" t="s">
        <v>71</v>
      </c>
      <c r="AU490">
        <v>1495</v>
      </c>
      <c r="AV490" t="s">
        <v>76</v>
      </c>
      <c r="AW490" s="3">
        <v>85704</v>
      </c>
      <c r="AX490" t="s">
        <v>805</v>
      </c>
      <c r="AY490" t="s">
        <v>809</v>
      </c>
      <c r="AZ490" t="s">
        <v>76</v>
      </c>
      <c r="BA490" t="s">
        <v>800</v>
      </c>
      <c r="BB490" t="s">
        <v>801</v>
      </c>
      <c r="BC490" t="s">
        <v>802</v>
      </c>
      <c r="BD490" s="3">
        <v>5.250630075609073E-2</v>
      </c>
      <c r="BE490">
        <v>425.4</v>
      </c>
      <c r="BG490" s="2">
        <f t="shared" si="34"/>
        <v>85704</v>
      </c>
      <c r="BH490" t="str" cm="1">
        <f t="array" ref="BH490">_xlfn.IFS(Q490&lt;5,"0-5 Years",Q490&lt;10,"5-10 Years",Q490&lt;15,"10-15 Years",TRUE,"15+ Years")</f>
        <v>10-15 Years</v>
      </c>
      <c r="BI490" t="str" cm="1">
        <f t="array" ref="BI490">_xlfn.IFS(AA490&gt;=540,"A",AA490&gt;=480,"B",AA490&gt;=420,"C",AA490&gt;=360,"D",TRUE,"F")</f>
        <v>D</v>
      </c>
      <c r="BJ490" t="str" cm="1">
        <f t="array" ref="BJ490">_xlfn.IFS(AU490&lt;0,"Separated",AU490&lt;=90,"High Risk",AU490&lt;=180,"Medium Risk",TRUE,"Retained")</f>
        <v>Retained</v>
      </c>
      <c r="BK490" t="str" cm="1">
        <f t="array" ref="BK490">_xlfn.IFS(V490=0,"No Combat",V490=1,"1 Tour",V490=2,"2 Tours",TRUE,"3+ Tours")</f>
        <v>No Combat</v>
      </c>
      <c r="BL490" t="str">
        <f t="shared" si="35"/>
        <v>Standard</v>
      </c>
      <c r="BM490" t="str">
        <f t="shared" si="36"/>
        <v>Not Ready</v>
      </c>
      <c r="BN490" s="3">
        <f t="shared" si="37"/>
        <v>5.250630075609073E-2</v>
      </c>
      <c r="BO490">
        <f t="shared" si="38"/>
        <v>425.4</v>
      </c>
    </row>
    <row r="491" spans="1:67" x14ac:dyDescent="0.25">
      <c r="A491" t="s">
        <v>778</v>
      </c>
      <c r="B491" t="s">
        <v>263</v>
      </c>
      <c r="C491" t="s">
        <v>50</v>
      </c>
      <c r="D491" t="s">
        <v>51</v>
      </c>
      <c r="E491">
        <v>19</v>
      </c>
      <c r="F491" t="s">
        <v>322</v>
      </c>
      <c r="G491" t="s">
        <v>183</v>
      </c>
      <c r="H491" t="s">
        <v>184</v>
      </c>
      <c r="I491" t="s">
        <v>292</v>
      </c>
      <c r="J491" t="s">
        <v>293</v>
      </c>
      <c r="K491" t="s">
        <v>294</v>
      </c>
      <c r="L491" t="s">
        <v>106</v>
      </c>
      <c r="M491" t="s">
        <v>275</v>
      </c>
      <c r="N491" t="s">
        <v>162</v>
      </c>
      <c r="O491" t="s">
        <v>61</v>
      </c>
      <c r="P491" s="1">
        <v>44828</v>
      </c>
      <c r="Q491">
        <v>1.7</v>
      </c>
      <c r="R491" t="s">
        <v>195</v>
      </c>
      <c r="S491" t="s">
        <v>196</v>
      </c>
      <c r="T491" t="s">
        <v>197</v>
      </c>
      <c r="U491">
        <v>0</v>
      </c>
      <c r="V491">
        <v>0</v>
      </c>
      <c r="W491" s="2">
        <v>5696</v>
      </c>
      <c r="X491" s="2">
        <v>1086</v>
      </c>
      <c r="Y491" s="2">
        <v>266</v>
      </c>
      <c r="Z491" s="2">
        <v>7048</v>
      </c>
      <c r="AA491">
        <v>406</v>
      </c>
      <c r="AB491" t="s">
        <v>65</v>
      </c>
      <c r="AC491">
        <v>15.9</v>
      </c>
      <c r="AD491">
        <v>29</v>
      </c>
      <c r="AE491">
        <v>31</v>
      </c>
      <c r="AF491" t="s">
        <v>132</v>
      </c>
      <c r="AG491">
        <v>24</v>
      </c>
      <c r="AH491" t="s">
        <v>113</v>
      </c>
      <c r="AI491" t="s">
        <v>114</v>
      </c>
      <c r="AJ491" t="s">
        <v>188</v>
      </c>
      <c r="AK491" t="s">
        <v>70</v>
      </c>
      <c r="AL491" t="s">
        <v>71</v>
      </c>
      <c r="AM491" t="s">
        <v>70</v>
      </c>
      <c r="AN491" t="s">
        <v>72</v>
      </c>
      <c r="AO491" t="s">
        <v>287</v>
      </c>
      <c r="AP491" t="s">
        <v>72</v>
      </c>
      <c r="AQ491" t="s">
        <v>74</v>
      </c>
      <c r="AR491" s="1">
        <v>44670</v>
      </c>
      <c r="AS491" t="s">
        <v>137</v>
      </c>
      <c r="AT491" t="s">
        <v>70</v>
      </c>
      <c r="AU491">
        <v>935</v>
      </c>
      <c r="AV491" t="s">
        <v>76</v>
      </c>
      <c r="AW491" s="3">
        <v>84576</v>
      </c>
      <c r="AX491" t="s">
        <v>803</v>
      </c>
      <c r="AY491" t="s">
        <v>809</v>
      </c>
      <c r="AZ491" t="s">
        <v>76</v>
      </c>
      <c r="BA491" t="s">
        <v>800</v>
      </c>
      <c r="BB491" t="s">
        <v>801</v>
      </c>
      <c r="BC491" t="s">
        <v>802</v>
      </c>
      <c r="BD491" s="3">
        <v>5.7604994324631099E-2</v>
      </c>
      <c r="BE491">
        <v>464.4</v>
      </c>
      <c r="BG491" s="2">
        <f t="shared" si="34"/>
        <v>84576</v>
      </c>
      <c r="BH491" t="str" cm="1">
        <f t="array" ref="BH491">_xlfn.IFS(Q491&lt;5,"0-5 Years",Q491&lt;10,"5-10 Years",Q491&lt;15,"10-15 Years",TRUE,"15+ Years")</f>
        <v>0-5 Years</v>
      </c>
      <c r="BI491" t="str" cm="1">
        <f t="array" ref="BI491">_xlfn.IFS(AA491&gt;=540,"A",AA491&gt;=480,"B",AA491&gt;=420,"C",AA491&gt;=360,"D",TRUE,"F")</f>
        <v>D</v>
      </c>
      <c r="BJ491" t="str" cm="1">
        <f t="array" ref="BJ491">_xlfn.IFS(AU491&lt;0,"Separated",AU491&lt;=90,"High Risk",AU491&lt;=180,"Medium Risk",TRUE,"Retained")</f>
        <v>Retained</v>
      </c>
      <c r="BK491" t="str" cm="1">
        <f t="array" ref="BK491">_xlfn.IFS(V491=0,"No Combat",V491=1,"1 Tour",V491=2,"2 Tours",TRUE,"3+ Tours")</f>
        <v>No Combat</v>
      </c>
      <c r="BL491" t="str">
        <f t="shared" si="35"/>
        <v>Standard</v>
      </c>
      <c r="BM491" t="str">
        <f t="shared" si="36"/>
        <v>Not Ready</v>
      </c>
      <c r="BN491" s="3">
        <f t="shared" si="37"/>
        <v>5.7604994324631099E-2</v>
      </c>
      <c r="BO491">
        <f t="shared" si="38"/>
        <v>464.4</v>
      </c>
    </row>
    <row r="492" spans="1:67" x14ac:dyDescent="0.25">
      <c r="A492" t="s">
        <v>779</v>
      </c>
      <c r="B492" t="s">
        <v>139</v>
      </c>
      <c r="C492" t="s">
        <v>369</v>
      </c>
      <c r="D492" t="s">
        <v>122</v>
      </c>
      <c r="E492">
        <v>29</v>
      </c>
      <c r="F492" t="s">
        <v>316</v>
      </c>
      <c r="G492" t="s">
        <v>183</v>
      </c>
      <c r="H492" t="s">
        <v>184</v>
      </c>
      <c r="I492" t="s">
        <v>171</v>
      </c>
      <c r="J492" t="s">
        <v>172</v>
      </c>
      <c r="K492" t="s">
        <v>173</v>
      </c>
      <c r="L492" t="s">
        <v>201</v>
      </c>
      <c r="M492" t="s">
        <v>207</v>
      </c>
      <c r="N492" t="s">
        <v>88</v>
      </c>
      <c r="O492" t="s">
        <v>61</v>
      </c>
      <c r="P492" s="1">
        <v>42871</v>
      </c>
      <c r="Q492">
        <v>7</v>
      </c>
      <c r="R492" t="s">
        <v>150</v>
      </c>
      <c r="S492" t="s">
        <v>91</v>
      </c>
      <c r="T492" t="s">
        <v>92</v>
      </c>
      <c r="U492">
        <v>1</v>
      </c>
      <c r="V492">
        <v>0</v>
      </c>
      <c r="W492" s="2">
        <v>5696</v>
      </c>
      <c r="X492" s="2">
        <v>0</v>
      </c>
      <c r="Y492" s="2">
        <v>266</v>
      </c>
      <c r="Z492" s="2">
        <v>5962</v>
      </c>
      <c r="AA492">
        <v>549</v>
      </c>
      <c r="AB492" t="s">
        <v>65</v>
      </c>
      <c r="AC492">
        <v>15.5</v>
      </c>
      <c r="AD492">
        <v>32</v>
      </c>
      <c r="AE492">
        <v>49</v>
      </c>
      <c r="AF492" t="s">
        <v>93</v>
      </c>
      <c r="AG492">
        <v>16</v>
      </c>
      <c r="AH492" t="s">
        <v>113</v>
      </c>
      <c r="AI492" t="s">
        <v>95</v>
      </c>
      <c r="AJ492" t="s">
        <v>72</v>
      </c>
      <c r="AK492" t="s">
        <v>70</v>
      </c>
      <c r="AL492" t="s">
        <v>70</v>
      </c>
      <c r="AM492" t="s">
        <v>70</v>
      </c>
      <c r="AN492" t="s">
        <v>72</v>
      </c>
      <c r="AO492" t="s">
        <v>97</v>
      </c>
      <c r="AP492" t="s">
        <v>72</v>
      </c>
      <c r="AQ492" t="s">
        <v>117</v>
      </c>
      <c r="AR492" s="1">
        <v>45246</v>
      </c>
      <c r="AS492" t="s">
        <v>198</v>
      </c>
      <c r="AT492" t="s">
        <v>71</v>
      </c>
      <c r="AU492">
        <v>1385</v>
      </c>
      <c r="AV492" t="s">
        <v>76</v>
      </c>
      <c r="AW492" s="3">
        <v>71544</v>
      </c>
      <c r="AX492" t="s">
        <v>808</v>
      </c>
      <c r="AY492" t="s">
        <v>799</v>
      </c>
      <c r="AZ492" t="s">
        <v>76</v>
      </c>
      <c r="BA492" t="s">
        <v>800</v>
      </c>
      <c r="BB492" t="s">
        <v>801</v>
      </c>
      <c r="BC492" t="s">
        <v>802</v>
      </c>
      <c r="BD492" s="3">
        <v>9.2083193559208326E-2</v>
      </c>
      <c r="BE492">
        <v>581.4</v>
      </c>
      <c r="BG492" s="2">
        <f t="shared" si="34"/>
        <v>71544</v>
      </c>
      <c r="BH492" t="str" cm="1">
        <f t="array" ref="BH492">_xlfn.IFS(Q492&lt;5,"0-5 Years",Q492&lt;10,"5-10 Years",Q492&lt;15,"10-15 Years",TRUE,"15+ Years")</f>
        <v>5-10 Years</v>
      </c>
      <c r="BI492" t="str" cm="1">
        <f t="array" ref="BI492">_xlfn.IFS(AA492&gt;=540,"A",AA492&gt;=480,"B",AA492&gt;=420,"C",AA492&gt;=360,"D",TRUE,"F")</f>
        <v>A</v>
      </c>
      <c r="BJ492" t="str" cm="1">
        <f t="array" ref="BJ492">_xlfn.IFS(AU492&lt;0,"Separated",AU492&lt;=90,"High Risk",AU492&lt;=180,"Medium Risk",TRUE,"Retained")</f>
        <v>Retained</v>
      </c>
      <c r="BK492" t="str" cm="1">
        <f t="array" ref="BK492">_xlfn.IFS(V492=0,"No Combat",V492=1,"1 Tour",V492=2,"2 Tours",TRUE,"3+ Tours")</f>
        <v>No Combat</v>
      </c>
      <c r="BL492" t="str">
        <f t="shared" si="35"/>
        <v>Standard</v>
      </c>
      <c r="BM492" t="str">
        <f t="shared" si="36"/>
        <v>Not Ready</v>
      </c>
      <c r="BN492" s="3">
        <f t="shared" si="37"/>
        <v>9.2083193559208326E-2</v>
      </c>
      <c r="BO492">
        <f t="shared" si="38"/>
        <v>581.4</v>
      </c>
    </row>
    <row r="493" spans="1:67" x14ac:dyDescent="0.25">
      <c r="A493" t="s">
        <v>780</v>
      </c>
      <c r="B493" t="s">
        <v>154</v>
      </c>
      <c r="C493" t="s">
        <v>360</v>
      </c>
      <c r="D493" t="s">
        <v>51</v>
      </c>
      <c r="E493">
        <v>20</v>
      </c>
      <c r="F493" t="s">
        <v>305</v>
      </c>
      <c r="G493" t="s">
        <v>301</v>
      </c>
      <c r="H493" t="s">
        <v>302</v>
      </c>
      <c r="I493" t="s">
        <v>268</v>
      </c>
      <c r="J493" t="s">
        <v>269</v>
      </c>
      <c r="K493" t="s">
        <v>173</v>
      </c>
      <c r="L493" t="s">
        <v>201</v>
      </c>
      <c r="M493" t="s">
        <v>87</v>
      </c>
      <c r="N493" t="s">
        <v>60</v>
      </c>
      <c r="O493" t="s">
        <v>109</v>
      </c>
      <c r="P493" s="1">
        <v>44566</v>
      </c>
      <c r="Q493">
        <v>2.4</v>
      </c>
      <c r="R493" t="s">
        <v>129</v>
      </c>
      <c r="S493" t="s">
        <v>91</v>
      </c>
      <c r="T493" t="s">
        <v>92</v>
      </c>
      <c r="U493">
        <v>13</v>
      </c>
      <c r="V493">
        <v>2</v>
      </c>
      <c r="W493" s="2">
        <v>4188</v>
      </c>
      <c r="X493" s="2">
        <v>0</v>
      </c>
      <c r="Y493" s="2">
        <v>266</v>
      </c>
      <c r="Z493" s="2">
        <v>4454</v>
      </c>
      <c r="AA493">
        <v>579</v>
      </c>
      <c r="AB493" t="s">
        <v>65</v>
      </c>
      <c r="AC493">
        <v>18.2</v>
      </c>
      <c r="AD493">
        <v>55</v>
      </c>
      <c r="AE493">
        <v>76</v>
      </c>
      <c r="AF493" t="s">
        <v>66</v>
      </c>
      <c r="AG493">
        <v>20</v>
      </c>
      <c r="AH493" t="s">
        <v>113</v>
      </c>
      <c r="AI493" t="s">
        <v>95</v>
      </c>
      <c r="AJ493" t="s">
        <v>96</v>
      </c>
      <c r="AK493" t="s">
        <v>70</v>
      </c>
      <c r="AL493" t="s">
        <v>71</v>
      </c>
      <c r="AM493" t="s">
        <v>70</v>
      </c>
      <c r="AN493" t="s">
        <v>72</v>
      </c>
      <c r="AO493" t="s">
        <v>227</v>
      </c>
      <c r="AP493" t="s">
        <v>72</v>
      </c>
      <c r="AQ493" t="s">
        <v>74</v>
      </c>
      <c r="AR493" s="1">
        <v>44647</v>
      </c>
      <c r="AS493" t="s">
        <v>75</v>
      </c>
      <c r="AT493" t="s">
        <v>71</v>
      </c>
      <c r="AU493">
        <v>-320</v>
      </c>
      <c r="AV493" t="s">
        <v>179</v>
      </c>
      <c r="AW493" s="3">
        <v>53448</v>
      </c>
      <c r="AX493" t="s">
        <v>803</v>
      </c>
      <c r="AY493" t="s">
        <v>799</v>
      </c>
      <c r="AZ493" t="s">
        <v>810</v>
      </c>
      <c r="BA493" t="s">
        <v>811</v>
      </c>
      <c r="BB493" t="s">
        <v>801</v>
      </c>
      <c r="BC493" t="s">
        <v>802</v>
      </c>
      <c r="BD493" s="3">
        <v>0.12999550965424336</v>
      </c>
      <c r="BE493">
        <v>629.4</v>
      </c>
      <c r="BG493" s="2">
        <f t="shared" si="34"/>
        <v>53448</v>
      </c>
      <c r="BH493" t="str" cm="1">
        <f t="array" ref="BH493">_xlfn.IFS(Q493&lt;5,"0-5 Years",Q493&lt;10,"5-10 Years",Q493&lt;15,"10-15 Years",TRUE,"15+ Years")</f>
        <v>0-5 Years</v>
      </c>
      <c r="BI493" t="str" cm="1">
        <f t="array" ref="BI493">_xlfn.IFS(AA493&gt;=540,"A",AA493&gt;=480,"B",AA493&gt;=420,"C",AA493&gt;=360,"D",TRUE,"F")</f>
        <v>A</v>
      </c>
      <c r="BJ493" t="str" cm="1">
        <f t="array" ref="BJ493">_xlfn.IFS(AU493&lt;0,"Separated",AU493&lt;=90,"High Risk",AU493&lt;=180,"Medium Risk",TRUE,"Retained")</f>
        <v>Separated</v>
      </c>
      <c r="BK493" t="str" cm="1">
        <f t="array" ref="BK493">_xlfn.IFS(V493=0,"No Combat",V493=1,"1 Tour",V493=2,"2 Tours",TRUE,"3+ Tours")</f>
        <v>2 Tours</v>
      </c>
      <c r="BL493" t="str">
        <f t="shared" si="35"/>
        <v>Standard</v>
      </c>
      <c r="BM493" t="str">
        <f t="shared" si="36"/>
        <v>Not Ready</v>
      </c>
      <c r="BN493" s="3">
        <f t="shared" si="37"/>
        <v>0.12999550965424336</v>
      </c>
      <c r="BO493">
        <f t="shared" si="38"/>
        <v>629.4</v>
      </c>
    </row>
    <row r="494" spans="1:67" x14ac:dyDescent="0.25">
      <c r="A494" t="s">
        <v>781</v>
      </c>
      <c r="B494" t="s">
        <v>377</v>
      </c>
      <c r="C494" t="s">
        <v>50</v>
      </c>
      <c r="D494" t="s">
        <v>51</v>
      </c>
      <c r="E494">
        <v>21</v>
      </c>
      <c r="F494" t="s">
        <v>325</v>
      </c>
      <c r="G494" t="s">
        <v>169</v>
      </c>
      <c r="H494" t="s">
        <v>170</v>
      </c>
      <c r="I494" t="s">
        <v>253</v>
      </c>
      <c r="J494" t="s">
        <v>254</v>
      </c>
      <c r="K494" t="s">
        <v>255</v>
      </c>
      <c r="L494" t="s">
        <v>201</v>
      </c>
      <c r="M494" t="s">
        <v>107</v>
      </c>
      <c r="N494" t="s">
        <v>162</v>
      </c>
      <c r="O494" t="s">
        <v>149</v>
      </c>
      <c r="P494" s="1">
        <v>41850</v>
      </c>
      <c r="Q494">
        <v>9.8000000000000007</v>
      </c>
      <c r="R494" t="s">
        <v>62</v>
      </c>
      <c r="S494" t="s">
        <v>63</v>
      </c>
      <c r="T494" t="s">
        <v>64</v>
      </c>
      <c r="U494">
        <v>0</v>
      </c>
      <c r="V494">
        <v>0</v>
      </c>
      <c r="W494" s="2">
        <v>3294</v>
      </c>
      <c r="X494" s="2">
        <v>1963</v>
      </c>
      <c r="Y494" s="2">
        <v>422</v>
      </c>
      <c r="Z494" s="2">
        <v>5679</v>
      </c>
      <c r="AA494">
        <v>323</v>
      </c>
      <c r="AB494" t="s">
        <v>151</v>
      </c>
      <c r="AC494">
        <v>20.9</v>
      </c>
      <c r="AD494">
        <v>33</v>
      </c>
      <c r="AE494">
        <v>30</v>
      </c>
      <c r="AF494" t="s">
        <v>93</v>
      </c>
      <c r="AG494">
        <v>17</v>
      </c>
      <c r="AH494" t="s">
        <v>113</v>
      </c>
      <c r="AI494" t="s">
        <v>95</v>
      </c>
      <c r="AJ494" t="s">
        <v>69</v>
      </c>
      <c r="AK494" t="s">
        <v>70</v>
      </c>
      <c r="AL494" t="s">
        <v>70</v>
      </c>
      <c r="AM494" t="s">
        <v>70</v>
      </c>
      <c r="AN494" t="s">
        <v>243</v>
      </c>
      <c r="AO494" t="s">
        <v>134</v>
      </c>
      <c r="AP494" t="s">
        <v>72</v>
      </c>
      <c r="AQ494" t="s">
        <v>136</v>
      </c>
      <c r="AR494" s="1">
        <v>45124</v>
      </c>
      <c r="AS494" t="s">
        <v>75</v>
      </c>
      <c r="AT494" t="s">
        <v>71</v>
      </c>
      <c r="AU494">
        <v>1420</v>
      </c>
      <c r="AV494" t="s">
        <v>76</v>
      </c>
      <c r="AW494" s="3">
        <v>68148</v>
      </c>
      <c r="AX494" t="s">
        <v>808</v>
      </c>
      <c r="AY494" t="s">
        <v>122</v>
      </c>
      <c r="AZ494" t="s">
        <v>76</v>
      </c>
      <c r="BA494" t="s">
        <v>800</v>
      </c>
      <c r="BB494" t="s">
        <v>801</v>
      </c>
      <c r="BC494" t="s">
        <v>802</v>
      </c>
      <c r="BD494" s="3">
        <v>5.6876210600457826E-2</v>
      </c>
      <c r="BE494">
        <v>357.4</v>
      </c>
      <c r="BG494" s="2">
        <f t="shared" si="34"/>
        <v>68148</v>
      </c>
      <c r="BH494" t="str" cm="1">
        <f t="array" ref="BH494">_xlfn.IFS(Q494&lt;5,"0-5 Years",Q494&lt;10,"5-10 Years",Q494&lt;15,"10-15 Years",TRUE,"15+ Years")</f>
        <v>5-10 Years</v>
      </c>
      <c r="BI494" t="str" cm="1">
        <f t="array" ref="BI494">_xlfn.IFS(AA494&gt;=540,"A",AA494&gt;=480,"B",AA494&gt;=420,"C",AA494&gt;=360,"D",TRUE,"F")</f>
        <v>F</v>
      </c>
      <c r="BJ494" t="str" cm="1">
        <f t="array" ref="BJ494">_xlfn.IFS(AU494&lt;0,"Separated",AU494&lt;=90,"High Risk",AU494&lt;=180,"Medium Risk",TRUE,"Retained")</f>
        <v>Retained</v>
      </c>
      <c r="BK494" t="str" cm="1">
        <f t="array" ref="BK494">_xlfn.IFS(V494=0,"No Combat",V494=1,"1 Tour",V494=2,"2 Tours",TRUE,"3+ Tours")</f>
        <v>No Combat</v>
      </c>
      <c r="BL494" t="str">
        <f t="shared" si="35"/>
        <v>Standard</v>
      </c>
      <c r="BM494" t="str">
        <f t="shared" si="36"/>
        <v>Not Ready</v>
      </c>
      <c r="BN494" s="3">
        <f t="shared" si="37"/>
        <v>5.6876210600457826E-2</v>
      </c>
      <c r="BO494">
        <f t="shared" si="38"/>
        <v>357.4</v>
      </c>
    </row>
    <row r="495" spans="1:67" x14ac:dyDescent="0.25">
      <c r="A495" t="s">
        <v>782</v>
      </c>
      <c r="B495" t="s">
        <v>139</v>
      </c>
      <c r="C495" t="s">
        <v>360</v>
      </c>
      <c r="D495" t="s">
        <v>51</v>
      </c>
      <c r="E495">
        <v>35</v>
      </c>
      <c r="F495" t="s">
        <v>322</v>
      </c>
      <c r="G495" t="s">
        <v>215</v>
      </c>
      <c r="H495" t="s">
        <v>216</v>
      </c>
      <c r="I495" t="s">
        <v>103</v>
      </c>
      <c r="J495" t="s">
        <v>104</v>
      </c>
      <c r="K495" t="s">
        <v>105</v>
      </c>
      <c r="L495" t="s">
        <v>58</v>
      </c>
      <c r="M495" t="s">
        <v>175</v>
      </c>
      <c r="N495" t="s">
        <v>265</v>
      </c>
      <c r="O495" t="s">
        <v>61</v>
      </c>
      <c r="P495" s="1">
        <v>42613</v>
      </c>
      <c r="Q495">
        <v>7.8</v>
      </c>
      <c r="R495" t="s">
        <v>150</v>
      </c>
      <c r="S495" t="s">
        <v>219</v>
      </c>
      <c r="T495" t="s">
        <v>220</v>
      </c>
      <c r="U495">
        <v>0</v>
      </c>
      <c r="V495">
        <v>0</v>
      </c>
      <c r="W495" s="2">
        <v>3637</v>
      </c>
      <c r="X495" s="2">
        <v>0</v>
      </c>
      <c r="Y495" s="2">
        <v>266</v>
      </c>
      <c r="Z495" s="2">
        <v>3903</v>
      </c>
      <c r="AA495">
        <v>537</v>
      </c>
      <c r="AB495" t="s">
        <v>65</v>
      </c>
      <c r="AC495">
        <v>14.4</v>
      </c>
      <c r="AD495">
        <v>21</v>
      </c>
      <c r="AE495">
        <v>57</v>
      </c>
      <c r="AF495" t="s">
        <v>112</v>
      </c>
      <c r="AG495">
        <v>26</v>
      </c>
      <c r="AH495" t="s">
        <v>113</v>
      </c>
      <c r="AI495" t="s">
        <v>114</v>
      </c>
      <c r="AJ495" t="s">
        <v>96</v>
      </c>
      <c r="AK495" t="s">
        <v>70</v>
      </c>
      <c r="AL495" t="s">
        <v>71</v>
      </c>
      <c r="AM495" t="s">
        <v>70</v>
      </c>
      <c r="AN495" t="s">
        <v>202</v>
      </c>
      <c r="AO495" t="s">
        <v>203</v>
      </c>
      <c r="AP495" t="s">
        <v>72</v>
      </c>
      <c r="AQ495" t="s">
        <v>74</v>
      </c>
      <c r="AR495" s="1">
        <v>42773</v>
      </c>
      <c r="AS495" t="s">
        <v>118</v>
      </c>
      <c r="AT495" t="s">
        <v>71</v>
      </c>
      <c r="AU495">
        <v>1720</v>
      </c>
      <c r="AV495" t="s">
        <v>76</v>
      </c>
      <c r="AW495" s="3">
        <v>46836</v>
      </c>
      <c r="AX495" t="s">
        <v>808</v>
      </c>
      <c r="AY495" t="s">
        <v>806</v>
      </c>
      <c r="AZ495" t="s">
        <v>76</v>
      </c>
      <c r="BA495" t="s">
        <v>800</v>
      </c>
      <c r="BB495" t="s">
        <v>801</v>
      </c>
      <c r="BC495" t="s">
        <v>802</v>
      </c>
      <c r="BD495" s="3">
        <v>0.13758647194465795</v>
      </c>
      <c r="BE495">
        <v>599.4</v>
      </c>
      <c r="BG495" s="2">
        <f t="shared" si="34"/>
        <v>46836</v>
      </c>
      <c r="BH495" t="str" cm="1">
        <f t="array" ref="BH495">_xlfn.IFS(Q495&lt;5,"0-5 Years",Q495&lt;10,"5-10 Years",Q495&lt;15,"10-15 Years",TRUE,"15+ Years")</f>
        <v>5-10 Years</v>
      </c>
      <c r="BI495" t="str" cm="1">
        <f t="array" ref="BI495">_xlfn.IFS(AA495&gt;=540,"A",AA495&gt;=480,"B",AA495&gt;=420,"C",AA495&gt;=360,"D",TRUE,"F")</f>
        <v>B</v>
      </c>
      <c r="BJ495" t="str" cm="1">
        <f t="array" ref="BJ495">_xlfn.IFS(AU495&lt;0,"Separated",AU495&lt;=90,"High Risk",AU495&lt;=180,"Medium Risk",TRUE,"Retained")</f>
        <v>Retained</v>
      </c>
      <c r="BK495" t="str" cm="1">
        <f t="array" ref="BK495">_xlfn.IFS(V495=0,"No Combat",V495=1,"1 Tour",V495=2,"2 Tours",TRUE,"3+ Tours")</f>
        <v>No Combat</v>
      </c>
      <c r="BL495" t="str">
        <f t="shared" si="35"/>
        <v>Standard</v>
      </c>
      <c r="BM495" t="str">
        <f t="shared" si="36"/>
        <v>Not Ready</v>
      </c>
      <c r="BN495" s="3">
        <f t="shared" si="37"/>
        <v>0.13758647194465795</v>
      </c>
      <c r="BO495">
        <f t="shared" si="38"/>
        <v>599.4</v>
      </c>
    </row>
    <row r="496" spans="1:67" x14ac:dyDescent="0.25">
      <c r="A496" t="s">
        <v>783</v>
      </c>
      <c r="B496" t="s">
        <v>78</v>
      </c>
      <c r="C496" t="s">
        <v>257</v>
      </c>
      <c r="D496" t="s">
        <v>51</v>
      </c>
      <c r="E496">
        <v>33</v>
      </c>
      <c r="F496" t="s">
        <v>141</v>
      </c>
      <c r="G496" t="s">
        <v>183</v>
      </c>
      <c r="H496" t="s">
        <v>184</v>
      </c>
      <c r="I496" t="s">
        <v>225</v>
      </c>
      <c r="J496" t="s">
        <v>226</v>
      </c>
      <c r="K496" t="s">
        <v>105</v>
      </c>
      <c r="L496" t="s">
        <v>86</v>
      </c>
      <c r="M496" t="s">
        <v>207</v>
      </c>
      <c r="N496" t="s">
        <v>60</v>
      </c>
      <c r="O496" t="s">
        <v>149</v>
      </c>
      <c r="P496" s="1">
        <v>39683</v>
      </c>
      <c r="Q496">
        <v>15.8</v>
      </c>
      <c r="R496" t="s">
        <v>195</v>
      </c>
      <c r="S496" t="s">
        <v>63</v>
      </c>
      <c r="T496" t="s">
        <v>64</v>
      </c>
      <c r="U496">
        <v>0</v>
      </c>
      <c r="V496">
        <v>0</v>
      </c>
      <c r="W496" s="2">
        <v>5696</v>
      </c>
      <c r="X496" s="2">
        <v>0</v>
      </c>
      <c r="Y496" s="2">
        <v>266</v>
      </c>
      <c r="Z496" s="2">
        <v>5962</v>
      </c>
      <c r="AA496">
        <v>513</v>
      </c>
      <c r="AB496" t="s">
        <v>65</v>
      </c>
      <c r="AC496">
        <v>19.100000000000001</v>
      </c>
      <c r="AD496">
        <v>79</v>
      </c>
      <c r="AE496">
        <v>33</v>
      </c>
      <c r="AF496" t="s">
        <v>132</v>
      </c>
      <c r="AG496">
        <v>29</v>
      </c>
      <c r="AH496" t="s">
        <v>113</v>
      </c>
      <c r="AI496" t="s">
        <v>95</v>
      </c>
      <c r="AJ496" t="s">
        <v>96</v>
      </c>
      <c r="AK496" t="s">
        <v>71</v>
      </c>
      <c r="AL496" t="s">
        <v>70</v>
      </c>
      <c r="AM496" t="s">
        <v>70</v>
      </c>
      <c r="AN496" t="s">
        <v>202</v>
      </c>
      <c r="AO496" t="s">
        <v>178</v>
      </c>
      <c r="AP496" t="s">
        <v>72</v>
      </c>
      <c r="AQ496" t="s">
        <v>136</v>
      </c>
      <c r="AR496" s="1">
        <v>41794</v>
      </c>
      <c r="AS496" t="s">
        <v>118</v>
      </c>
      <c r="AT496" t="s">
        <v>71</v>
      </c>
      <c r="AU496">
        <v>496</v>
      </c>
      <c r="AV496" t="s">
        <v>76</v>
      </c>
      <c r="AW496" s="3">
        <v>71544</v>
      </c>
      <c r="AX496" t="s">
        <v>798</v>
      </c>
      <c r="AY496" t="s">
        <v>806</v>
      </c>
      <c r="AZ496" t="s">
        <v>76</v>
      </c>
      <c r="BA496" t="s">
        <v>800</v>
      </c>
      <c r="BB496" t="s">
        <v>801</v>
      </c>
      <c r="BC496" t="s">
        <v>802</v>
      </c>
      <c r="BD496" s="3">
        <v>8.6044951358604502E-2</v>
      </c>
      <c r="BE496">
        <v>581.4</v>
      </c>
      <c r="BG496" s="2">
        <f t="shared" si="34"/>
        <v>71544</v>
      </c>
      <c r="BH496" t="str" cm="1">
        <f t="array" ref="BH496">_xlfn.IFS(Q496&lt;5,"0-5 Years",Q496&lt;10,"5-10 Years",Q496&lt;15,"10-15 Years",TRUE,"15+ Years")</f>
        <v>15+ Years</v>
      </c>
      <c r="BI496" t="str" cm="1">
        <f t="array" ref="BI496">_xlfn.IFS(AA496&gt;=540,"A",AA496&gt;=480,"B",AA496&gt;=420,"C",AA496&gt;=360,"D",TRUE,"F")</f>
        <v>B</v>
      </c>
      <c r="BJ496" t="str" cm="1">
        <f t="array" ref="BJ496">_xlfn.IFS(AU496&lt;0,"Separated",AU496&lt;=90,"High Risk",AU496&lt;=180,"Medium Risk",TRUE,"Retained")</f>
        <v>Retained</v>
      </c>
      <c r="BK496" t="str" cm="1">
        <f t="array" ref="BK496">_xlfn.IFS(V496=0,"No Combat",V496=1,"1 Tour",V496=2,"2 Tours",TRUE,"3+ Tours")</f>
        <v>No Combat</v>
      </c>
      <c r="BL496" t="str">
        <f t="shared" si="35"/>
        <v>Standard</v>
      </c>
      <c r="BM496" t="str">
        <f t="shared" si="36"/>
        <v>Not Ready</v>
      </c>
      <c r="BN496" s="3">
        <f t="shared" si="37"/>
        <v>8.6044951358604502E-2</v>
      </c>
      <c r="BO496">
        <f t="shared" si="38"/>
        <v>581.4</v>
      </c>
    </row>
    <row r="497" spans="1:67" x14ac:dyDescent="0.25">
      <c r="A497" t="s">
        <v>784</v>
      </c>
      <c r="B497" t="s">
        <v>181</v>
      </c>
      <c r="C497" t="s">
        <v>360</v>
      </c>
      <c r="D497" t="s">
        <v>51</v>
      </c>
      <c r="E497">
        <v>20</v>
      </c>
      <c r="F497" t="s">
        <v>214</v>
      </c>
      <c r="G497" t="s">
        <v>215</v>
      </c>
      <c r="H497" t="s">
        <v>216</v>
      </c>
      <c r="I497" t="s">
        <v>225</v>
      </c>
      <c r="J497" t="s">
        <v>226</v>
      </c>
      <c r="K497" t="s">
        <v>105</v>
      </c>
      <c r="L497" t="s">
        <v>126</v>
      </c>
      <c r="M497" t="s">
        <v>127</v>
      </c>
      <c r="N497" t="s">
        <v>60</v>
      </c>
      <c r="O497" t="s">
        <v>89</v>
      </c>
      <c r="P497" s="1">
        <v>39027</v>
      </c>
      <c r="Q497">
        <v>17.600000000000001</v>
      </c>
      <c r="R497" t="s">
        <v>195</v>
      </c>
      <c r="S497" t="s">
        <v>196</v>
      </c>
      <c r="T497" t="s">
        <v>197</v>
      </c>
      <c r="U497">
        <v>0</v>
      </c>
      <c r="V497">
        <v>0</v>
      </c>
      <c r="W497" s="2">
        <v>3637</v>
      </c>
      <c r="X497" s="2">
        <v>0</v>
      </c>
      <c r="Y497" s="2">
        <v>266</v>
      </c>
      <c r="Z497" s="2">
        <v>3903</v>
      </c>
      <c r="AA497">
        <v>367</v>
      </c>
      <c r="AB497" t="s">
        <v>65</v>
      </c>
      <c r="AC497">
        <v>17.100000000000001</v>
      </c>
      <c r="AD497">
        <v>51</v>
      </c>
      <c r="AE497">
        <v>35</v>
      </c>
      <c r="AF497" t="s">
        <v>66</v>
      </c>
      <c r="AG497">
        <v>16</v>
      </c>
      <c r="AH497" t="s">
        <v>113</v>
      </c>
      <c r="AI497" t="s">
        <v>114</v>
      </c>
      <c r="AJ497" t="s">
        <v>96</v>
      </c>
      <c r="AK497" t="s">
        <v>70</v>
      </c>
      <c r="AL497" t="s">
        <v>70</v>
      </c>
      <c r="AM497" t="s">
        <v>70</v>
      </c>
      <c r="AN497" t="s">
        <v>72</v>
      </c>
      <c r="AO497" t="s">
        <v>287</v>
      </c>
      <c r="AP497" t="s">
        <v>72</v>
      </c>
      <c r="AQ497" t="s">
        <v>98</v>
      </c>
      <c r="AR497" s="1">
        <v>39037</v>
      </c>
      <c r="AS497" t="s">
        <v>75</v>
      </c>
      <c r="AT497" t="s">
        <v>71</v>
      </c>
      <c r="AU497">
        <v>-163</v>
      </c>
      <c r="AV497" t="s">
        <v>179</v>
      </c>
      <c r="AW497" s="3">
        <v>46836</v>
      </c>
      <c r="AX497" t="s">
        <v>798</v>
      </c>
      <c r="AY497" t="s">
        <v>809</v>
      </c>
      <c r="AZ497" t="s">
        <v>810</v>
      </c>
      <c r="BA497" t="s">
        <v>800</v>
      </c>
      <c r="BB497" t="s">
        <v>801</v>
      </c>
      <c r="BC497" t="s">
        <v>802</v>
      </c>
      <c r="BD497" s="3">
        <v>9.4030233153984108E-2</v>
      </c>
      <c r="BE497">
        <v>399.4</v>
      </c>
      <c r="BG497" s="2">
        <f t="shared" si="34"/>
        <v>46836</v>
      </c>
      <c r="BH497" t="str" cm="1">
        <f t="array" ref="BH497">_xlfn.IFS(Q497&lt;5,"0-5 Years",Q497&lt;10,"5-10 Years",Q497&lt;15,"10-15 Years",TRUE,"15+ Years")</f>
        <v>15+ Years</v>
      </c>
      <c r="BI497" t="str" cm="1">
        <f t="array" ref="BI497">_xlfn.IFS(AA497&gt;=540,"A",AA497&gt;=480,"B",AA497&gt;=420,"C",AA497&gt;=360,"D",TRUE,"F")</f>
        <v>D</v>
      </c>
      <c r="BJ497" t="str" cm="1">
        <f t="array" ref="BJ497">_xlfn.IFS(AU497&lt;0,"Separated",AU497&lt;=90,"High Risk",AU497&lt;=180,"Medium Risk",TRUE,"Retained")</f>
        <v>Separated</v>
      </c>
      <c r="BK497" t="str" cm="1">
        <f t="array" ref="BK497">_xlfn.IFS(V497=0,"No Combat",V497=1,"1 Tour",V497=2,"2 Tours",TRUE,"3+ Tours")</f>
        <v>No Combat</v>
      </c>
      <c r="BL497" t="str">
        <f t="shared" si="35"/>
        <v>Standard</v>
      </c>
      <c r="BM497" t="str">
        <f t="shared" si="36"/>
        <v>Not Ready</v>
      </c>
      <c r="BN497" s="3">
        <f t="shared" si="37"/>
        <v>9.4030233153984108E-2</v>
      </c>
      <c r="BO497">
        <f t="shared" si="38"/>
        <v>399.4</v>
      </c>
    </row>
    <row r="498" spans="1:67" x14ac:dyDescent="0.25">
      <c r="A498" t="s">
        <v>785</v>
      </c>
      <c r="B498" t="s">
        <v>263</v>
      </c>
      <c r="C498" t="s">
        <v>50</v>
      </c>
      <c r="D498" t="s">
        <v>51</v>
      </c>
      <c r="E498">
        <v>45</v>
      </c>
      <c r="F498" t="s">
        <v>382</v>
      </c>
      <c r="G498" t="s">
        <v>101</v>
      </c>
      <c r="H498" t="s">
        <v>102</v>
      </c>
      <c r="I498" t="s">
        <v>236</v>
      </c>
      <c r="J498" t="s">
        <v>237</v>
      </c>
      <c r="K498" t="s">
        <v>238</v>
      </c>
      <c r="L498" t="s">
        <v>126</v>
      </c>
      <c r="M498" t="s">
        <v>249</v>
      </c>
      <c r="N498" t="s">
        <v>60</v>
      </c>
      <c r="O498" t="s">
        <v>176</v>
      </c>
      <c r="P498" s="1">
        <v>43213</v>
      </c>
      <c r="Q498">
        <v>6.1</v>
      </c>
      <c r="R498" t="s">
        <v>208</v>
      </c>
      <c r="S498" t="s">
        <v>110</v>
      </c>
      <c r="T498" t="s">
        <v>111</v>
      </c>
      <c r="U498">
        <v>2</v>
      </c>
      <c r="V498">
        <v>0</v>
      </c>
      <c r="W498" s="2">
        <v>2980</v>
      </c>
      <c r="X498" s="2">
        <v>2054</v>
      </c>
      <c r="Y498" s="2">
        <v>422</v>
      </c>
      <c r="Z498" s="2">
        <v>5456</v>
      </c>
      <c r="AA498">
        <v>423</v>
      </c>
      <c r="AB498" t="s">
        <v>65</v>
      </c>
      <c r="AC498">
        <v>13.7</v>
      </c>
      <c r="AD498">
        <v>49</v>
      </c>
      <c r="AE498">
        <v>68</v>
      </c>
      <c r="AF498" t="s">
        <v>93</v>
      </c>
      <c r="AG498">
        <v>36</v>
      </c>
      <c r="AH498" t="s">
        <v>94</v>
      </c>
      <c r="AI498" t="s">
        <v>114</v>
      </c>
      <c r="AJ498" t="s">
        <v>188</v>
      </c>
      <c r="AK498" t="s">
        <v>70</v>
      </c>
      <c r="AL498" t="s">
        <v>71</v>
      </c>
      <c r="AM498" t="s">
        <v>70</v>
      </c>
      <c r="AN498" t="s">
        <v>243</v>
      </c>
      <c r="AO498" t="s">
        <v>72</v>
      </c>
      <c r="AP498" t="s">
        <v>97</v>
      </c>
      <c r="AQ498" t="s">
        <v>74</v>
      </c>
      <c r="AR498" s="1">
        <v>45185</v>
      </c>
      <c r="AS498" t="s">
        <v>198</v>
      </c>
      <c r="AT498" t="s">
        <v>71</v>
      </c>
      <c r="AU498">
        <v>755</v>
      </c>
      <c r="AV498" t="s">
        <v>76</v>
      </c>
      <c r="AW498" s="3">
        <v>65472</v>
      </c>
      <c r="AX498" t="s">
        <v>808</v>
      </c>
      <c r="AY498" t="s">
        <v>804</v>
      </c>
      <c r="AZ498" t="s">
        <v>76</v>
      </c>
      <c r="BA498" t="s">
        <v>800</v>
      </c>
      <c r="BB498" t="s">
        <v>801</v>
      </c>
      <c r="BC498" t="s">
        <v>812</v>
      </c>
      <c r="BD498" s="3">
        <v>7.7529325513196481E-2</v>
      </c>
      <c r="BE498">
        <v>505.4</v>
      </c>
      <c r="BG498" s="2">
        <f t="shared" si="34"/>
        <v>65472</v>
      </c>
      <c r="BH498" t="str" cm="1">
        <f t="array" ref="BH498">_xlfn.IFS(Q498&lt;5,"0-5 Years",Q498&lt;10,"5-10 Years",Q498&lt;15,"10-15 Years",TRUE,"15+ Years")</f>
        <v>5-10 Years</v>
      </c>
      <c r="BI498" t="str" cm="1">
        <f t="array" ref="BI498">_xlfn.IFS(AA498&gt;=540,"A",AA498&gt;=480,"B",AA498&gt;=420,"C",AA498&gt;=360,"D",TRUE,"F")</f>
        <v>C</v>
      </c>
      <c r="BJ498" t="str" cm="1">
        <f t="array" ref="BJ498">_xlfn.IFS(AU498&lt;0,"Separated",AU498&lt;=90,"High Risk",AU498&lt;=180,"Medium Risk",TRUE,"Retained")</f>
        <v>Retained</v>
      </c>
      <c r="BK498" t="str" cm="1">
        <f t="array" ref="BK498">_xlfn.IFS(V498=0,"No Combat",V498=1,"1 Tour",V498=2,"2 Tours",TRUE,"3+ Tours")</f>
        <v>No Combat</v>
      </c>
      <c r="BL498" t="str">
        <f t="shared" si="35"/>
        <v>Standard</v>
      </c>
      <c r="BM498" t="str">
        <f t="shared" si="36"/>
        <v>Promotion Ready</v>
      </c>
      <c r="BN498" s="3">
        <f t="shared" si="37"/>
        <v>7.7529325513196481E-2</v>
      </c>
      <c r="BO498">
        <f t="shared" si="38"/>
        <v>505.4</v>
      </c>
    </row>
    <row r="499" spans="1:67" x14ac:dyDescent="0.25">
      <c r="A499" t="s">
        <v>786</v>
      </c>
      <c r="B499" t="s">
        <v>166</v>
      </c>
      <c r="C499" t="s">
        <v>375</v>
      </c>
      <c r="D499" t="s">
        <v>51</v>
      </c>
      <c r="E499">
        <v>40</v>
      </c>
      <c r="F499" t="s">
        <v>141</v>
      </c>
      <c r="G499" t="s">
        <v>53</v>
      </c>
      <c r="H499" t="s">
        <v>54</v>
      </c>
      <c r="I499" t="s">
        <v>292</v>
      </c>
      <c r="J499" t="s">
        <v>293</v>
      </c>
      <c r="K499" t="s">
        <v>294</v>
      </c>
      <c r="L499" t="s">
        <v>86</v>
      </c>
      <c r="M499" t="s">
        <v>175</v>
      </c>
      <c r="N499" t="s">
        <v>88</v>
      </c>
      <c r="O499" t="s">
        <v>149</v>
      </c>
      <c r="P499" s="1">
        <v>40324</v>
      </c>
      <c r="Q499">
        <v>14</v>
      </c>
      <c r="R499" t="s">
        <v>195</v>
      </c>
      <c r="S499" t="s">
        <v>91</v>
      </c>
      <c r="T499" t="s">
        <v>92</v>
      </c>
      <c r="U499">
        <v>4</v>
      </c>
      <c r="V499">
        <v>0</v>
      </c>
      <c r="W499" s="2">
        <v>4739</v>
      </c>
      <c r="X499" s="2">
        <v>0</v>
      </c>
      <c r="Y499" s="2">
        <v>422</v>
      </c>
      <c r="Z499" s="2">
        <v>5161</v>
      </c>
      <c r="AA499">
        <v>365</v>
      </c>
      <c r="AB499" t="s">
        <v>65</v>
      </c>
      <c r="AC499">
        <v>13.2</v>
      </c>
      <c r="AD499">
        <v>57</v>
      </c>
      <c r="AE499">
        <v>37</v>
      </c>
      <c r="AF499" t="s">
        <v>66</v>
      </c>
      <c r="AG499">
        <v>30</v>
      </c>
      <c r="AH499" t="s">
        <v>67</v>
      </c>
      <c r="AI499" t="s">
        <v>95</v>
      </c>
      <c r="AJ499" t="s">
        <v>96</v>
      </c>
      <c r="AK499" t="s">
        <v>70</v>
      </c>
      <c r="AL499" t="s">
        <v>70</v>
      </c>
      <c r="AM499" t="s">
        <v>70</v>
      </c>
      <c r="AN499" t="s">
        <v>72</v>
      </c>
      <c r="AO499" t="s">
        <v>178</v>
      </c>
      <c r="AP499" t="s">
        <v>72</v>
      </c>
      <c r="AQ499" t="s">
        <v>136</v>
      </c>
      <c r="AR499" s="1">
        <v>45457</v>
      </c>
      <c r="AS499" t="s">
        <v>198</v>
      </c>
      <c r="AT499" t="s">
        <v>71</v>
      </c>
      <c r="AU499">
        <v>1761</v>
      </c>
      <c r="AV499" t="s">
        <v>76</v>
      </c>
      <c r="AW499" s="3">
        <v>61932</v>
      </c>
      <c r="AX499" t="s">
        <v>805</v>
      </c>
      <c r="AY499" t="s">
        <v>809</v>
      </c>
      <c r="AZ499" t="s">
        <v>76</v>
      </c>
      <c r="BA499" t="s">
        <v>800</v>
      </c>
      <c r="BB499" t="s">
        <v>801</v>
      </c>
      <c r="BC499" t="s">
        <v>802</v>
      </c>
      <c r="BD499" s="3">
        <v>7.0722728153458633E-2</v>
      </c>
      <c r="BE499">
        <v>425.4</v>
      </c>
      <c r="BG499" s="2">
        <f t="shared" si="34"/>
        <v>61932</v>
      </c>
      <c r="BH499" t="str" cm="1">
        <f t="array" ref="BH499">_xlfn.IFS(Q499&lt;5,"0-5 Years",Q499&lt;10,"5-10 Years",Q499&lt;15,"10-15 Years",TRUE,"15+ Years")</f>
        <v>10-15 Years</v>
      </c>
      <c r="BI499" t="str" cm="1">
        <f t="array" ref="BI499">_xlfn.IFS(AA499&gt;=540,"A",AA499&gt;=480,"B",AA499&gt;=420,"C",AA499&gt;=360,"D",TRUE,"F")</f>
        <v>D</v>
      </c>
      <c r="BJ499" t="str" cm="1">
        <f t="array" ref="BJ499">_xlfn.IFS(AU499&lt;0,"Separated",AU499&lt;=90,"High Risk",AU499&lt;=180,"Medium Risk",TRUE,"Retained")</f>
        <v>Retained</v>
      </c>
      <c r="BK499" t="str" cm="1">
        <f t="array" ref="BK499">_xlfn.IFS(V499=0,"No Combat",V499=1,"1 Tour",V499=2,"2 Tours",TRUE,"3+ Tours")</f>
        <v>No Combat</v>
      </c>
      <c r="BL499" t="str">
        <f t="shared" si="35"/>
        <v>Standard</v>
      </c>
      <c r="BM499" t="str">
        <f t="shared" si="36"/>
        <v>Not Ready</v>
      </c>
      <c r="BN499" s="3">
        <f t="shared" si="37"/>
        <v>7.0722728153458633E-2</v>
      </c>
      <c r="BO499">
        <f t="shared" si="38"/>
        <v>425.4</v>
      </c>
    </row>
    <row r="500" spans="1:67" x14ac:dyDescent="0.25">
      <c r="A500" t="s">
        <v>787</v>
      </c>
      <c r="B500" t="s">
        <v>308</v>
      </c>
      <c r="C500" t="s">
        <v>155</v>
      </c>
      <c r="D500" t="s">
        <v>51</v>
      </c>
      <c r="E500">
        <v>26</v>
      </c>
      <c r="F500" t="s">
        <v>52</v>
      </c>
      <c r="G500" t="s">
        <v>298</v>
      </c>
      <c r="H500" t="s">
        <v>299</v>
      </c>
      <c r="I500" t="s">
        <v>83</v>
      </c>
      <c r="J500" t="s">
        <v>84</v>
      </c>
      <c r="K500" t="s">
        <v>85</v>
      </c>
      <c r="L500" t="s">
        <v>58</v>
      </c>
      <c r="M500" t="s">
        <v>212</v>
      </c>
      <c r="N500" t="s">
        <v>108</v>
      </c>
      <c r="O500" t="s">
        <v>176</v>
      </c>
      <c r="P500" s="1">
        <v>38894</v>
      </c>
      <c r="Q500">
        <v>17.899999999999999</v>
      </c>
      <c r="R500" t="s">
        <v>129</v>
      </c>
      <c r="S500" t="s">
        <v>163</v>
      </c>
      <c r="T500" t="s">
        <v>164</v>
      </c>
      <c r="U500">
        <v>1</v>
      </c>
      <c r="V500">
        <v>0</v>
      </c>
      <c r="W500" s="2">
        <v>2149</v>
      </c>
      <c r="X500" s="2">
        <v>1316</v>
      </c>
      <c r="Y500" s="2">
        <v>422</v>
      </c>
      <c r="Z500" s="2">
        <v>3887</v>
      </c>
      <c r="AA500">
        <v>493</v>
      </c>
      <c r="AB500" t="s">
        <v>65</v>
      </c>
      <c r="AC500">
        <v>14.1</v>
      </c>
      <c r="AD500">
        <v>51</v>
      </c>
      <c r="AE500">
        <v>59</v>
      </c>
      <c r="AF500" t="s">
        <v>112</v>
      </c>
      <c r="AG500">
        <v>30</v>
      </c>
      <c r="AH500" t="s">
        <v>67</v>
      </c>
      <c r="AI500" t="s">
        <v>177</v>
      </c>
      <c r="AJ500" t="s">
        <v>96</v>
      </c>
      <c r="AK500" t="s">
        <v>70</v>
      </c>
      <c r="AL500" t="s">
        <v>71</v>
      </c>
      <c r="AM500" t="s">
        <v>70</v>
      </c>
      <c r="AN500" t="s">
        <v>243</v>
      </c>
      <c r="AO500" t="s">
        <v>178</v>
      </c>
      <c r="AP500" t="s">
        <v>72</v>
      </c>
      <c r="AQ500" t="s">
        <v>74</v>
      </c>
      <c r="AR500" s="1">
        <v>39931</v>
      </c>
      <c r="AS500" t="s">
        <v>198</v>
      </c>
      <c r="AT500" t="s">
        <v>71</v>
      </c>
      <c r="AU500">
        <v>-328</v>
      </c>
      <c r="AV500" t="s">
        <v>179</v>
      </c>
      <c r="AW500" s="3">
        <v>46644</v>
      </c>
      <c r="AX500" t="s">
        <v>798</v>
      </c>
      <c r="AY500" t="s">
        <v>806</v>
      </c>
      <c r="AZ500" t="s">
        <v>810</v>
      </c>
      <c r="BA500" t="s">
        <v>800</v>
      </c>
      <c r="BB500" t="s">
        <v>801</v>
      </c>
      <c r="BC500" t="s">
        <v>802</v>
      </c>
      <c r="BD500" s="3">
        <v>0.12683303318754824</v>
      </c>
      <c r="BE500">
        <v>563.4</v>
      </c>
      <c r="BG500" s="2">
        <f t="shared" si="34"/>
        <v>46644</v>
      </c>
      <c r="BH500" t="str" cm="1">
        <f t="array" ref="BH500">_xlfn.IFS(Q500&lt;5,"0-5 Years",Q500&lt;10,"5-10 Years",Q500&lt;15,"10-15 Years",TRUE,"15+ Years")</f>
        <v>15+ Years</v>
      </c>
      <c r="BI500" t="str" cm="1">
        <f t="array" ref="BI500">_xlfn.IFS(AA500&gt;=540,"A",AA500&gt;=480,"B",AA500&gt;=420,"C",AA500&gt;=360,"D",TRUE,"F")</f>
        <v>B</v>
      </c>
      <c r="BJ500" t="str" cm="1">
        <f t="array" ref="BJ500">_xlfn.IFS(AU500&lt;0,"Separated",AU500&lt;=90,"High Risk",AU500&lt;=180,"Medium Risk",TRUE,"Retained")</f>
        <v>Separated</v>
      </c>
      <c r="BK500" t="str" cm="1">
        <f t="array" ref="BK500">_xlfn.IFS(V500=0,"No Combat",V500=1,"1 Tour",V500=2,"2 Tours",TRUE,"3+ Tours")</f>
        <v>No Combat</v>
      </c>
      <c r="BL500" t="str">
        <f t="shared" si="35"/>
        <v>Standard</v>
      </c>
      <c r="BM500" t="str">
        <f t="shared" si="36"/>
        <v>Not Ready</v>
      </c>
      <c r="BN500" s="3">
        <f t="shared" si="37"/>
        <v>0.12683303318754824</v>
      </c>
      <c r="BO500">
        <f t="shared" si="38"/>
        <v>563.4</v>
      </c>
    </row>
    <row r="501" spans="1:67" x14ac:dyDescent="0.25">
      <c r="A501" t="s">
        <v>788</v>
      </c>
      <c r="B501" t="s">
        <v>190</v>
      </c>
      <c r="C501" t="s">
        <v>182</v>
      </c>
      <c r="D501" t="s">
        <v>51</v>
      </c>
      <c r="E501">
        <v>26</v>
      </c>
      <c r="F501" t="s">
        <v>283</v>
      </c>
      <c r="G501" t="s">
        <v>285</v>
      </c>
      <c r="H501" t="s">
        <v>286</v>
      </c>
      <c r="I501" t="s">
        <v>217</v>
      </c>
      <c r="J501" t="s">
        <v>218</v>
      </c>
      <c r="K501" t="s">
        <v>146</v>
      </c>
      <c r="L501" t="s">
        <v>58</v>
      </c>
      <c r="M501" t="s">
        <v>59</v>
      </c>
      <c r="N501" t="s">
        <v>108</v>
      </c>
      <c r="O501" t="s">
        <v>109</v>
      </c>
      <c r="P501" s="1">
        <v>38667</v>
      </c>
      <c r="Q501">
        <v>18.600000000000001</v>
      </c>
      <c r="R501" t="s">
        <v>62</v>
      </c>
      <c r="S501" t="s">
        <v>196</v>
      </c>
      <c r="T501" t="s">
        <v>197</v>
      </c>
      <c r="U501">
        <v>0</v>
      </c>
      <c r="V501">
        <v>0</v>
      </c>
      <c r="W501" s="2">
        <v>7668</v>
      </c>
      <c r="X501" s="2">
        <v>818</v>
      </c>
      <c r="Y501" s="2">
        <v>266</v>
      </c>
      <c r="Z501" s="2">
        <v>8752</v>
      </c>
      <c r="AA501">
        <v>480</v>
      </c>
      <c r="AB501" t="s">
        <v>65</v>
      </c>
      <c r="AC501">
        <v>18.5</v>
      </c>
      <c r="AD501">
        <v>71</v>
      </c>
      <c r="AE501">
        <v>69</v>
      </c>
      <c r="AF501" t="s">
        <v>112</v>
      </c>
      <c r="AG501">
        <v>16</v>
      </c>
      <c r="AH501" t="s">
        <v>113</v>
      </c>
      <c r="AI501" t="s">
        <v>95</v>
      </c>
      <c r="AJ501" t="s">
        <v>188</v>
      </c>
      <c r="AK501" t="s">
        <v>70</v>
      </c>
      <c r="AL501" t="s">
        <v>70</v>
      </c>
      <c r="AM501" t="s">
        <v>70</v>
      </c>
      <c r="AN501" t="s">
        <v>133</v>
      </c>
      <c r="AO501" t="s">
        <v>97</v>
      </c>
      <c r="AP501" t="s">
        <v>72</v>
      </c>
      <c r="AQ501" t="s">
        <v>98</v>
      </c>
      <c r="AR501" s="1">
        <v>44908</v>
      </c>
      <c r="AS501" t="s">
        <v>118</v>
      </c>
      <c r="AT501" t="s">
        <v>71</v>
      </c>
      <c r="AU501">
        <v>-339</v>
      </c>
      <c r="AV501" t="s">
        <v>179</v>
      </c>
      <c r="AW501" s="3">
        <v>105024</v>
      </c>
      <c r="AX501" t="s">
        <v>798</v>
      </c>
      <c r="AY501" t="s">
        <v>806</v>
      </c>
      <c r="AZ501" t="s">
        <v>810</v>
      </c>
      <c r="BA501" t="s">
        <v>800</v>
      </c>
      <c r="BB501" t="s">
        <v>801</v>
      </c>
      <c r="BC501" t="s">
        <v>802</v>
      </c>
      <c r="BD501" s="3">
        <v>5.4844606946983544E-2</v>
      </c>
      <c r="BE501">
        <v>512.4</v>
      </c>
      <c r="BG501" s="2">
        <f t="shared" si="34"/>
        <v>105024</v>
      </c>
      <c r="BH501" t="str" cm="1">
        <f t="array" ref="BH501">_xlfn.IFS(Q501&lt;5,"0-5 Years",Q501&lt;10,"5-10 Years",Q501&lt;15,"10-15 Years",TRUE,"15+ Years")</f>
        <v>15+ Years</v>
      </c>
      <c r="BI501" t="str" cm="1">
        <f t="array" ref="BI501">_xlfn.IFS(AA501&gt;=540,"A",AA501&gt;=480,"B",AA501&gt;=420,"C",AA501&gt;=360,"D",TRUE,"F")</f>
        <v>B</v>
      </c>
      <c r="BJ501" t="str" cm="1">
        <f t="array" ref="BJ501">_xlfn.IFS(AU501&lt;0,"Separated",AU501&lt;=90,"High Risk",AU501&lt;=180,"Medium Risk",TRUE,"Retained")</f>
        <v>Separated</v>
      </c>
      <c r="BK501" t="str" cm="1">
        <f t="array" ref="BK501">_xlfn.IFS(V501=0,"No Combat",V501=1,"1 Tour",V501=2,"2 Tours",TRUE,"3+ Tours")</f>
        <v>No Combat</v>
      </c>
      <c r="BL501" t="str">
        <f t="shared" si="35"/>
        <v>Standard</v>
      </c>
      <c r="BM501" t="str">
        <f t="shared" si="36"/>
        <v>Not Ready</v>
      </c>
      <c r="BN501" s="3">
        <f t="shared" si="37"/>
        <v>5.4844606946983544E-2</v>
      </c>
      <c r="BO501">
        <f t="shared" si="38"/>
        <v>512.4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BB4D-5AF0-4B6A-BC31-6D3A973BBA9B}">
  <dimension ref="A1"/>
  <sheetViews>
    <sheetView workbookViewId="0"/>
  </sheetViews>
  <sheetFormatPr defaultRowHeight="15" x14ac:dyDescent="0.25"/>
  <cols>
    <col min="1" max="1" width="17.85546875" customWidth="1"/>
    <col min="2" max="2" width="19.42578125" bestFit="1" customWidth="1"/>
    <col min="12" max="12" width="19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</vt:lpstr>
      <vt:lpstr>QA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2026-06-16T07:09:44Z</dcterms:created>
  <dcterms:modified xsi:type="dcterms:W3CDTF">2026-06-17T05:15:06Z</dcterms:modified>
</cp:coreProperties>
</file>